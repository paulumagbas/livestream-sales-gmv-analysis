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itro\Downloads\PROJECTS DATA ANALYST\"/>
    </mc:Choice>
  </mc:AlternateContent>
  <xr:revisionPtr revIDLastSave="0" documentId="13_ncr:1_{E1334244-AC7C-49FA-83C3-6D66A40D4DE5}" xr6:coauthVersionLast="47" xr6:coauthVersionMax="47" xr10:uidLastSave="{00000000-0000-0000-0000-000000000000}"/>
  <bookViews>
    <workbookView xWindow="-108" yWindow="-108" windowWidth="23256" windowHeight="13176" activeTab="4" xr2:uid="{00000000-000D-0000-FFFF-FFFF00000000}"/>
  </bookViews>
  <sheets>
    <sheet name="README" sheetId="1" r:id="rId1"/>
    <sheet name="Raw Data" sheetId="2" r:id="rId2"/>
    <sheet name="Cleaned Data" sheetId="3" r:id="rId3"/>
    <sheet name="Daily Sales" sheetId="4" r:id="rId4"/>
    <sheet name="Weekly Summary" sheetId="5" r:id="rId5"/>
    <sheet name="Host Performance" sheetId="6" r:id="rId6"/>
    <sheet name="Dashboard" sheetId="7" r:id="rId7"/>
    <sheet name="Insights" sheetId="8" r:id="rId8"/>
  </sheets>
  <definedNames>
    <definedName name="_xlnm._FilterDatabase" localSheetId="3" hidden="1">'Daily Sales'!$A$5:$H$96</definedName>
    <definedName name="dFrom">Dashboard!$B$6</definedName>
    <definedName name="dHost">Dashboard!$AE$4</definedName>
    <definedName name="dTo">Dashboard!$D$6</definedName>
    <definedName name="HostRoster">'Cleaned Data'!$Z$9:$Z$13</definedName>
    <definedName name="_xlnm.Print_Area" localSheetId="6">Dashboard!$A$1:$N$63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5" l="1"/>
  <c r="Y11" i="7"/>
  <c r="Y10" i="7"/>
  <c r="Y9" i="7"/>
  <c r="Y8" i="7"/>
  <c r="Y7" i="7"/>
  <c r="AE4" i="7"/>
  <c r="E12" i="6"/>
  <c r="D12" i="6"/>
  <c r="B12" i="6"/>
  <c r="A10" i="6"/>
  <c r="A9" i="6"/>
  <c r="A8" i="6"/>
  <c r="A7" i="6"/>
  <c r="A6" i="6"/>
  <c r="G20" i="5"/>
  <c r="F20" i="5"/>
  <c r="E20" i="5"/>
  <c r="D20" i="5"/>
  <c r="J6" i="5"/>
  <c r="I6" i="5"/>
  <c r="F98" i="4"/>
  <c r="E98" i="4"/>
  <c r="D98" i="4"/>
  <c r="C98" i="4"/>
  <c r="I382" i="3"/>
  <c r="H382" i="3"/>
  <c r="G382" i="3"/>
  <c r="F382" i="3"/>
  <c r="U382" i="3" s="1"/>
  <c r="E382" i="3"/>
  <c r="D382" i="3"/>
  <c r="C382" i="3"/>
  <c r="W382" i="3" s="1"/>
  <c r="B382" i="3"/>
  <c r="A382" i="3"/>
  <c r="T382" i="3" s="1"/>
  <c r="I381" i="3"/>
  <c r="H381" i="3"/>
  <c r="G381" i="3"/>
  <c r="F381" i="3"/>
  <c r="U381" i="3" s="1"/>
  <c r="E381" i="3"/>
  <c r="D381" i="3"/>
  <c r="C381" i="3"/>
  <c r="W381" i="3" s="1"/>
  <c r="B381" i="3"/>
  <c r="A381" i="3"/>
  <c r="T381" i="3" s="1"/>
  <c r="I380" i="3"/>
  <c r="H380" i="3"/>
  <c r="G380" i="3"/>
  <c r="F380" i="3"/>
  <c r="U380" i="3" s="1"/>
  <c r="E380" i="3"/>
  <c r="D380" i="3"/>
  <c r="C380" i="3"/>
  <c r="W380" i="3" s="1"/>
  <c r="B380" i="3"/>
  <c r="A380" i="3"/>
  <c r="T380" i="3" s="1"/>
  <c r="I379" i="3"/>
  <c r="H379" i="3"/>
  <c r="G379" i="3"/>
  <c r="F379" i="3"/>
  <c r="U379" i="3" s="1"/>
  <c r="E379" i="3"/>
  <c r="D379" i="3"/>
  <c r="C379" i="3"/>
  <c r="W379" i="3" s="1"/>
  <c r="B379" i="3"/>
  <c r="A379" i="3"/>
  <c r="T379" i="3" s="1"/>
  <c r="I378" i="3"/>
  <c r="H378" i="3"/>
  <c r="G378" i="3"/>
  <c r="F378" i="3"/>
  <c r="U378" i="3" s="1"/>
  <c r="E378" i="3"/>
  <c r="D378" i="3"/>
  <c r="C378" i="3"/>
  <c r="W378" i="3" s="1"/>
  <c r="B378" i="3"/>
  <c r="A378" i="3"/>
  <c r="T378" i="3" s="1"/>
  <c r="I377" i="3"/>
  <c r="H377" i="3"/>
  <c r="G377" i="3"/>
  <c r="F377" i="3"/>
  <c r="U377" i="3" s="1"/>
  <c r="E377" i="3"/>
  <c r="D377" i="3"/>
  <c r="C377" i="3"/>
  <c r="W377" i="3" s="1"/>
  <c r="B377" i="3"/>
  <c r="A377" i="3"/>
  <c r="T377" i="3" s="1"/>
  <c r="I376" i="3"/>
  <c r="H376" i="3"/>
  <c r="G376" i="3"/>
  <c r="F376" i="3"/>
  <c r="U376" i="3" s="1"/>
  <c r="E376" i="3"/>
  <c r="D376" i="3"/>
  <c r="C376" i="3"/>
  <c r="W376" i="3" s="1"/>
  <c r="B376" i="3"/>
  <c r="A376" i="3"/>
  <c r="T376" i="3" s="1"/>
  <c r="I375" i="3"/>
  <c r="H375" i="3"/>
  <c r="G375" i="3"/>
  <c r="F375" i="3"/>
  <c r="U375" i="3" s="1"/>
  <c r="E375" i="3"/>
  <c r="D375" i="3"/>
  <c r="C375" i="3"/>
  <c r="W375" i="3" s="1"/>
  <c r="B375" i="3"/>
  <c r="A375" i="3"/>
  <c r="T375" i="3" s="1"/>
  <c r="W374" i="3"/>
  <c r="Q374" i="3"/>
  <c r="P374" i="3"/>
  <c r="O374" i="3"/>
  <c r="M374" i="3"/>
  <c r="L374" i="3"/>
  <c r="J374" i="3"/>
  <c r="I374" i="3"/>
  <c r="H374" i="3"/>
  <c r="G374" i="3"/>
  <c r="F374" i="3"/>
  <c r="E374" i="3"/>
  <c r="D374" i="3"/>
  <c r="C374" i="3"/>
  <c r="B374" i="3"/>
  <c r="A374" i="3"/>
  <c r="I373" i="3"/>
  <c r="H373" i="3"/>
  <c r="G373" i="3"/>
  <c r="F373" i="3"/>
  <c r="U373" i="3" s="1"/>
  <c r="E373" i="3"/>
  <c r="D373" i="3"/>
  <c r="C373" i="3"/>
  <c r="W373" i="3" s="1"/>
  <c r="B373" i="3"/>
  <c r="A373" i="3"/>
  <c r="T373" i="3" s="1"/>
  <c r="I372" i="3"/>
  <c r="H372" i="3"/>
  <c r="G372" i="3"/>
  <c r="F372" i="3"/>
  <c r="U372" i="3" s="1"/>
  <c r="E372" i="3"/>
  <c r="D372" i="3"/>
  <c r="C372" i="3"/>
  <c r="W372" i="3" s="1"/>
  <c r="B372" i="3"/>
  <c r="A372" i="3"/>
  <c r="T372" i="3" s="1"/>
  <c r="I371" i="3"/>
  <c r="H371" i="3"/>
  <c r="G371" i="3"/>
  <c r="F371" i="3"/>
  <c r="U371" i="3" s="1"/>
  <c r="E371" i="3"/>
  <c r="D371" i="3"/>
  <c r="C371" i="3"/>
  <c r="W371" i="3" s="1"/>
  <c r="B371" i="3"/>
  <c r="A371" i="3"/>
  <c r="T371" i="3" s="1"/>
  <c r="I370" i="3"/>
  <c r="H370" i="3"/>
  <c r="G370" i="3"/>
  <c r="F370" i="3"/>
  <c r="U370" i="3" s="1"/>
  <c r="E370" i="3"/>
  <c r="D370" i="3"/>
  <c r="C370" i="3"/>
  <c r="W370" i="3" s="1"/>
  <c r="B370" i="3"/>
  <c r="A370" i="3"/>
  <c r="T370" i="3" s="1"/>
  <c r="I369" i="3"/>
  <c r="H369" i="3"/>
  <c r="G369" i="3"/>
  <c r="F369" i="3"/>
  <c r="U369" i="3" s="1"/>
  <c r="E369" i="3"/>
  <c r="D369" i="3"/>
  <c r="C369" i="3"/>
  <c r="W369" i="3" s="1"/>
  <c r="B369" i="3"/>
  <c r="A369" i="3"/>
  <c r="T369" i="3" s="1"/>
  <c r="I368" i="3"/>
  <c r="H368" i="3"/>
  <c r="G368" i="3"/>
  <c r="F368" i="3"/>
  <c r="U368" i="3" s="1"/>
  <c r="E368" i="3"/>
  <c r="D368" i="3"/>
  <c r="C368" i="3"/>
  <c r="W368" i="3" s="1"/>
  <c r="B368" i="3"/>
  <c r="A368" i="3"/>
  <c r="T368" i="3" s="1"/>
  <c r="I367" i="3"/>
  <c r="H367" i="3"/>
  <c r="G367" i="3"/>
  <c r="F367" i="3"/>
  <c r="U367" i="3" s="1"/>
  <c r="E367" i="3"/>
  <c r="D367" i="3"/>
  <c r="C367" i="3"/>
  <c r="W367" i="3" s="1"/>
  <c r="B367" i="3"/>
  <c r="A367" i="3"/>
  <c r="T367" i="3" s="1"/>
  <c r="I366" i="3"/>
  <c r="H366" i="3"/>
  <c r="G366" i="3"/>
  <c r="F366" i="3"/>
  <c r="U366" i="3" s="1"/>
  <c r="E366" i="3"/>
  <c r="D366" i="3"/>
  <c r="C366" i="3"/>
  <c r="W366" i="3" s="1"/>
  <c r="B366" i="3"/>
  <c r="A366" i="3"/>
  <c r="T366" i="3" s="1"/>
  <c r="I365" i="3"/>
  <c r="H365" i="3"/>
  <c r="G365" i="3"/>
  <c r="F365" i="3"/>
  <c r="U365" i="3" s="1"/>
  <c r="E365" i="3"/>
  <c r="D365" i="3"/>
  <c r="C365" i="3"/>
  <c r="W365" i="3" s="1"/>
  <c r="B365" i="3"/>
  <c r="A365" i="3"/>
  <c r="T365" i="3" s="1"/>
  <c r="I364" i="3"/>
  <c r="H364" i="3"/>
  <c r="G364" i="3"/>
  <c r="F364" i="3"/>
  <c r="U364" i="3" s="1"/>
  <c r="E364" i="3"/>
  <c r="D364" i="3"/>
  <c r="C364" i="3"/>
  <c r="W364" i="3" s="1"/>
  <c r="B364" i="3"/>
  <c r="A364" i="3"/>
  <c r="T364" i="3" s="1"/>
  <c r="I363" i="3"/>
  <c r="H363" i="3"/>
  <c r="G363" i="3"/>
  <c r="F363" i="3"/>
  <c r="U363" i="3" s="1"/>
  <c r="E363" i="3"/>
  <c r="D363" i="3"/>
  <c r="C363" i="3"/>
  <c r="W363" i="3" s="1"/>
  <c r="B363" i="3"/>
  <c r="A363" i="3"/>
  <c r="T363" i="3" s="1"/>
  <c r="I362" i="3"/>
  <c r="H362" i="3"/>
  <c r="G362" i="3"/>
  <c r="F362" i="3"/>
  <c r="U362" i="3" s="1"/>
  <c r="E362" i="3"/>
  <c r="D362" i="3"/>
  <c r="C362" i="3"/>
  <c r="W362" i="3" s="1"/>
  <c r="B362" i="3"/>
  <c r="A362" i="3"/>
  <c r="T362" i="3" s="1"/>
  <c r="I361" i="3"/>
  <c r="H361" i="3"/>
  <c r="G361" i="3"/>
  <c r="F361" i="3"/>
  <c r="U361" i="3" s="1"/>
  <c r="E361" i="3"/>
  <c r="D361" i="3"/>
  <c r="C361" i="3"/>
  <c r="W361" i="3" s="1"/>
  <c r="B361" i="3"/>
  <c r="A361" i="3"/>
  <c r="T361" i="3" s="1"/>
  <c r="I360" i="3"/>
  <c r="H360" i="3"/>
  <c r="G360" i="3"/>
  <c r="F360" i="3"/>
  <c r="U360" i="3" s="1"/>
  <c r="E360" i="3"/>
  <c r="D360" i="3"/>
  <c r="C360" i="3"/>
  <c r="W360" i="3" s="1"/>
  <c r="B360" i="3"/>
  <c r="A360" i="3"/>
  <c r="T360" i="3" s="1"/>
  <c r="I359" i="3"/>
  <c r="H359" i="3"/>
  <c r="G359" i="3"/>
  <c r="F359" i="3"/>
  <c r="U359" i="3" s="1"/>
  <c r="E359" i="3"/>
  <c r="D359" i="3"/>
  <c r="C359" i="3"/>
  <c r="W359" i="3" s="1"/>
  <c r="B359" i="3"/>
  <c r="A359" i="3"/>
  <c r="T359" i="3" s="1"/>
  <c r="I358" i="3"/>
  <c r="H358" i="3"/>
  <c r="G358" i="3"/>
  <c r="F358" i="3"/>
  <c r="U358" i="3" s="1"/>
  <c r="E358" i="3"/>
  <c r="D358" i="3"/>
  <c r="C358" i="3"/>
  <c r="W358" i="3" s="1"/>
  <c r="B358" i="3"/>
  <c r="A358" i="3"/>
  <c r="T358" i="3" s="1"/>
  <c r="I357" i="3"/>
  <c r="H357" i="3"/>
  <c r="G357" i="3"/>
  <c r="F357" i="3"/>
  <c r="U357" i="3" s="1"/>
  <c r="E357" i="3"/>
  <c r="D357" i="3"/>
  <c r="C357" i="3"/>
  <c r="W357" i="3" s="1"/>
  <c r="B357" i="3"/>
  <c r="A357" i="3"/>
  <c r="T357" i="3" s="1"/>
  <c r="I356" i="3"/>
  <c r="H356" i="3"/>
  <c r="G356" i="3"/>
  <c r="F356" i="3"/>
  <c r="U356" i="3" s="1"/>
  <c r="E356" i="3"/>
  <c r="D356" i="3"/>
  <c r="C356" i="3"/>
  <c r="W356" i="3" s="1"/>
  <c r="B356" i="3"/>
  <c r="A356" i="3"/>
  <c r="T356" i="3" s="1"/>
  <c r="I355" i="3"/>
  <c r="H355" i="3"/>
  <c r="G355" i="3"/>
  <c r="F355" i="3"/>
  <c r="U355" i="3" s="1"/>
  <c r="E355" i="3"/>
  <c r="D355" i="3"/>
  <c r="C355" i="3"/>
  <c r="W355" i="3" s="1"/>
  <c r="B355" i="3"/>
  <c r="A355" i="3"/>
  <c r="T355" i="3" s="1"/>
  <c r="I354" i="3"/>
  <c r="H354" i="3"/>
  <c r="G354" i="3"/>
  <c r="F354" i="3"/>
  <c r="U354" i="3" s="1"/>
  <c r="E354" i="3"/>
  <c r="D354" i="3"/>
  <c r="C354" i="3"/>
  <c r="W354" i="3" s="1"/>
  <c r="B354" i="3"/>
  <c r="A354" i="3"/>
  <c r="T354" i="3" s="1"/>
  <c r="I353" i="3"/>
  <c r="H353" i="3"/>
  <c r="G353" i="3"/>
  <c r="F353" i="3"/>
  <c r="U353" i="3" s="1"/>
  <c r="E353" i="3"/>
  <c r="D353" i="3"/>
  <c r="C353" i="3"/>
  <c r="W353" i="3" s="1"/>
  <c r="B353" i="3"/>
  <c r="A353" i="3"/>
  <c r="T353" i="3" s="1"/>
  <c r="I352" i="3"/>
  <c r="H352" i="3"/>
  <c r="G352" i="3"/>
  <c r="F352" i="3"/>
  <c r="U352" i="3" s="1"/>
  <c r="E352" i="3"/>
  <c r="D352" i="3"/>
  <c r="C352" i="3"/>
  <c r="W352" i="3" s="1"/>
  <c r="B352" i="3"/>
  <c r="A352" i="3"/>
  <c r="T352" i="3" s="1"/>
  <c r="I351" i="3"/>
  <c r="H351" i="3"/>
  <c r="G351" i="3"/>
  <c r="F351" i="3"/>
  <c r="U351" i="3" s="1"/>
  <c r="E351" i="3"/>
  <c r="D351" i="3"/>
  <c r="C351" i="3"/>
  <c r="W351" i="3" s="1"/>
  <c r="B351" i="3"/>
  <c r="A351" i="3"/>
  <c r="T351" i="3" s="1"/>
  <c r="I350" i="3"/>
  <c r="H350" i="3"/>
  <c r="G350" i="3"/>
  <c r="F350" i="3"/>
  <c r="U350" i="3" s="1"/>
  <c r="E350" i="3"/>
  <c r="D350" i="3"/>
  <c r="C350" i="3"/>
  <c r="W350" i="3" s="1"/>
  <c r="B350" i="3"/>
  <c r="A350" i="3"/>
  <c r="T350" i="3" s="1"/>
  <c r="I349" i="3"/>
  <c r="H349" i="3"/>
  <c r="G349" i="3"/>
  <c r="F349" i="3"/>
  <c r="U349" i="3" s="1"/>
  <c r="E349" i="3"/>
  <c r="D349" i="3"/>
  <c r="C349" i="3"/>
  <c r="W349" i="3" s="1"/>
  <c r="B349" i="3"/>
  <c r="A349" i="3"/>
  <c r="T349" i="3" s="1"/>
  <c r="I348" i="3"/>
  <c r="H348" i="3"/>
  <c r="G348" i="3"/>
  <c r="F348" i="3"/>
  <c r="U348" i="3" s="1"/>
  <c r="E348" i="3"/>
  <c r="D348" i="3"/>
  <c r="C348" i="3"/>
  <c r="W348" i="3" s="1"/>
  <c r="B348" i="3"/>
  <c r="A348" i="3"/>
  <c r="T348" i="3" s="1"/>
  <c r="I347" i="3"/>
  <c r="H347" i="3"/>
  <c r="G347" i="3"/>
  <c r="F347" i="3"/>
  <c r="U347" i="3" s="1"/>
  <c r="E347" i="3"/>
  <c r="D347" i="3"/>
  <c r="C347" i="3"/>
  <c r="W347" i="3" s="1"/>
  <c r="B347" i="3"/>
  <c r="A347" i="3"/>
  <c r="T347" i="3" s="1"/>
  <c r="I346" i="3"/>
  <c r="H346" i="3"/>
  <c r="G346" i="3"/>
  <c r="F346" i="3"/>
  <c r="U346" i="3" s="1"/>
  <c r="E346" i="3"/>
  <c r="D346" i="3"/>
  <c r="C346" i="3"/>
  <c r="W346" i="3" s="1"/>
  <c r="B346" i="3"/>
  <c r="A346" i="3"/>
  <c r="T346" i="3" s="1"/>
  <c r="I345" i="3"/>
  <c r="H345" i="3"/>
  <c r="G345" i="3"/>
  <c r="F345" i="3"/>
  <c r="U345" i="3" s="1"/>
  <c r="E345" i="3"/>
  <c r="D345" i="3"/>
  <c r="C345" i="3"/>
  <c r="W345" i="3" s="1"/>
  <c r="B345" i="3"/>
  <c r="A345" i="3"/>
  <c r="T345" i="3" s="1"/>
  <c r="I344" i="3"/>
  <c r="H344" i="3"/>
  <c r="G344" i="3"/>
  <c r="F344" i="3"/>
  <c r="U344" i="3" s="1"/>
  <c r="E344" i="3"/>
  <c r="D344" i="3"/>
  <c r="C344" i="3"/>
  <c r="W344" i="3" s="1"/>
  <c r="B344" i="3"/>
  <c r="A344" i="3"/>
  <c r="T344" i="3" s="1"/>
  <c r="I343" i="3"/>
  <c r="H343" i="3"/>
  <c r="G343" i="3"/>
  <c r="F343" i="3"/>
  <c r="U343" i="3" s="1"/>
  <c r="E343" i="3"/>
  <c r="D343" i="3"/>
  <c r="C343" i="3"/>
  <c r="W343" i="3" s="1"/>
  <c r="B343" i="3"/>
  <c r="A343" i="3"/>
  <c r="T343" i="3" s="1"/>
  <c r="I342" i="3"/>
  <c r="H342" i="3"/>
  <c r="G342" i="3"/>
  <c r="F342" i="3"/>
  <c r="U342" i="3" s="1"/>
  <c r="E342" i="3"/>
  <c r="D342" i="3"/>
  <c r="C342" i="3"/>
  <c r="W342" i="3" s="1"/>
  <c r="B342" i="3"/>
  <c r="A342" i="3"/>
  <c r="T342" i="3" s="1"/>
  <c r="I341" i="3"/>
  <c r="H341" i="3"/>
  <c r="G341" i="3"/>
  <c r="F341" i="3"/>
  <c r="U341" i="3" s="1"/>
  <c r="E341" i="3"/>
  <c r="D341" i="3"/>
  <c r="C341" i="3"/>
  <c r="W341" i="3" s="1"/>
  <c r="B341" i="3"/>
  <c r="A341" i="3"/>
  <c r="T341" i="3" s="1"/>
  <c r="I340" i="3"/>
  <c r="H340" i="3"/>
  <c r="G340" i="3"/>
  <c r="F340" i="3"/>
  <c r="U340" i="3" s="1"/>
  <c r="E340" i="3"/>
  <c r="D340" i="3"/>
  <c r="C340" i="3"/>
  <c r="W340" i="3" s="1"/>
  <c r="B340" i="3"/>
  <c r="A340" i="3"/>
  <c r="T340" i="3" s="1"/>
  <c r="I339" i="3"/>
  <c r="H339" i="3"/>
  <c r="G339" i="3"/>
  <c r="F339" i="3"/>
  <c r="U339" i="3" s="1"/>
  <c r="E339" i="3"/>
  <c r="D339" i="3"/>
  <c r="C339" i="3"/>
  <c r="W339" i="3" s="1"/>
  <c r="B339" i="3"/>
  <c r="A339" i="3"/>
  <c r="T339" i="3" s="1"/>
  <c r="I338" i="3"/>
  <c r="H338" i="3"/>
  <c r="G338" i="3"/>
  <c r="F338" i="3"/>
  <c r="U338" i="3" s="1"/>
  <c r="E338" i="3"/>
  <c r="D338" i="3"/>
  <c r="C338" i="3"/>
  <c r="W338" i="3" s="1"/>
  <c r="B338" i="3"/>
  <c r="A338" i="3"/>
  <c r="T338" i="3" s="1"/>
  <c r="W337" i="3"/>
  <c r="U337" i="3"/>
  <c r="S337" i="3"/>
  <c r="I337" i="3"/>
  <c r="H337" i="3"/>
  <c r="G337" i="3"/>
  <c r="F337" i="3"/>
  <c r="E337" i="3"/>
  <c r="D337" i="3"/>
  <c r="C337" i="3"/>
  <c r="B337" i="3"/>
  <c r="A337" i="3"/>
  <c r="I336" i="3"/>
  <c r="H336" i="3"/>
  <c r="G336" i="3"/>
  <c r="F336" i="3"/>
  <c r="U336" i="3" s="1"/>
  <c r="E336" i="3"/>
  <c r="D336" i="3"/>
  <c r="C336" i="3"/>
  <c r="W336" i="3" s="1"/>
  <c r="B336" i="3"/>
  <c r="A336" i="3"/>
  <c r="T336" i="3" s="1"/>
  <c r="I335" i="3"/>
  <c r="H335" i="3"/>
  <c r="G335" i="3"/>
  <c r="F335" i="3"/>
  <c r="U335" i="3" s="1"/>
  <c r="E335" i="3"/>
  <c r="D335" i="3"/>
  <c r="C335" i="3"/>
  <c r="W335" i="3" s="1"/>
  <c r="B335" i="3"/>
  <c r="A335" i="3"/>
  <c r="T335" i="3" s="1"/>
  <c r="I334" i="3"/>
  <c r="H334" i="3"/>
  <c r="G334" i="3"/>
  <c r="F334" i="3"/>
  <c r="U334" i="3" s="1"/>
  <c r="E334" i="3"/>
  <c r="D334" i="3"/>
  <c r="C334" i="3"/>
  <c r="W334" i="3" s="1"/>
  <c r="B334" i="3"/>
  <c r="A334" i="3"/>
  <c r="T334" i="3" s="1"/>
  <c r="I333" i="3"/>
  <c r="H333" i="3"/>
  <c r="G333" i="3"/>
  <c r="F333" i="3"/>
  <c r="U333" i="3" s="1"/>
  <c r="E333" i="3"/>
  <c r="D333" i="3"/>
  <c r="C333" i="3"/>
  <c r="W333" i="3" s="1"/>
  <c r="B333" i="3"/>
  <c r="A333" i="3"/>
  <c r="T333" i="3" s="1"/>
  <c r="I332" i="3"/>
  <c r="H332" i="3"/>
  <c r="G332" i="3"/>
  <c r="F332" i="3"/>
  <c r="U332" i="3" s="1"/>
  <c r="E332" i="3"/>
  <c r="D332" i="3"/>
  <c r="C332" i="3"/>
  <c r="W332" i="3" s="1"/>
  <c r="B332" i="3"/>
  <c r="A332" i="3"/>
  <c r="T332" i="3" s="1"/>
  <c r="I331" i="3"/>
  <c r="H331" i="3"/>
  <c r="G331" i="3"/>
  <c r="F331" i="3"/>
  <c r="U331" i="3" s="1"/>
  <c r="E331" i="3"/>
  <c r="D331" i="3"/>
  <c r="C331" i="3"/>
  <c r="W331" i="3" s="1"/>
  <c r="B331" i="3"/>
  <c r="A331" i="3"/>
  <c r="T331" i="3" s="1"/>
  <c r="I330" i="3"/>
  <c r="H330" i="3"/>
  <c r="G330" i="3"/>
  <c r="F330" i="3"/>
  <c r="U330" i="3" s="1"/>
  <c r="E330" i="3"/>
  <c r="D330" i="3"/>
  <c r="C330" i="3"/>
  <c r="W330" i="3" s="1"/>
  <c r="B330" i="3"/>
  <c r="A330" i="3"/>
  <c r="T330" i="3" s="1"/>
  <c r="I329" i="3"/>
  <c r="H329" i="3"/>
  <c r="G329" i="3"/>
  <c r="F329" i="3"/>
  <c r="U329" i="3" s="1"/>
  <c r="E329" i="3"/>
  <c r="D329" i="3"/>
  <c r="C329" i="3"/>
  <c r="W329" i="3" s="1"/>
  <c r="B329" i="3"/>
  <c r="A329" i="3"/>
  <c r="T329" i="3" s="1"/>
  <c r="I328" i="3"/>
  <c r="H328" i="3"/>
  <c r="G328" i="3"/>
  <c r="F328" i="3"/>
  <c r="U328" i="3" s="1"/>
  <c r="E328" i="3"/>
  <c r="D328" i="3"/>
  <c r="C328" i="3"/>
  <c r="W328" i="3" s="1"/>
  <c r="B328" i="3"/>
  <c r="A328" i="3"/>
  <c r="T328" i="3" s="1"/>
  <c r="I327" i="3"/>
  <c r="H327" i="3"/>
  <c r="G327" i="3"/>
  <c r="F327" i="3"/>
  <c r="U327" i="3" s="1"/>
  <c r="E327" i="3"/>
  <c r="D327" i="3"/>
  <c r="C327" i="3"/>
  <c r="W327" i="3" s="1"/>
  <c r="B327" i="3"/>
  <c r="A327" i="3"/>
  <c r="T327" i="3" s="1"/>
  <c r="I326" i="3"/>
  <c r="H326" i="3"/>
  <c r="G326" i="3"/>
  <c r="F326" i="3"/>
  <c r="U326" i="3" s="1"/>
  <c r="E326" i="3"/>
  <c r="D326" i="3"/>
  <c r="C326" i="3"/>
  <c r="W326" i="3" s="1"/>
  <c r="B326" i="3"/>
  <c r="A326" i="3"/>
  <c r="T326" i="3" s="1"/>
  <c r="I325" i="3"/>
  <c r="H325" i="3"/>
  <c r="G325" i="3"/>
  <c r="F325" i="3"/>
  <c r="U325" i="3" s="1"/>
  <c r="E325" i="3"/>
  <c r="D325" i="3"/>
  <c r="C325" i="3"/>
  <c r="W325" i="3" s="1"/>
  <c r="B325" i="3"/>
  <c r="A325" i="3"/>
  <c r="T325" i="3" s="1"/>
  <c r="I324" i="3"/>
  <c r="H324" i="3"/>
  <c r="G324" i="3"/>
  <c r="F324" i="3"/>
  <c r="U324" i="3" s="1"/>
  <c r="E324" i="3"/>
  <c r="D324" i="3"/>
  <c r="C324" i="3"/>
  <c r="W324" i="3" s="1"/>
  <c r="B324" i="3"/>
  <c r="A324" i="3"/>
  <c r="T324" i="3" s="1"/>
  <c r="I323" i="3"/>
  <c r="H323" i="3"/>
  <c r="G323" i="3"/>
  <c r="F323" i="3"/>
  <c r="U323" i="3" s="1"/>
  <c r="E323" i="3"/>
  <c r="D323" i="3"/>
  <c r="C323" i="3"/>
  <c r="W323" i="3" s="1"/>
  <c r="B323" i="3"/>
  <c r="A323" i="3"/>
  <c r="T323" i="3" s="1"/>
  <c r="I322" i="3"/>
  <c r="H322" i="3"/>
  <c r="G322" i="3"/>
  <c r="F322" i="3"/>
  <c r="U322" i="3" s="1"/>
  <c r="E322" i="3"/>
  <c r="D322" i="3"/>
  <c r="C322" i="3"/>
  <c r="W322" i="3" s="1"/>
  <c r="B322" i="3"/>
  <c r="A322" i="3"/>
  <c r="T322" i="3" s="1"/>
  <c r="I321" i="3"/>
  <c r="H321" i="3"/>
  <c r="G321" i="3"/>
  <c r="F321" i="3"/>
  <c r="U321" i="3" s="1"/>
  <c r="E321" i="3"/>
  <c r="D321" i="3"/>
  <c r="C321" i="3"/>
  <c r="W321" i="3" s="1"/>
  <c r="B321" i="3"/>
  <c r="A321" i="3"/>
  <c r="T321" i="3" s="1"/>
  <c r="I320" i="3"/>
  <c r="H320" i="3"/>
  <c r="G320" i="3"/>
  <c r="F320" i="3"/>
  <c r="U320" i="3" s="1"/>
  <c r="E320" i="3"/>
  <c r="D320" i="3"/>
  <c r="C320" i="3"/>
  <c r="W320" i="3" s="1"/>
  <c r="B320" i="3"/>
  <c r="A320" i="3"/>
  <c r="T320" i="3" s="1"/>
  <c r="I319" i="3"/>
  <c r="H319" i="3"/>
  <c r="G319" i="3"/>
  <c r="F319" i="3"/>
  <c r="U319" i="3" s="1"/>
  <c r="E319" i="3"/>
  <c r="D319" i="3"/>
  <c r="C319" i="3"/>
  <c r="W319" i="3" s="1"/>
  <c r="B319" i="3"/>
  <c r="A319" i="3"/>
  <c r="T319" i="3" s="1"/>
  <c r="I318" i="3"/>
  <c r="H318" i="3"/>
  <c r="G318" i="3"/>
  <c r="F318" i="3"/>
  <c r="U318" i="3" s="1"/>
  <c r="E318" i="3"/>
  <c r="D318" i="3"/>
  <c r="C318" i="3"/>
  <c r="W318" i="3" s="1"/>
  <c r="B318" i="3"/>
  <c r="A318" i="3"/>
  <c r="T318" i="3" s="1"/>
  <c r="I317" i="3"/>
  <c r="H317" i="3"/>
  <c r="G317" i="3"/>
  <c r="F317" i="3"/>
  <c r="U317" i="3" s="1"/>
  <c r="E317" i="3"/>
  <c r="D317" i="3"/>
  <c r="C317" i="3"/>
  <c r="W317" i="3" s="1"/>
  <c r="B317" i="3"/>
  <c r="A317" i="3"/>
  <c r="T317" i="3" s="1"/>
  <c r="I316" i="3"/>
  <c r="H316" i="3"/>
  <c r="G316" i="3"/>
  <c r="F316" i="3"/>
  <c r="U316" i="3" s="1"/>
  <c r="E316" i="3"/>
  <c r="D316" i="3"/>
  <c r="C316" i="3"/>
  <c r="W316" i="3" s="1"/>
  <c r="B316" i="3"/>
  <c r="A316" i="3"/>
  <c r="T316" i="3" s="1"/>
  <c r="I315" i="3"/>
  <c r="H315" i="3"/>
  <c r="G315" i="3"/>
  <c r="F315" i="3"/>
  <c r="U315" i="3" s="1"/>
  <c r="E315" i="3"/>
  <c r="D315" i="3"/>
  <c r="C315" i="3"/>
  <c r="W315" i="3" s="1"/>
  <c r="B315" i="3"/>
  <c r="A315" i="3"/>
  <c r="T315" i="3" s="1"/>
  <c r="I314" i="3"/>
  <c r="H314" i="3"/>
  <c r="G314" i="3"/>
  <c r="F314" i="3"/>
  <c r="U314" i="3" s="1"/>
  <c r="E314" i="3"/>
  <c r="D314" i="3"/>
  <c r="C314" i="3"/>
  <c r="W314" i="3" s="1"/>
  <c r="B314" i="3"/>
  <c r="A314" i="3"/>
  <c r="T314" i="3" s="1"/>
  <c r="I313" i="3"/>
  <c r="H313" i="3"/>
  <c r="G313" i="3"/>
  <c r="F313" i="3"/>
  <c r="U313" i="3" s="1"/>
  <c r="E313" i="3"/>
  <c r="D313" i="3"/>
  <c r="C313" i="3"/>
  <c r="W313" i="3" s="1"/>
  <c r="B313" i="3"/>
  <c r="A313" i="3"/>
  <c r="T313" i="3" s="1"/>
  <c r="I312" i="3"/>
  <c r="H312" i="3"/>
  <c r="G312" i="3"/>
  <c r="F312" i="3"/>
  <c r="U312" i="3" s="1"/>
  <c r="E312" i="3"/>
  <c r="D312" i="3"/>
  <c r="C312" i="3"/>
  <c r="W312" i="3" s="1"/>
  <c r="B312" i="3"/>
  <c r="A312" i="3"/>
  <c r="T312" i="3" s="1"/>
  <c r="I311" i="3"/>
  <c r="H311" i="3"/>
  <c r="G311" i="3"/>
  <c r="F311" i="3"/>
  <c r="U311" i="3" s="1"/>
  <c r="E311" i="3"/>
  <c r="D311" i="3"/>
  <c r="C311" i="3"/>
  <c r="W311" i="3" s="1"/>
  <c r="B311" i="3"/>
  <c r="A311" i="3"/>
  <c r="T311" i="3" s="1"/>
  <c r="I310" i="3"/>
  <c r="H310" i="3"/>
  <c r="G310" i="3"/>
  <c r="F310" i="3"/>
  <c r="U310" i="3" s="1"/>
  <c r="E310" i="3"/>
  <c r="D310" i="3"/>
  <c r="C310" i="3"/>
  <c r="W310" i="3" s="1"/>
  <c r="B310" i="3"/>
  <c r="A310" i="3"/>
  <c r="T310" i="3" s="1"/>
  <c r="I309" i="3"/>
  <c r="H309" i="3"/>
  <c r="G309" i="3"/>
  <c r="F309" i="3"/>
  <c r="U309" i="3" s="1"/>
  <c r="E309" i="3"/>
  <c r="D309" i="3"/>
  <c r="C309" i="3"/>
  <c r="W309" i="3" s="1"/>
  <c r="B309" i="3"/>
  <c r="A309" i="3"/>
  <c r="T309" i="3" s="1"/>
  <c r="I308" i="3"/>
  <c r="H308" i="3"/>
  <c r="G308" i="3"/>
  <c r="F308" i="3"/>
  <c r="U308" i="3" s="1"/>
  <c r="E308" i="3"/>
  <c r="D308" i="3"/>
  <c r="C308" i="3"/>
  <c r="W308" i="3" s="1"/>
  <c r="B308" i="3"/>
  <c r="A308" i="3"/>
  <c r="T308" i="3" s="1"/>
  <c r="I307" i="3"/>
  <c r="H307" i="3"/>
  <c r="G307" i="3"/>
  <c r="F307" i="3"/>
  <c r="U307" i="3" s="1"/>
  <c r="E307" i="3"/>
  <c r="D307" i="3"/>
  <c r="C307" i="3"/>
  <c r="W307" i="3" s="1"/>
  <c r="B307" i="3"/>
  <c r="A307" i="3"/>
  <c r="T307" i="3" s="1"/>
  <c r="I306" i="3"/>
  <c r="H306" i="3"/>
  <c r="G306" i="3"/>
  <c r="F306" i="3"/>
  <c r="U306" i="3" s="1"/>
  <c r="E306" i="3"/>
  <c r="D306" i="3"/>
  <c r="C306" i="3"/>
  <c r="W306" i="3" s="1"/>
  <c r="B306" i="3"/>
  <c r="A306" i="3"/>
  <c r="T306" i="3" s="1"/>
  <c r="I305" i="3"/>
  <c r="H305" i="3"/>
  <c r="G305" i="3"/>
  <c r="F305" i="3"/>
  <c r="U305" i="3" s="1"/>
  <c r="E305" i="3"/>
  <c r="D305" i="3"/>
  <c r="C305" i="3"/>
  <c r="W305" i="3" s="1"/>
  <c r="B305" i="3"/>
  <c r="A305" i="3"/>
  <c r="T305" i="3" s="1"/>
  <c r="I304" i="3"/>
  <c r="H304" i="3"/>
  <c r="G304" i="3"/>
  <c r="F304" i="3"/>
  <c r="U304" i="3" s="1"/>
  <c r="E304" i="3"/>
  <c r="D304" i="3"/>
  <c r="C304" i="3"/>
  <c r="W304" i="3" s="1"/>
  <c r="B304" i="3"/>
  <c r="A304" i="3"/>
  <c r="T304" i="3" s="1"/>
  <c r="I303" i="3"/>
  <c r="H303" i="3"/>
  <c r="G303" i="3"/>
  <c r="F303" i="3"/>
  <c r="U303" i="3" s="1"/>
  <c r="E303" i="3"/>
  <c r="D303" i="3"/>
  <c r="C303" i="3"/>
  <c r="W303" i="3" s="1"/>
  <c r="B303" i="3"/>
  <c r="A303" i="3"/>
  <c r="T303" i="3" s="1"/>
  <c r="I302" i="3"/>
  <c r="H302" i="3"/>
  <c r="G302" i="3"/>
  <c r="F302" i="3"/>
  <c r="U302" i="3" s="1"/>
  <c r="E302" i="3"/>
  <c r="D302" i="3"/>
  <c r="C302" i="3"/>
  <c r="W302" i="3" s="1"/>
  <c r="B302" i="3"/>
  <c r="A302" i="3"/>
  <c r="T302" i="3" s="1"/>
  <c r="P301" i="3"/>
  <c r="O301" i="3"/>
  <c r="M301" i="3"/>
  <c r="L301" i="3"/>
  <c r="I301" i="3"/>
  <c r="H301" i="3"/>
  <c r="G301" i="3"/>
  <c r="F301" i="3"/>
  <c r="U301" i="3" s="1"/>
  <c r="E301" i="3"/>
  <c r="D301" i="3"/>
  <c r="C301" i="3"/>
  <c r="W301" i="3" s="1"/>
  <c r="B301" i="3"/>
  <c r="A301" i="3"/>
  <c r="I300" i="3"/>
  <c r="H300" i="3"/>
  <c r="G300" i="3"/>
  <c r="F300" i="3"/>
  <c r="U300" i="3" s="1"/>
  <c r="E300" i="3"/>
  <c r="D300" i="3"/>
  <c r="C300" i="3"/>
  <c r="W300" i="3" s="1"/>
  <c r="B300" i="3"/>
  <c r="A300" i="3"/>
  <c r="T300" i="3" s="1"/>
  <c r="I299" i="3"/>
  <c r="H299" i="3"/>
  <c r="G299" i="3"/>
  <c r="F299" i="3"/>
  <c r="U299" i="3" s="1"/>
  <c r="E299" i="3"/>
  <c r="D299" i="3"/>
  <c r="C299" i="3"/>
  <c r="W299" i="3" s="1"/>
  <c r="B299" i="3"/>
  <c r="A299" i="3"/>
  <c r="T299" i="3" s="1"/>
  <c r="I298" i="3"/>
  <c r="H298" i="3"/>
  <c r="G298" i="3"/>
  <c r="F298" i="3"/>
  <c r="U298" i="3" s="1"/>
  <c r="E298" i="3"/>
  <c r="D298" i="3"/>
  <c r="C298" i="3"/>
  <c r="W298" i="3" s="1"/>
  <c r="B298" i="3"/>
  <c r="A298" i="3"/>
  <c r="T298" i="3" s="1"/>
  <c r="I297" i="3"/>
  <c r="H297" i="3"/>
  <c r="G297" i="3"/>
  <c r="F297" i="3"/>
  <c r="U297" i="3" s="1"/>
  <c r="E297" i="3"/>
  <c r="D297" i="3"/>
  <c r="C297" i="3"/>
  <c r="W297" i="3" s="1"/>
  <c r="B297" i="3"/>
  <c r="A297" i="3"/>
  <c r="T297" i="3" s="1"/>
  <c r="I296" i="3"/>
  <c r="H296" i="3"/>
  <c r="G296" i="3"/>
  <c r="F296" i="3"/>
  <c r="U296" i="3" s="1"/>
  <c r="E296" i="3"/>
  <c r="D296" i="3"/>
  <c r="C296" i="3"/>
  <c r="W296" i="3" s="1"/>
  <c r="B296" i="3"/>
  <c r="A296" i="3"/>
  <c r="T296" i="3" s="1"/>
  <c r="I295" i="3"/>
  <c r="H295" i="3"/>
  <c r="G295" i="3"/>
  <c r="F295" i="3"/>
  <c r="U295" i="3" s="1"/>
  <c r="E295" i="3"/>
  <c r="D295" i="3"/>
  <c r="C295" i="3"/>
  <c r="W295" i="3" s="1"/>
  <c r="B295" i="3"/>
  <c r="A295" i="3"/>
  <c r="T295" i="3" s="1"/>
  <c r="I294" i="3"/>
  <c r="H294" i="3"/>
  <c r="G294" i="3"/>
  <c r="F294" i="3"/>
  <c r="U294" i="3" s="1"/>
  <c r="E294" i="3"/>
  <c r="D294" i="3"/>
  <c r="C294" i="3"/>
  <c r="W294" i="3" s="1"/>
  <c r="B294" i="3"/>
  <c r="A294" i="3"/>
  <c r="T294" i="3" s="1"/>
  <c r="I293" i="3"/>
  <c r="H293" i="3"/>
  <c r="G293" i="3"/>
  <c r="F293" i="3"/>
  <c r="U293" i="3" s="1"/>
  <c r="E293" i="3"/>
  <c r="D293" i="3"/>
  <c r="C293" i="3"/>
  <c r="W293" i="3" s="1"/>
  <c r="B293" i="3"/>
  <c r="A293" i="3"/>
  <c r="T293" i="3" s="1"/>
  <c r="I292" i="3"/>
  <c r="H292" i="3"/>
  <c r="G292" i="3"/>
  <c r="F292" i="3"/>
  <c r="U292" i="3" s="1"/>
  <c r="E292" i="3"/>
  <c r="D292" i="3"/>
  <c r="C292" i="3"/>
  <c r="W292" i="3" s="1"/>
  <c r="B292" i="3"/>
  <c r="A292" i="3"/>
  <c r="T292" i="3" s="1"/>
  <c r="I291" i="3"/>
  <c r="H291" i="3"/>
  <c r="G291" i="3"/>
  <c r="F291" i="3"/>
  <c r="U291" i="3" s="1"/>
  <c r="E291" i="3"/>
  <c r="D291" i="3"/>
  <c r="C291" i="3"/>
  <c r="W291" i="3" s="1"/>
  <c r="B291" i="3"/>
  <c r="A291" i="3"/>
  <c r="T291" i="3" s="1"/>
  <c r="I290" i="3"/>
  <c r="H290" i="3"/>
  <c r="G290" i="3"/>
  <c r="F290" i="3"/>
  <c r="U290" i="3" s="1"/>
  <c r="E290" i="3"/>
  <c r="D290" i="3"/>
  <c r="C290" i="3"/>
  <c r="W290" i="3" s="1"/>
  <c r="B290" i="3"/>
  <c r="A290" i="3"/>
  <c r="T290" i="3" s="1"/>
  <c r="I289" i="3"/>
  <c r="H289" i="3"/>
  <c r="G289" i="3"/>
  <c r="F289" i="3"/>
  <c r="U289" i="3" s="1"/>
  <c r="E289" i="3"/>
  <c r="D289" i="3"/>
  <c r="C289" i="3"/>
  <c r="W289" i="3" s="1"/>
  <c r="B289" i="3"/>
  <c r="A289" i="3"/>
  <c r="T289" i="3" s="1"/>
  <c r="I288" i="3"/>
  <c r="H288" i="3"/>
  <c r="G288" i="3"/>
  <c r="F288" i="3"/>
  <c r="U288" i="3" s="1"/>
  <c r="E288" i="3"/>
  <c r="D288" i="3"/>
  <c r="C288" i="3"/>
  <c r="W288" i="3" s="1"/>
  <c r="B288" i="3"/>
  <c r="A288" i="3"/>
  <c r="T288" i="3" s="1"/>
  <c r="I287" i="3"/>
  <c r="H287" i="3"/>
  <c r="G287" i="3"/>
  <c r="F287" i="3"/>
  <c r="U287" i="3" s="1"/>
  <c r="E287" i="3"/>
  <c r="D287" i="3"/>
  <c r="C287" i="3"/>
  <c r="W287" i="3" s="1"/>
  <c r="B287" i="3"/>
  <c r="A287" i="3"/>
  <c r="T287" i="3" s="1"/>
  <c r="I286" i="3"/>
  <c r="H286" i="3"/>
  <c r="G286" i="3"/>
  <c r="F286" i="3"/>
  <c r="U286" i="3" s="1"/>
  <c r="E286" i="3"/>
  <c r="D286" i="3"/>
  <c r="C286" i="3"/>
  <c r="W286" i="3" s="1"/>
  <c r="B286" i="3"/>
  <c r="A286" i="3"/>
  <c r="T286" i="3" s="1"/>
  <c r="I285" i="3"/>
  <c r="H285" i="3"/>
  <c r="G285" i="3"/>
  <c r="F285" i="3"/>
  <c r="U285" i="3" s="1"/>
  <c r="E285" i="3"/>
  <c r="D285" i="3"/>
  <c r="C285" i="3"/>
  <c r="W285" i="3" s="1"/>
  <c r="B285" i="3"/>
  <c r="A285" i="3"/>
  <c r="T285" i="3" s="1"/>
  <c r="I284" i="3"/>
  <c r="H284" i="3"/>
  <c r="G284" i="3"/>
  <c r="F284" i="3"/>
  <c r="U284" i="3" s="1"/>
  <c r="E284" i="3"/>
  <c r="D284" i="3"/>
  <c r="C284" i="3"/>
  <c r="W284" i="3" s="1"/>
  <c r="B284" i="3"/>
  <c r="A284" i="3"/>
  <c r="T284" i="3" s="1"/>
  <c r="I283" i="3"/>
  <c r="H283" i="3"/>
  <c r="G283" i="3"/>
  <c r="F283" i="3"/>
  <c r="U283" i="3" s="1"/>
  <c r="E283" i="3"/>
  <c r="D283" i="3"/>
  <c r="C283" i="3"/>
  <c r="W283" i="3" s="1"/>
  <c r="B283" i="3"/>
  <c r="A283" i="3"/>
  <c r="T283" i="3" s="1"/>
  <c r="I282" i="3"/>
  <c r="H282" i="3"/>
  <c r="G282" i="3"/>
  <c r="F282" i="3"/>
  <c r="U282" i="3" s="1"/>
  <c r="E282" i="3"/>
  <c r="D282" i="3"/>
  <c r="C282" i="3"/>
  <c r="W282" i="3" s="1"/>
  <c r="B282" i="3"/>
  <c r="A282" i="3"/>
  <c r="T282" i="3" s="1"/>
  <c r="I281" i="3"/>
  <c r="H281" i="3"/>
  <c r="G281" i="3"/>
  <c r="F281" i="3"/>
  <c r="U281" i="3" s="1"/>
  <c r="E281" i="3"/>
  <c r="D281" i="3"/>
  <c r="C281" i="3"/>
  <c r="W281" i="3" s="1"/>
  <c r="B281" i="3"/>
  <c r="A281" i="3"/>
  <c r="T281" i="3" s="1"/>
  <c r="I280" i="3"/>
  <c r="H280" i="3"/>
  <c r="G280" i="3"/>
  <c r="F280" i="3"/>
  <c r="U280" i="3" s="1"/>
  <c r="E280" i="3"/>
  <c r="D280" i="3"/>
  <c r="C280" i="3"/>
  <c r="W280" i="3" s="1"/>
  <c r="B280" i="3"/>
  <c r="A280" i="3"/>
  <c r="T280" i="3" s="1"/>
  <c r="I279" i="3"/>
  <c r="H279" i="3"/>
  <c r="G279" i="3"/>
  <c r="F279" i="3"/>
  <c r="U279" i="3" s="1"/>
  <c r="E279" i="3"/>
  <c r="D279" i="3"/>
  <c r="C279" i="3"/>
  <c r="W279" i="3" s="1"/>
  <c r="B279" i="3"/>
  <c r="A279" i="3"/>
  <c r="T279" i="3" s="1"/>
  <c r="I278" i="3"/>
  <c r="H278" i="3"/>
  <c r="G278" i="3"/>
  <c r="F278" i="3"/>
  <c r="U278" i="3" s="1"/>
  <c r="E278" i="3"/>
  <c r="D278" i="3"/>
  <c r="C278" i="3"/>
  <c r="W278" i="3" s="1"/>
  <c r="B278" i="3"/>
  <c r="A278" i="3"/>
  <c r="T278" i="3" s="1"/>
  <c r="I277" i="3"/>
  <c r="H277" i="3"/>
  <c r="G277" i="3"/>
  <c r="F277" i="3"/>
  <c r="U277" i="3" s="1"/>
  <c r="E277" i="3"/>
  <c r="D277" i="3"/>
  <c r="C277" i="3"/>
  <c r="W277" i="3" s="1"/>
  <c r="B277" i="3"/>
  <c r="A277" i="3"/>
  <c r="T277" i="3" s="1"/>
  <c r="I276" i="3"/>
  <c r="H276" i="3"/>
  <c r="G276" i="3"/>
  <c r="F276" i="3"/>
  <c r="U276" i="3" s="1"/>
  <c r="E276" i="3"/>
  <c r="D276" i="3"/>
  <c r="C276" i="3"/>
  <c r="W276" i="3" s="1"/>
  <c r="B276" i="3"/>
  <c r="A276" i="3"/>
  <c r="T276" i="3" s="1"/>
  <c r="I275" i="3"/>
  <c r="H275" i="3"/>
  <c r="G275" i="3"/>
  <c r="F275" i="3"/>
  <c r="U275" i="3" s="1"/>
  <c r="E275" i="3"/>
  <c r="D275" i="3"/>
  <c r="C275" i="3"/>
  <c r="W275" i="3" s="1"/>
  <c r="B275" i="3"/>
  <c r="A275" i="3"/>
  <c r="T275" i="3" s="1"/>
  <c r="I274" i="3"/>
  <c r="H274" i="3"/>
  <c r="G274" i="3"/>
  <c r="F274" i="3"/>
  <c r="U274" i="3" s="1"/>
  <c r="E274" i="3"/>
  <c r="D274" i="3"/>
  <c r="C274" i="3"/>
  <c r="W274" i="3" s="1"/>
  <c r="B274" i="3"/>
  <c r="A274" i="3"/>
  <c r="T274" i="3" s="1"/>
  <c r="I273" i="3"/>
  <c r="H273" i="3"/>
  <c r="G273" i="3"/>
  <c r="F273" i="3"/>
  <c r="U273" i="3" s="1"/>
  <c r="E273" i="3"/>
  <c r="D273" i="3"/>
  <c r="C273" i="3"/>
  <c r="W273" i="3" s="1"/>
  <c r="B273" i="3"/>
  <c r="A273" i="3"/>
  <c r="T273" i="3" s="1"/>
  <c r="I272" i="3"/>
  <c r="H272" i="3"/>
  <c r="G272" i="3"/>
  <c r="F272" i="3"/>
  <c r="U272" i="3" s="1"/>
  <c r="E272" i="3"/>
  <c r="D272" i="3"/>
  <c r="C272" i="3"/>
  <c r="W272" i="3" s="1"/>
  <c r="B272" i="3"/>
  <c r="A272" i="3"/>
  <c r="T272" i="3" s="1"/>
  <c r="I271" i="3"/>
  <c r="H271" i="3"/>
  <c r="G271" i="3"/>
  <c r="F271" i="3"/>
  <c r="U271" i="3" s="1"/>
  <c r="E271" i="3"/>
  <c r="D271" i="3"/>
  <c r="C271" i="3"/>
  <c r="W271" i="3" s="1"/>
  <c r="B271" i="3"/>
  <c r="A271" i="3"/>
  <c r="T271" i="3" s="1"/>
  <c r="I270" i="3"/>
  <c r="H270" i="3"/>
  <c r="G270" i="3"/>
  <c r="F270" i="3"/>
  <c r="U270" i="3" s="1"/>
  <c r="E270" i="3"/>
  <c r="D270" i="3"/>
  <c r="C270" i="3"/>
  <c r="W270" i="3" s="1"/>
  <c r="B270" i="3"/>
  <c r="A270" i="3"/>
  <c r="T270" i="3" s="1"/>
  <c r="I269" i="3"/>
  <c r="H269" i="3"/>
  <c r="G269" i="3"/>
  <c r="F269" i="3"/>
  <c r="U269" i="3" s="1"/>
  <c r="E269" i="3"/>
  <c r="D269" i="3"/>
  <c r="C269" i="3"/>
  <c r="W269" i="3" s="1"/>
  <c r="B269" i="3"/>
  <c r="A269" i="3"/>
  <c r="T269" i="3" s="1"/>
  <c r="I268" i="3"/>
  <c r="H268" i="3"/>
  <c r="G268" i="3"/>
  <c r="F268" i="3"/>
  <c r="U268" i="3" s="1"/>
  <c r="E268" i="3"/>
  <c r="D268" i="3"/>
  <c r="C268" i="3"/>
  <c r="W268" i="3" s="1"/>
  <c r="B268" i="3"/>
  <c r="A268" i="3"/>
  <c r="T268" i="3" s="1"/>
  <c r="I267" i="3"/>
  <c r="H267" i="3"/>
  <c r="G267" i="3"/>
  <c r="F267" i="3"/>
  <c r="U267" i="3" s="1"/>
  <c r="E267" i="3"/>
  <c r="D267" i="3"/>
  <c r="C267" i="3"/>
  <c r="W267" i="3" s="1"/>
  <c r="B267" i="3"/>
  <c r="A267" i="3"/>
  <c r="T267" i="3" s="1"/>
  <c r="I266" i="3"/>
  <c r="H266" i="3"/>
  <c r="G266" i="3"/>
  <c r="F266" i="3"/>
  <c r="U266" i="3" s="1"/>
  <c r="E266" i="3"/>
  <c r="D266" i="3"/>
  <c r="C266" i="3"/>
  <c r="W266" i="3" s="1"/>
  <c r="B266" i="3"/>
  <c r="A266" i="3"/>
  <c r="T266" i="3" s="1"/>
  <c r="I265" i="3"/>
  <c r="H265" i="3"/>
  <c r="G265" i="3"/>
  <c r="F265" i="3"/>
  <c r="U265" i="3" s="1"/>
  <c r="E265" i="3"/>
  <c r="D265" i="3"/>
  <c r="C265" i="3"/>
  <c r="W265" i="3" s="1"/>
  <c r="B265" i="3"/>
  <c r="A265" i="3"/>
  <c r="T265" i="3" s="1"/>
  <c r="I264" i="3"/>
  <c r="H264" i="3"/>
  <c r="G264" i="3"/>
  <c r="F264" i="3"/>
  <c r="U264" i="3" s="1"/>
  <c r="E264" i="3"/>
  <c r="D264" i="3"/>
  <c r="C264" i="3"/>
  <c r="W264" i="3" s="1"/>
  <c r="B264" i="3"/>
  <c r="A264" i="3"/>
  <c r="T264" i="3" s="1"/>
  <c r="I263" i="3"/>
  <c r="H263" i="3"/>
  <c r="G263" i="3"/>
  <c r="F263" i="3"/>
  <c r="U263" i="3" s="1"/>
  <c r="E263" i="3"/>
  <c r="D263" i="3"/>
  <c r="C263" i="3"/>
  <c r="W263" i="3" s="1"/>
  <c r="B263" i="3"/>
  <c r="A263" i="3"/>
  <c r="T263" i="3" s="1"/>
  <c r="I262" i="3"/>
  <c r="H262" i="3"/>
  <c r="G262" i="3"/>
  <c r="F262" i="3"/>
  <c r="U262" i="3" s="1"/>
  <c r="E262" i="3"/>
  <c r="D262" i="3"/>
  <c r="C262" i="3"/>
  <c r="W262" i="3" s="1"/>
  <c r="B262" i="3"/>
  <c r="A262" i="3"/>
  <c r="T262" i="3" s="1"/>
  <c r="I261" i="3"/>
  <c r="H261" i="3"/>
  <c r="G261" i="3"/>
  <c r="F261" i="3"/>
  <c r="U261" i="3" s="1"/>
  <c r="E261" i="3"/>
  <c r="D261" i="3"/>
  <c r="C261" i="3"/>
  <c r="W261" i="3" s="1"/>
  <c r="B261" i="3"/>
  <c r="A261" i="3"/>
  <c r="T261" i="3" s="1"/>
  <c r="I260" i="3"/>
  <c r="H260" i="3"/>
  <c r="G260" i="3"/>
  <c r="F260" i="3"/>
  <c r="U260" i="3" s="1"/>
  <c r="E260" i="3"/>
  <c r="D260" i="3"/>
  <c r="C260" i="3"/>
  <c r="W260" i="3" s="1"/>
  <c r="B260" i="3"/>
  <c r="A260" i="3"/>
  <c r="T260" i="3" s="1"/>
  <c r="I259" i="3"/>
  <c r="H259" i="3"/>
  <c r="G259" i="3"/>
  <c r="F259" i="3"/>
  <c r="U259" i="3" s="1"/>
  <c r="E259" i="3"/>
  <c r="D259" i="3"/>
  <c r="C259" i="3"/>
  <c r="W259" i="3" s="1"/>
  <c r="B259" i="3"/>
  <c r="A259" i="3"/>
  <c r="T259" i="3" s="1"/>
  <c r="I258" i="3"/>
  <c r="H258" i="3"/>
  <c r="G258" i="3"/>
  <c r="F258" i="3"/>
  <c r="U258" i="3" s="1"/>
  <c r="E258" i="3"/>
  <c r="D258" i="3"/>
  <c r="C258" i="3"/>
  <c r="W258" i="3" s="1"/>
  <c r="B258" i="3"/>
  <c r="A258" i="3"/>
  <c r="T258" i="3" s="1"/>
  <c r="I257" i="3"/>
  <c r="H257" i="3"/>
  <c r="G257" i="3"/>
  <c r="F257" i="3"/>
  <c r="U257" i="3" s="1"/>
  <c r="E257" i="3"/>
  <c r="D257" i="3"/>
  <c r="C257" i="3"/>
  <c r="W257" i="3" s="1"/>
  <c r="B257" i="3"/>
  <c r="A257" i="3"/>
  <c r="T257" i="3" s="1"/>
  <c r="I256" i="3"/>
  <c r="H256" i="3"/>
  <c r="G256" i="3"/>
  <c r="F256" i="3"/>
  <c r="U256" i="3" s="1"/>
  <c r="E256" i="3"/>
  <c r="D256" i="3"/>
  <c r="C256" i="3"/>
  <c r="W256" i="3" s="1"/>
  <c r="B256" i="3"/>
  <c r="A256" i="3"/>
  <c r="T256" i="3" s="1"/>
  <c r="I255" i="3"/>
  <c r="H255" i="3"/>
  <c r="G255" i="3"/>
  <c r="F255" i="3"/>
  <c r="U255" i="3" s="1"/>
  <c r="E255" i="3"/>
  <c r="D255" i="3"/>
  <c r="C255" i="3"/>
  <c r="W255" i="3" s="1"/>
  <c r="B255" i="3"/>
  <c r="A255" i="3"/>
  <c r="T255" i="3" s="1"/>
  <c r="I254" i="3"/>
  <c r="H254" i="3"/>
  <c r="G254" i="3"/>
  <c r="F254" i="3"/>
  <c r="U254" i="3" s="1"/>
  <c r="E254" i="3"/>
  <c r="D254" i="3"/>
  <c r="C254" i="3"/>
  <c r="W254" i="3" s="1"/>
  <c r="B254" i="3"/>
  <c r="A254" i="3"/>
  <c r="T254" i="3" s="1"/>
  <c r="I253" i="3"/>
  <c r="H253" i="3"/>
  <c r="G253" i="3"/>
  <c r="F253" i="3"/>
  <c r="U253" i="3" s="1"/>
  <c r="E253" i="3"/>
  <c r="D253" i="3"/>
  <c r="C253" i="3"/>
  <c r="W253" i="3" s="1"/>
  <c r="B253" i="3"/>
  <c r="A253" i="3"/>
  <c r="T253" i="3" s="1"/>
  <c r="I252" i="3"/>
  <c r="H252" i="3"/>
  <c r="G252" i="3"/>
  <c r="F252" i="3"/>
  <c r="U252" i="3" s="1"/>
  <c r="E252" i="3"/>
  <c r="D252" i="3"/>
  <c r="C252" i="3"/>
  <c r="W252" i="3" s="1"/>
  <c r="B252" i="3"/>
  <c r="A252" i="3"/>
  <c r="T252" i="3" s="1"/>
  <c r="I251" i="3"/>
  <c r="H251" i="3"/>
  <c r="G251" i="3"/>
  <c r="F251" i="3"/>
  <c r="U251" i="3" s="1"/>
  <c r="E251" i="3"/>
  <c r="D251" i="3"/>
  <c r="C251" i="3"/>
  <c r="W251" i="3" s="1"/>
  <c r="B251" i="3"/>
  <c r="A251" i="3"/>
  <c r="T251" i="3" s="1"/>
  <c r="I250" i="3"/>
  <c r="H250" i="3"/>
  <c r="G250" i="3"/>
  <c r="F250" i="3"/>
  <c r="U250" i="3" s="1"/>
  <c r="E250" i="3"/>
  <c r="D250" i="3"/>
  <c r="C250" i="3"/>
  <c r="W250" i="3" s="1"/>
  <c r="B250" i="3"/>
  <c r="A250" i="3"/>
  <c r="T250" i="3" s="1"/>
  <c r="I249" i="3"/>
  <c r="H249" i="3"/>
  <c r="G249" i="3"/>
  <c r="F249" i="3"/>
  <c r="U249" i="3" s="1"/>
  <c r="E249" i="3"/>
  <c r="D249" i="3"/>
  <c r="C249" i="3"/>
  <c r="W249" i="3" s="1"/>
  <c r="B249" i="3"/>
  <c r="A249" i="3"/>
  <c r="T249" i="3" s="1"/>
  <c r="I248" i="3"/>
  <c r="H248" i="3"/>
  <c r="G248" i="3"/>
  <c r="F248" i="3"/>
  <c r="U248" i="3" s="1"/>
  <c r="E248" i="3"/>
  <c r="D248" i="3"/>
  <c r="C248" i="3"/>
  <c r="W248" i="3" s="1"/>
  <c r="B248" i="3"/>
  <c r="A248" i="3"/>
  <c r="T248" i="3" s="1"/>
  <c r="I247" i="3"/>
  <c r="H247" i="3"/>
  <c r="G247" i="3"/>
  <c r="F247" i="3"/>
  <c r="U247" i="3" s="1"/>
  <c r="E247" i="3"/>
  <c r="D247" i="3"/>
  <c r="C247" i="3"/>
  <c r="W247" i="3" s="1"/>
  <c r="B247" i="3"/>
  <c r="A247" i="3"/>
  <c r="T247" i="3" s="1"/>
  <c r="I246" i="3"/>
  <c r="H246" i="3"/>
  <c r="G246" i="3"/>
  <c r="F246" i="3"/>
  <c r="U246" i="3" s="1"/>
  <c r="E246" i="3"/>
  <c r="D246" i="3"/>
  <c r="C246" i="3"/>
  <c r="W246" i="3" s="1"/>
  <c r="B246" i="3"/>
  <c r="A246" i="3"/>
  <c r="T246" i="3" s="1"/>
  <c r="I245" i="3"/>
  <c r="H245" i="3"/>
  <c r="G245" i="3"/>
  <c r="F245" i="3"/>
  <c r="U245" i="3" s="1"/>
  <c r="E245" i="3"/>
  <c r="D245" i="3"/>
  <c r="C245" i="3"/>
  <c r="W245" i="3" s="1"/>
  <c r="B245" i="3"/>
  <c r="A245" i="3"/>
  <c r="T245" i="3" s="1"/>
  <c r="I244" i="3"/>
  <c r="H244" i="3"/>
  <c r="G244" i="3"/>
  <c r="F244" i="3"/>
  <c r="U244" i="3" s="1"/>
  <c r="E244" i="3"/>
  <c r="D244" i="3"/>
  <c r="C244" i="3"/>
  <c r="W244" i="3" s="1"/>
  <c r="B244" i="3"/>
  <c r="A244" i="3"/>
  <c r="T244" i="3" s="1"/>
  <c r="I243" i="3"/>
  <c r="H243" i="3"/>
  <c r="G243" i="3"/>
  <c r="F243" i="3"/>
  <c r="U243" i="3" s="1"/>
  <c r="E243" i="3"/>
  <c r="D243" i="3"/>
  <c r="C243" i="3"/>
  <c r="W243" i="3" s="1"/>
  <c r="B243" i="3"/>
  <c r="A243" i="3"/>
  <c r="T243" i="3" s="1"/>
  <c r="I242" i="3"/>
  <c r="H242" i="3"/>
  <c r="G242" i="3"/>
  <c r="F242" i="3"/>
  <c r="U242" i="3" s="1"/>
  <c r="E242" i="3"/>
  <c r="D242" i="3"/>
  <c r="C242" i="3"/>
  <c r="W242" i="3" s="1"/>
  <c r="B242" i="3"/>
  <c r="A242" i="3"/>
  <c r="T242" i="3" s="1"/>
  <c r="I241" i="3"/>
  <c r="H241" i="3"/>
  <c r="G241" i="3"/>
  <c r="F241" i="3"/>
  <c r="U241" i="3" s="1"/>
  <c r="E241" i="3"/>
  <c r="D241" i="3"/>
  <c r="C241" i="3"/>
  <c r="W241" i="3" s="1"/>
  <c r="B241" i="3"/>
  <c r="A241" i="3"/>
  <c r="T241" i="3" s="1"/>
  <c r="I240" i="3"/>
  <c r="H240" i="3"/>
  <c r="G240" i="3"/>
  <c r="F240" i="3"/>
  <c r="U240" i="3" s="1"/>
  <c r="E240" i="3"/>
  <c r="D240" i="3"/>
  <c r="C240" i="3"/>
  <c r="W240" i="3" s="1"/>
  <c r="B240" i="3"/>
  <c r="A240" i="3"/>
  <c r="T240" i="3" s="1"/>
  <c r="I239" i="3"/>
  <c r="H239" i="3"/>
  <c r="G239" i="3"/>
  <c r="F239" i="3"/>
  <c r="U239" i="3" s="1"/>
  <c r="E239" i="3"/>
  <c r="D239" i="3"/>
  <c r="C239" i="3"/>
  <c r="W239" i="3" s="1"/>
  <c r="B239" i="3"/>
  <c r="A239" i="3"/>
  <c r="T239" i="3" s="1"/>
  <c r="I238" i="3"/>
  <c r="H238" i="3"/>
  <c r="G238" i="3"/>
  <c r="F238" i="3"/>
  <c r="U238" i="3" s="1"/>
  <c r="E238" i="3"/>
  <c r="D238" i="3"/>
  <c r="C238" i="3"/>
  <c r="W238" i="3" s="1"/>
  <c r="B238" i="3"/>
  <c r="A238" i="3"/>
  <c r="T238" i="3" s="1"/>
  <c r="I237" i="3"/>
  <c r="H237" i="3"/>
  <c r="G237" i="3"/>
  <c r="F237" i="3"/>
  <c r="U237" i="3" s="1"/>
  <c r="E237" i="3"/>
  <c r="D237" i="3"/>
  <c r="C237" i="3"/>
  <c r="W237" i="3" s="1"/>
  <c r="B237" i="3"/>
  <c r="A237" i="3"/>
  <c r="T237" i="3" s="1"/>
  <c r="I236" i="3"/>
  <c r="H236" i="3"/>
  <c r="G236" i="3"/>
  <c r="F236" i="3"/>
  <c r="U236" i="3" s="1"/>
  <c r="E236" i="3"/>
  <c r="D236" i="3"/>
  <c r="C236" i="3"/>
  <c r="W236" i="3" s="1"/>
  <c r="B236" i="3"/>
  <c r="A236" i="3"/>
  <c r="T236" i="3" s="1"/>
  <c r="I235" i="3"/>
  <c r="H235" i="3"/>
  <c r="G235" i="3"/>
  <c r="F235" i="3"/>
  <c r="U235" i="3" s="1"/>
  <c r="E235" i="3"/>
  <c r="D235" i="3"/>
  <c r="C235" i="3"/>
  <c r="W235" i="3" s="1"/>
  <c r="B235" i="3"/>
  <c r="A235" i="3"/>
  <c r="T235" i="3" s="1"/>
  <c r="I234" i="3"/>
  <c r="H234" i="3"/>
  <c r="G234" i="3"/>
  <c r="F234" i="3"/>
  <c r="U234" i="3" s="1"/>
  <c r="E234" i="3"/>
  <c r="D234" i="3"/>
  <c r="C234" i="3"/>
  <c r="W234" i="3" s="1"/>
  <c r="B234" i="3"/>
  <c r="A234" i="3"/>
  <c r="T234" i="3" s="1"/>
  <c r="I233" i="3"/>
  <c r="H233" i="3"/>
  <c r="G233" i="3"/>
  <c r="F233" i="3"/>
  <c r="U233" i="3" s="1"/>
  <c r="E233" i="3"/>
  <c r="D233" i="3"/>
  <c r="C233" i="3"/>
  <c r="W233" i="3" s="1"/>
  <c r="B233" i="3"/>
  <c r="A233" i="3"/>
  <c r="T233" i="3" s="1"/>
  <c r="I232" i="3"/>
  <c r="H232" i="3"/>
  <c r="G232" i="3"/>
  <c r="F232" i="3"/>
  <c r="U232" i="3" s="1"/>
  <c r="E232" i="3"/>
  <c r="D232" i="3"/>
  <c r="C232" i="3"/>
  <c r="W232" i="3" s="1"/>
  <c r="B232" i="3"/>
  <c r="A232" i="3"/>
  <c r="T232" i="3" s="1"/>
  <c r="I231" i="3"/>
  <c r="H231" i="3"/>
  <c r="G231" i="3"/>
  <c r="F231" i="3"/>
  <c r="U231" i="3" s="1"/>
  <c r="E231" i="3"/>
  <c r="D231" i="3"/>
  <c r="C231" i="3"/>
  <c r="W231" i="3" s="1"/>
  <c r="B231" i="3"/>
  <c r="A231" i="3"/>
  <c r="T231" i="3" s="1"/>
  <c r="I230" i="3"/>
  <c r="H230" i="3"/>
  <c r="G230" i="3"/>
  <c r="F230" i="3"/>
  <c r="U230" i="3" s="1"/>
  <c r="E230" i="3"/>
  <c r="D230" i="3"/>
  <c r="C230" i="3"/>
  <c r="W230" i="3" s="1"/>
  <c r="B230" i="3"/>
  <c r="A230" i="3"/>
  <c r="T230" i="3" s="1"/>
  <c r="I229" i="3"/>
  <c r="H229" i="3"/>
  <c r="G229" i="3"/>
  <c r="F229" i="3"/>
  <c r="U229" i="3" s="1"/>
  <c r="E229" i="3"/>
  <c r="D229" i="3"/>
  <c r="C229" i="3"/>
  <c r="W229" i="3" s="1"/>
  <c r="B229" i="3"/>
  <c r="A229" i="3"/>
  <c r="T229" i="3" s="1"/>
  <c r="I228" i="3"/>
  <c r="H228" i="3"/>
  <c r="G228" i="3"/>
  <c r="F228" i="3"/>
  <c r="U228" i="3" s="1"/>
  <c r="E228" i="3"/>
  <c r="D228" i="3"/>
  <c r="C228" i="3"/>
  <c r="W228" i="3" s="1"/>
  <c r="B228" i="3"/>
  <c r="A228" i="3"/>
  <c r="T228" i="3" s="1"/>
  <c r="I227" i="3"/>
  <c r="H227" i="3"/>
  <c r="G227" i="3"/>
  <c r="F227" i="3"/>
  <c r="U227" i="3" s="1"/>
  <c r="E227" i="3"/>
  <c r="D227" i="3"/>
  <c r="C227" i="3"/>
  <c r="W227" i="3" s="1"/>
  <c r="B227" i="3"/>
  <c r="A227" i="3"/>
  <c r="T227" i="3" s="1"/>
  <c r="I226" i="3"/>
  <c r="H226" i="3"/>
  <c r="G226" i="3"/>
  <c r="F226" i="3"/>
  <c r="U226" i="3" s="1"/>
  <c r="E226" i="3"/>
  <c r="D226" i="3"/>
  <c r="C226" i="3"/>
  <c r="W226" i="3" s="1"/>
  <c r="B226" i="3"/>
  <c r="A226" i="3"/>
  <c r="T226" i="3" s="1"/>
  <c r="I225" i="3"/>
  <c r="H225" i="3"/>
  <c r="G225" i="3"/>
  <c r="F225" i="3"/>
  <c r="U225" i="3" s="1"/>
  <c r="E225" i="3"/>
  <c r="D225" i="3"/>
  <c r="C225" i="3"/>
  <c r="W225" i="3" s="1"/>
  <c r="B225" i="3"/>
  <c r="A225" i="3"/>
  <c r="T225" i="3" s="1"/>
  <c r="I224" i="3"/>
  <c r="H224" i="3"/>
  <c r="G224" i="3"/>
  <c r="F224" i="3"/>
  <c r="U224" i="3" s="1"/>
  <c r="E224" i="3"/>
  <c r="D224" i="3"/>
  <c r="C224" i="3"/>
  <c r="W224" i="3" s="1"/>
  <c r="B224" i="3"/>
  <c r="A224" i="3"/>
  <c r="T224" i="3" s="1"/>
  <c r="I223" i="3"/>
  <c r="H223" i="3"/>
  <c r="G223" i="3"/>
  <c r="F223" i="3"/>
  <c r="U223" i="3" s="1"/>
  <c r="E223" i="3"/>
  <c r="D223" i="3"/>
  <c r="C223" i="3"/>
  <c r="W223" i="3" s="1"/>
  <c r="B223" i="3"/>
  <c r="A223" i="3"/>
  <c r="T223" i="3" s="1"/>
  <c r="I222" i="3"/>
  <c r="H222" i="3"/>
  <c r="G222" i="3"/>
  <c r="F222" i="3"/>
  <c r="U222" i="3" s="1"/>
  <c r="E222" i="3"/>
  <c r="D222" i="3"/>
  <c r="C222" i="3"/>
  <c r="W222" i="3" s="1"/>
  <c r="B222" i="3"/>
  <c r="A222" i="3"/>
  <c r="T222" i="3" s="1"/>
  <c r="I221" i="3"/>
  <c r="H221" i="3"/>
  <c r="G221" i="3"/>
  <c r="F221" i="3"/>
  <c r="U221" i="3" s="1"/>
  <c r="E221" i="3"/>
  <c r="D221" i="3"/>
  <c r="C221" i="3"/>
  <c r="W221" i="3" s="1"/>
  <c r="B221" i="3"/>
  <c r="A221" i="3"/>
  <c r="T221" i="3" s="1"/>
  <c r="I220" i="3"/>
  <c r="H220" i="3"/>
  <c r="G220" i="3"/>
  <c r="F220" i="3"/>
  <c r="U220" i="3" s="1"/>
  <c r="E220" i="3"/>
  <c r="D220" i="3"/>
  <c r="C220" i="3"/>
  <c r="W220" i="3" s="1"/>
  <c r="B220" i="3"/>
  <c r="A220" i="3"/>
  <c r="T220" i="3" s="1"/>
  <c r="I219" i="3"/>
  <c r="H219" i="3"/>
  <c r="G219" i="3"/>
  <c r="F219" i="3"/>
  <c r="U219" i="3" s="1"/>
  <c r="E219" i="3"/>
  <c r="D219" i="3"/>
  <c r="C219" i="3"/>
  <c r="W219" i="3" s="1"/>
  <c r="B219" i="3"/>
  <c r="A219" i="3"/>
  <c r="T219" i="3" s="1"/>
  <c r="I218" i="3"/>
  <c r="H218" i="3"/>
  <c r="G218" i="3"/>
  <c r="F218" i="3"/>
  <c r="U218" i="3" s="1"/>
  <c r="E218" i="3"/>
  <c r="D218" i="3"/>
  <c r="C218" i="3"/>
  <c r="W218" i="3" s="1"/>
  <c r="B218" i="3"/>
  <c r="A218" i="3"/>
  <c r="T218" i="3" s="1"/>
  <c r="I217" i="3"/>
  <c r="H217" i="3"/>
  <c r="G217" i="3"/>
  <c r="F217" i="3"/>
  <c r="U217" i="3" s="1"/>
  <c r="E217" i="3"/>
  <c r="D217" i="3"/>
  <c r="C217" i="3"/>
  <c r="W217" i="3" s="1"/>
  <c r="B217" i="3"/>
  <c r="A217" i="3"/>
  <c r="T217" i="3" s="1"/>
  <c r="I216" i="3"/>
  <c r="H216" i="3"/>
  <c r="G216" i="3"/>
  <c r="F216" i="3"/>
  <c r="U216" i="3" s="1"/>
  <c r="E216" i="3"/>
  <c r="D216" i="3"/>
  <c r="C216" i="3"/>
  <c r="W216" i="3" s="1"/>
  <c r="B216" i="3"/>
  <c r="A216" i="3"/>
  <c r="T216" i="3" s="1"/>
  <c r="I215" i="3"/>
  <c r="H215" i="3"/>
  <c r="G215" i="3"/>
  <c r="F215" i="3"/>
  <c r="U215" i="3" s="1"/>
  <c r="E215" i="3"/>
  <c r="D215" i="3"/>
  <c r="C215" i="3"/>
  <c r="W215" i="3" s="1"/>
  <c r="B215" i="3"/>
  <c r="A215" i="3"/>
  <c r="T215" i="3" s="1"/>
  <c r="I214" i="3"/>
  <c r="H214" i="3"/>
  <c r="G214" i="3"/>
  <c r="F214" i="3"/>
  <c r="U214" i="3" s="1"/>
  <c r="E214" i="3"/>
  <c r="D214" i="3"/>
  <c r="C214" i="3"/>
  <c r="W214" i="3" s="1"/>
  <c r="B214" i="3"/>
  <c r="A214" i="3"/>
  <c r="T214" i="3" s="1"/>
  <c r="I213" i="3"/>
  <c r="H213" i="3"/>
  <c r="G213" i="3"/>
  <c r="F213" i="3"/>
  <c r="U213" i="3" s="1"/>
  <c r="E213" i="3"/>
  <c r="D213" i="3"/>
  <c r="C213" i="3"/>
  <c r="W213" i="3" s="1"/>
  <c r="B213" i="3"/>
  <c r="A213" i="3"/>
  <c r="T213" i="3" s="1"/>
  <c r="I212" i="3"/>
  <c r="H212" i="3"/>
  <c r="G212" i="3"/>
  <c r="F212" i="3"/>
  <c r="U212" i="3" s="1"/>
  <c r="E212" i="3"/>
  <c r="D212" i="3"/>
  <c r="C212" i="3"/>
  <c r="W212" i="3" s="1"/>
  <c r="B212" i="3"/>
  <c r="A212" i="3"/>
  <c r="T212" i="3" s="1"/>
  <c r="I211" i="3"/>
  <c r="H211" i="3"/>
  <c r="G211" i="3"/>
  <c r="F211" i="3"/>
  <c r="U211" i="3" s="1"/>
  <c r="E211" i="3"/>
  <c r="D211" i="3"/>
  <c r="C211" i="3"/>
  <c r="W211" i="3" s="1"/>
  <c r="B211" i="3"/>
  <c r="A211" i="3"/>
  <c r="T211" i="3" s="1"/>
  <c r="I210" i="3"/>
  <c r="H210" i="3"/>
  <c r="G210" i="3"/>
  <c r="F210" i="3"/>
  <c r="U210" i="3" s="1"/>
  <c r="E210" i="3"/>
  <c r="D210" i="3"/>
  <c r="C210" i="3"/>
  <c r="W210" i="3" s="1"/>
  <c r="B210" i="3"/>
  <c r="A210" i="3"/>
  <c r="T210" i="3" s="1"/>
  <c r="I209" i="3"/>
  <c r="H209" i="3"/>
  <c r="G209" i="3"/>
  <c r="F209" i="3"/>
  <c r="U209" i="3" s="1"/>
  <c r="E209" i="3"/>
  <c r="D209" i="3"/>
  <c r="C209" i="3"/>
  <c r="W209" i="3" s="1"/>
  <c r="B209" i="3"/>
  <c r="A209" i="3"/>
  <c r="T209" i="3" s="1"/>
  <c r="I208" i="3"/>
  <c r="H208" i="3"/>
  <c r="G208" i="3"/>
  <c r="F208" i="3"/>
  <c r="U208" i="3" s="1"/>
  <c r="E208" i="3"/>
  <c r="D208" i="3"/>
  <c r="C208" i="3"/>
  <c r="W208" i="3" s="1"/>
  <c r="B208" i="3"/>
  <c r="A208" i="3"/>
  <c r="T208" i="3" s="1"/>
  <c r="I207" i="3"/>
  <c r="H207" i="3"/>
  <c r="G207" i="3"/>
  <c r="F207" i="3"/>
  <c r="U207" i="3" s="1"/>
  <c r="E207" i="3"/>
  <c r="D207" i="3"/>
  <c r="C207" i="3"/>
  <c r="W207" i="3" s="1"/>
  <c r="B207" i="3"/>
  <c r="A207" i="3"/>
  <c r="T207" i="3" s="1"/>
  <c r="I206" i="3"/>
  <c r="H206" i="3"/>
  <c r="G206" i="3"/>
  <c r="F206" i="3"/>
  <c r="U206" i="3" s="1"/>
  <c r="E206" i="3"/>
  <c r="D206" i="3"/>
  <c r="C206" i="3"/>
  <c r="W206" i="3" s="1"/>
  <c r="B206" i="3"/>
  <c r="A206" i="3"/>
  <c r="T206" i="3" s="1"/>
  <c r="I205" i="3"/>
  <c r="H205" i="3"/>
  <c r="G205" i="3"/>
  <c r="F205" i="3"/>
  <c r="U205" i="3" s="1"/>
  <c r="E205" i="3"/>
  <c r="D205" i="3"/>
  <c r="C205" i="3"/>
  <c r="W205" i="3" s="1"/>
  <c r="B205" i="3"/>
  <c r="A205" i="3"/>
  <c r="T205" i="3" s="1"/>
  <c r="I204" i="3"/>
  <c r="H204" i="3"/>
  <c r="G204" i="3"/>
  <c r="F204" i="3"/>
  <c r="U204" i="3" s="1"/>
  <c r="E204" i="3"/>
  <c r="D204" i="3"/>
  <c r="C204" i="3"/>
  <c r="W204" i="3" s="1"/>
  <c r="B204" i="3"/>
  <c r="A204" i="3"/>
  <c r="T204" i="3" s="1"/>
  <c r="I203" i="3"/>
  <c r="H203" i="3"/>
  <c r="G203" i="3"/>
  <c r="F203" i="3"/>
  <c r="U203" i="3" s="1"/>
  <c r="E203" i="3"/>
  <c r="D203" i="3"/>
  <c r="C203" i="3"/>
  <c r="W203" i="3" s="1"/>
  <c r="B203" i="3"/>
  <c r="A203" i="3"/>
  <c r="T203" i="3" s="1"/>
  <c r="I202" i="3"/>
  <c r="H202" i="3"/>
  <c r="G202" i="3"/>
  <c r="F202" i="3"/>
  <c r="U202" i="3" s="1"/>
  <c r="E202" i="3"/>
  <c r="D202" i="3"/>
  <c r="C202" i="3"/>
  <c r="W202" i="3" s="1"/>
  <c r="B202" i="3"/>
  <c r="A202" i="3"/>
  <c r="T202" i="3" s="1"/>
  <c r="I201" i="3"/>
  <c r="H201" i="3"/>
  <c r="G201" i="3"/>
  <c r="F201" i="3"/>
  <c r="U201" i="3" s="1"/>
  <c r="E201" i="3"/>
  <c r="D201" i="3"/>
  <c r="C201" i="3"/>
  <c r="W201" i="3" s="1"/>
  <c r="B201" i="3"/>
  <c r="A201" i="3"/>
  <c r="T201" i="3" s="1"/>
  <c r="I200" i="3"/>
  <c r="H200" i="3"/>
  <c r="G200" i="3"/>
  <c r="F200" i="3"/>
  <c r="U200" i="3" s="1"/>
  <c r="E200" i="3"/>
  <c r="D200" i="3"/>
  <c r="C200" i="3"/>
  <c r="W200" i="3" s="1"/>
  <c r="B200" i="3"/>
  <c r="A200" i="3"/>
  <c r="T200" i="3" s="1"/>
  <c r="I199" i="3"/>
  <c r="H199" i="3"/>
  <c r="G199" i="3"/>
  <c r="F199" i="3"/>
  <c r="U199" i="3" s="1"/>
  <c r="E199" i="3"/>
  <c r="D199" i="3"/>
  <c r="C199" i="3"/>
  <c r="W199" i="3" s="1"/>
  <c r="B199" i="3"/>
  <c r="A199" i="3"/>
  <c r="T199" i="3" s="1"/>
  <c r="I198" i="3"/>
  <c r="H198" i="3"/>
  <c r="G198" i="3"/>
  <c r="F198" i="3"/>
  <c r="U198" i="3" s="1"/>
  <c r="E198" i="3"/>
  <c r="D198" i="3"/>
  <c r="C198" i="3"/>
  <c r="W198" i="3" s="1"/>
  <c r="B198" i="3"/>
  <c r="A198" i="3"/>
  <c r="T198" i="3" s="1"/>
  <c r="I197" i="3"/>
  <c r="H197" i="3"/>
  <c r="G197" i="3"/>
  <c r="F197" i="3"/>
  <c r="U197" i="3" s="1"/>
  <c r="E197" i="3"/>
  <c r="D197" i="3"/>
  <c r="C197" i="3"/>
  <c r="W197" i="3" s="1"/>
  <c r="B197" i="3"/>
  <c r="A197" i="3"/>
  <c r="T197" i="3" s="1"/>
  <c r="I196" i="3"/>
  <c r="H196" i="3"/>
  <c r="G196" i="3"/>
  <c r="F196" i="3"/>
  <c r="U196" i="3" s="1"/>
  <c r="E196" i="3"/>
  <c r="D196" i="3"/>
  <c r="C196" i="3"/>
  <c r="W196" i="3" s="1"/>
  <c r="B196" i="3"/>
  <c r="A196" i="3"/>
  <c r="T196" i="3" s="1"/>
  <c r="I195" i="3"/>
  <c r="H195" i="3"/>
  <c r="G195" i="3"/>
  <c r="F195" i="3"/>
  <c r="U195" i="3" s="1"/>
  <c r="E195" i="3"/>
  <c r="D195" i="3"/>
  <c r="C195" i="3"/>
  <c r="W195" i="3" s="1"/>
  <c r="B195" i="3"/>
  <c r="A195" i="3"/>
  <c r="T195" i="3" s="1"/>
  <c r="I194" i="3"/>
  <c r="H194" i="3"/>
  <c r="G194" i="3"/>
  <c r="F194" i="3"/>
  <c r="U194" i="3" s="1"/>
  <c r="E194" i="3"/>
  <c r="D194" i="3"/>
  <c r="C194" i="3"/>
  <c r="W194" i="3" s="1"/>
  <c r="B194" i="3"/>
  <c r="A194" i="3"/>
  <c r="T194" i="3" s="1"/>
  <c r="I193" i="3"/>
  <c r="H193" i="3"/>
  <c r="G193" i="3"/>
  <c r="F193" i="3"/>
  <c r="U193" i="3" s="1"/>
  <c r="E193" i="3"/>
  <c r="D193" i="3"/>
  <c r="C193" i="3"/>
  <c r="W193" i="3" s="1"/>
  <c r="B193" i="3"/>
  <c r="A193" i="3"/>
  <c r="T193" i="3" s="1"/>
  <c r="I192" i="3"/>
  <c r="H192" i="3"/>
  <c r="G192" i="3"/>
  <c r="F192" i="3"/>
  <c r="U192" i="3" s="1"/>
  <c r="E192" i="3"/>
  <c r="D192" i="3"/>
  <c r="C192" i="3"/>
  <c r="W192" i="3" s="1"/>
  <c r="B192" i="3"/>
  <c r="A192" i="3"/>
  <c r="T192" i="3" s="1"/>
  <c r="W191" i="3"/>
  <c r="Q191" i="3"/>
  <c r="P191" i="3"/>
  <c r="O191" i="3"/>
  <c r="M191" i="3"/>
  <c r="L191" i="3"/>
  <c r="J191" i="3"/>
  <c r="I191" i="3"/>
  <c r="H191" i="3"/>
  <c r="G191" i="3"/>
  <c r="F191" i="3"/>
  <c r="E191" i="3"/>
  <c r="D191" i="3"/>
  <c r="C191" i="3"/>
  <c r="B191" i="3"/>
  <c r="A191" i="3"/>
  <c r="I190" i="3"/>
  <c r="H190" i="3"/>
  <c r="G190" i="3"/>
  <c r="F190" i="3"/>
  <c r="U190" i="3" s="1"/>
  <c r="E190" i="3"/>
  <c r="D190" i="3"/>
  <c r="C190" i="3"/>
  <c r="W190" i="3" s="1"/>
  <c r="B190" i="3"/>
  <c r="A190" i="3"/>
  <c r="T190" i="3" s="1"/>
  <c r="I189" i="3"/>
  <c r="H189" i="3"/>
  <c r="G189" i="3"/>
  <c r="F189" i="3"/>
  <c r="U189" i="3" s="1"/>
  <c r="E189" i="3"/>
  <c r="D189" i="3"/>
  <c r="C189" i="3"/>
  <c r="W189" i="3" s="1"/>
  <c r="B189" i="3"/>
  <c r="A189" i="3"/>
  <c r="T189" i="3" s="1"/>
  <c r="I188" i="3"/>
  <c r="H188" i="3"/>
  <c r="G188" i="3"/>
  <c r="F188" i="3"/>
  <c r="U188" i="3" s="1"/>
  <c r="E188" i="3"/>
  <c r="D188" i="3"/>
  <c r="C188" i="3"/>
  <c r="W188" i="3" s="1"/>
  <c r="B188" i="3"/>
  <c r="A188" i="3"/>
  <c r="T188" i="3" s="1"/>
  <c r="I187" i="3"/>
  <c r="H187" i="3"/>
  <c r="G187" i="3"/>
  <c r="F187" i="3"/>
  <c r="U187" i="3" s="1"/>
  <c r="E187" i="3"/>
  <c r="D187" i="3"/>
  <c r="C187" i="3"/>
  <c r="W187" i="3" s="1"/>
  <c r="B187" i="3"/>
  <c r="A187" i="3"/>
  <c r="T187" i="3" s="1"/>
  <c r="I186" i="3"/>
  <c r="H186" i="3"/>
  <c r="G186" i="3"/>
  <c r="F186" i="3"/>
  <c r="U186" i="3" s="1"/>
  <c r="E186" i="3"/>
  <c r="D186" i="3"/>
  <c r="C186" i="3"/>
  <c r="W186" i="3" s="1"/>
  <c r="B186" i="3"/>
  <c r="A186" i="3"/>
  <c r="T186" i="3" s="1"/>
  <c r="I185" i="3"/>
  <c r="H185" i="3"/>
  <c r="G185" i="3"/>
  <c r="F185" i="3"/>
  <c r="U185" i="3" s="1"/>
  <c r="E185" i="3"/>
  <c r="D185" i="3"/>
  <c r="C185" i="3"/>
  <c r="W185" i="3" s="1"/>
  <c r="B185" i="3"/>
  <c r="A185" i="3"/>
  <c r="T185" i="3" s="1"/>
  <c r="I184" i="3"/>
  <c r="H184" i="3"/>
  <c r="G184" i="3"/>
  <c r="F184" i="3"/>
  <c r="U184" i="3" s="1"/>
  <c r="E184" i="3"/>
  <c r="D184" i="3"/>
  <c r="C184" i="3"/>
  <c r="W184" i="3" s="1"/>
  <c r="B184" i="3"/>
  <c r="A184" i="3"/>
  <c r="T184" i="3" s="1"/>
  <c r="I183" i="3"/>
  <c r="H183" i="3"/>
  <c r="G183" i="3"/>
  <c r="F183" i="3"/>
  <c r="U183" i="3" s="1"/>
  <c r="E183" i="3"/>
  <c r="D183" i="3"/>
  <c r="C183" i="3"/>
  <c r="W183" i="3" s="1"/>
  <c r="B183" i="3"/>
  <c r="A183" i="3"/>
  <c r="T183" i="3" s="1"/>
  <c r="I182" i="3"/>
  <c r="H182" i="3"/>
  <c r="G182" i="3"/>
  <c r="F182" i="3"/>
  <c r="U182" i="3" s="1"/>
  <c r="E182" i="3"/>
  <c r="D182" i="3"/>
  <c r="C182" i="3"/>
  <c r="W182" i="3" s="1"/>
  <c r="B182" i="3"/>
  <c r="A182" i="3"/>
  <c r="T182" i="3" s="1"/>
  <c r="I181" i="3"/>
  <c r="H181" i="3"/>
  <c r="G181" i="3"/>
  <c r="F181" i="3"/>
  <c r="U181" i="3" s="1"/>
  <c r="E181" i="3"/>
  <c r="D181" i="3"/>
  <c r="C181" i="3"/>
  <c r="W181" i="3" s="1"/>
  <c r="B181" i="3"/>
  <c r="A181" i="3"/>
  <c r="T181" i="3" s="1"/>
  <c r="I180" i="3"/>
  <c r="H180" i="3"/>
  <c r="G180" i="3"/>
  <c r="F180" i="3"/>
  <c r="U180" i="3" s="1"/>
  <c r="E180" i="3"/>
  <c r="D180" i="3"/>
  <c r="C180" i="3"/>
  <c r="W180" i="3" s="1"/>
  <c r="B180" i="3"/>
  <c r="A180" i="3"/>
  <c r="T180" i="3" s="1"/>
  <c r="I179" i="3"/>
  <c r="H179" i="3"/>
  <c r="G179" i="3"/>
  <c r="F179" i="3"/>
  <c r="U179" i="3" s="1"/>
  <c r="E179" i="3"/>
  <c r="D179" i="3"/>
  <c r="C179" i="3"/>
  <c r="W179" i="3" s="1"/>
  <c r="B179" i="3"/>
  <c r="A179" i="3"/>
  <c r="T179" i="3" s="1"/>
  <c r="I178" i="3"/>
  <c r="H178" i="3"/>
  <c r="G178" i="3"/>
  <c r="F178" i="3"/>
  <c r="U178" i="3" s="1"/>
  <c r="E178" i="3"/>
  <c r="D178" i="3"/>
  <c r="C178" i="3"/>
  <c r="W178" i="3" s="1"/>
  <c r="B178" i="3"/>
  <c r="A178" i="3"/>
  <c r="T178" i="3" s="1"/>
  <c r="I177" i="3"/>
  <c r="H177" i="3"/>
  <c r="G177" i="3"/>
  <c r="F177" i="3"/>
  <c r="U177" i="3" s="1"/>
  <c r="E177" i="3"/>
  <c r="D177" i="3"/>
  <c r="C177" i="3"/>
  <c r="W177" i="3" s="1"/>
  <c r="B177" i="3"/>
  <c r="A177" i="3"/>
  <c r="T177" i="3" s="1"/>
  <c r="I176" i="3"/>
  <c r="H176" i="3"/>
  <c r="G176" i="3"/>
  <c r="F176" i="3"/>
  <c r="U176" i="3" s="1"/>
  <c r="E176" i="3"/>
  <c r="D176" i="3"/>
  <c r="C176" i="3"/>
  <c r="W176" i="3" s="1"/>
  <c r="B176" i="3"/>
  <c r="A176" i="3"/>
  <c r="T176" i="3" s="1"/>
  <c r="I175" i="3"/>
  <c r="H175" i="3"/>
  <c r="G175" i="3"/>
  <c r="F175" i="3"/>
  <c r="U175" i="3" s="1"/>
  <c r="E175" i="3"/>
  <c r="D175" i="3"/>
  <c r="C175" i="3"/>
  <c r="W175" i="3" s="1"/>
  <c r="B175" i="3"/>
  <c r="A175" i="3"/>
  <c r="T175" i="3" s="1"/>
  <c r="I174" i="3"/>
  <c r="H174" i="3"/>
  <c r="G174" i="3"/>
  <c r="F174" i="3"/>
  <c r="U174" i="3" s="1"/>
  <c r="E174" i="3"/>
  <c r="D174" i="3"/>
  <c r="C174" i="3"/>
  <c r="W174" i="3" s="1"/>
  <c r="B174" i="3"/>
  <c r="A174" i="3"/>
  <c r="T174" i="3" s="1"/>
  <c r="I173" i="3"/>
  <c r="H173" i="3"/>
  <c r="G173" i="3"/>
  <c r="F173" i="3"/>
  <c r="U173" i="3" s="1"/>
  <c r="E173" i="3"/>
  <c r="D173" i="3"/>
  <c r="C173" i="3"/>
  <c r="W173" i="3" s="1"/>
  <c r="B173" i="3"/>
  <c r="A173" i="3"/>
  <c r="T173" i="3" s="1"/>
  <c r="I172" i="3"/>
  <c r="H172" i="3"/>
  <c r="G172" i="3"/>
  <c r="F172" i="3"/>
  <c r="U172" i="3" s="1"/>
  <c r="E172" i="3"/>
  <c r="D172" i="3"/>
  <c r="C172" i="3"/>
  <c r="W172" i="3" s="1"/>
  <c r="B172" i="3"/>
  <c r="A172" i="3"/>
  <c r="T172" i="3" s="1"/>
  <c r="I171" i="3"/>
  <c r="H171" i="3"/>
  <c r="G171" i="3"/>
  <c r="F171" i="3"/>
  <c r="U171" i="3" s="1"/>
  <c r="E171" i="3"/>
  <c r="D171" i="3"/>
  <c r="C171" i="3"/>
  <c r="W171" i="3" s="1"/>
  <c r="B171" i="3"/>
  <c r="A171" i="3"/>
  <c r="T171" i="3" s="1"/>
  <c r="I170" i="3"/>
  <c r="H170" i="3"/>
  <c r="G170" i="3"/>
  <c r="F170" i="3"/>
  <c r="U170" i="3" s="1"/>
  <c r="E170" i="3"/>
  <c r="D170" i="3"/>
  <c r="C170" i="3"/>
  <c r="W170" i="3" s="1"/>
  <c r="B170" i="3"/>
  <c r="A170" i="3"/>
  <c r="T170" i="3" s="1"/>
  <c r="I169" i="3"/>
  <c r="H169" i="3"/>
  <c r="G169" i="3"/>
  <c r="F169" i="3"/>
  <c r="U169" i="3" s="1"/>
  <c r="E169" i="3"/>
  <c r="D169" i="3"/>
  <c r="C169" i="3"/>
  <c r="W169" i="3" s="1"/>
  <c r="B169" i="3"/>
  <c r="A169" i="3"/>
  <c r="T169" i="3" s="1"/>
  <c r="I168" i="3"/>
  <c r="H168" i="3"/>
  <c r="G168" i="3"/>
  <c r="F168" i="3"/>
  <c r="U168" i="3" s="1"/>
  <c r="E168" i="3"/>
  <c r="D168" i="3"/>
  <c r="C168" i="3"/>
  <c r="W168" i="3" s="1"/>
  <c r="B168" i="3"/>
  <c r="A168" i="3"/>
  <c r="T168" i="3" s="1"/>
  <c r="I167" i="3"/>
  <c r="H167" i="3"/>
  <c r="G167" i="3"/>
  <c r="F167" i="3"/>
  <c r="U167" i="3" s="1"/>
  <c r="E167" i="3"/>
  <c r="D167" i="3"/>
  <c r="C167" i="3"/>
  <c r="W167" i="3" s="1"/>
  <c r="B167" i="3"/>
  <c r="A167" i="3"/>
  <c r="T167" i="3" s="1"/>
  <c r="I166" i="3"/>
  <c r="H166" i="3"/>
  <c r="G166" i="3"/>
  <c r="F166" i="3"/>
  <c r="U166" i="3" s="1"/>
  <c r="E166" i="3"/>
  <c r="D166" i="3"/>
  <c r="C166" i="3"/>
  <c r="W166" i="3" s="1"/>
  <c r="B166" i="3"/>
  <c r="A166" i="3"/>
  <c r="T166" i="3" s="1"/>
  <c r="I165" i="3"/>
  <c r="H165" i="3"/>
  <c r="G165" i="3"/>
  <c r="F165" i="3"/>
  <c r="U165" i="3" s="1"/>
  <c r="E165" i="3"/>
  <c r="D165" i="3"/>
  <c r="C165" i="3"/>
  <c r="W165" i="3" s="1"/>
  <c r="B165" i="3"/>
  <c r="A165" i="3"/>
  <c r="T165" i="3" s="1"/>
  <c r="I164" i="3"/>
  <c r="H164" i="3"/>
  <c r="G164" i="3"/>
  <c r="F164" i="3"/>
  <c r="U164" i="3" s="1"/>
  <c r="E164" i="3"/>
  <c r="D164" i="3"/>
  <c r="C164" i="3"/>
  <c r="W164" i="3" s="1"/>
  <c r="B164" i="3"/>
  <c r="A164" i="3"/>
  <c r="T164" i="3" s="1"/>
  <c r="I163" i="3"/>
  <c r="H163" i="3"/>
  <c r="G163" i="3"/>
  <c r="F163" i="3"/>
  <c r="U163" i="3" s="1"/>
  <c r="E163" i="3"/>
  <c r="D163" i="3"/>
  <c r="C163" i="3"/>
  <c r="W163" i="3" s="1"/>
  <c r="B163" i="3"/>
  <c r="A163" i="3"/>
  <c r="T163" i="3" s="1"/>
  <c r="I162" i="3"/>
  <c r="H162" i="3"/>
  <c r="G162" i="3"/>
  <c r="F162" i="3"/>
  <c r="U162" i="3" s="1"/>
  <c r="E162" i="3"/>
  <c r="D162" i="3"/>
  <c r="C162" i="3"/>
  <c r="W162" i="3" s="1"/>
  <c r="B162" i="3"/>
  <c r="A162" i="3"/>
  <c r="T162" i="3" s="1"/>
  <c r="I161" i="3"/>
  <c r="H161" i="3"/>
  <c r="G161" i="3"/>
  <c r="F161" i="3"/>
  <c r="U161" i="3" s="1"/>
  <c r="E161" i="3"/>
  <c r="D161" i="3"/>
  <c r="C161" i="3"/>
  <c r="W161" i="3" s="1"/>
  <c r="B161" i="3"/>
  <c r="A161" i="3"/>
  <c r="T161" i="3" s="1"/>
  <c r="I160" i="3"/>
  <c r="H160" i="3"/>
  <c r="G160" i="3"/>
  <c r="F160" i="3"/>
  <c r="U160" i="3" s="1"/>
  <c r="E160" i="3"/>
  <c r="D160" i="3"/>
  <c r="C160" i="3"/>
  <c r="W160" i="3" s="1"/>
  <c r="B160" i="3"/>
  <c r="A160" i="3"/>
  <c r="T160" i="3" s="1"/>
  <c r="I159" i="3"/>
  <c r="H159" i="3"/>
  <c r="G159" i="3"/>
  <c r="F159" i="3"/>
  <c r="U159" i="3" s="1"/>
  <c r="E159" i="3"/>
  <c r="D159" i="3"/>
  <c r="C159" i="3"/>
  <c r="W159" i="3" s="1"/>
  <c r="B159" i="3"/>
  <c r="A159" i="3"/>
  <c r="T159" i="3" s="1"/>
  <c r="I158" i="3"/>
  <c r="H158" i="3"/>
  <c r="G158" i="3"/>
  <c r="F158" i="3"/>
  <c r="U158" i="3" s="1"/>
  <c r="E158" i="3"/>
  <c r="D158" i="3"/>
  <c r="C158" i="3"/>
  <c r="W158" i="3" s="1"/>
  <c r="B158" i="3"/>
  <c r="A158" i="3"/>
  <c r="T158" i="3" s="1"/>
  <c r="I157" i="3"/>
  <c r="H157" i="3"/>
  <c r="G157" i="3"/>
  <c r="F157" i="3"/>
  <c r="U157" i="3" s="1"/>
  <c r="E157" i="3"/>
  <c r="D157" i="3"/>
  <c r="C157" i="3"/>
  <c r="W157" i="3" s="1"/>
  <c r="B157" i="3"/>
  <c r="A157" i="3"/>
  <c r="T157" i="3" s="1"/>
  <c r="I156" i="3"/>
  <c r="H156" i="3"/>
  <c r="G156" i="3"/>
  <c r="F156" i="3"/>
  <c r="U156" i="3" s="1"/>
  <c r="E156" i="3"/>
  <c r="D156" i="3"/>
  <c r="C156" i="3"/>
  <c r="W156" i="3" s="1"/>
  <c r="B156" i="3"/>
  <c r="A156" i="3"/>
  <c r="T156" i="3" s="1"/>
  <c r="I155" i="3"/>
  <c r="H155" i="3"/>
  <c r="G155" i="3"/>
  <c r="F155" i="3"/>
  <c r="U155" i="3" s="1"/>
  <c r="E155" i="3"/>
  <c r="D155" i="3"/>
  <c r="C155" i="3"/>
  <c r="W155" i="3" s="1"/>
  <c r="B155" i="3"/>
  <c r="A155" i="3"/>
  <c r="T155" i="3" s="1"/>
  <c r="W154" i="3"/>
  <c r="U154" i="3"/>
  <c r="S154" i="3"/>
  <c r="Q154" i="3"/>
  <c r="I154" i="3"/>
  <c r="H154" i="3"/>
  <c r="G154" i="3"/>
  <c r="F154" i="3"/>
  <c r="E154" i="3"/>
  <c r="D154" i="3"/>
  <c r="J154" i="3" s="1"/>
  <c r="C154" i="3"/>
  <c r="B154" i="3"/>
  <c r="A154" i="3"/>
  <c r="I153" i="3"/>
  <c r="H153" i="3"/>
  <c r="G153" i="3"/>
  <c r="F153" i="3"/>
  <c r="U153" i="3" s="1"/>
  <c r="E153" i="3"/>
  <c r="D153" i="3"/>
  <c r="C153" i="3"/>
  <c r="W153" i="3" s="1"/>
  <c r="B153" i="3"/>
  <c r="A153" i="3"/>
  <c r="T153" i="3" s="1"/>
  <c r="I152" i="3"/>
  <c r="H152" i="3"/>
  <c r="G152" i="3"/>
  <c r="F152" i="3"/>
  <c r="U152" i="3" s="1"/>
  <c r="E152" i="3"/>
  <c r="D152" i="3"/>
  <c r="C152" i="3"/>
  <c r="W152" i="3" s="1"/>
  <c r="B152" i="3"/>
  <c r="A152" i="3"/>
  <c r="T152" i="3" s="1"/>
  <c r="I151" i="3"/>
  <c r="H151" i="3"/>
  <c r="G151" i="3"/>
  <c r="F151" i="3"/>
  <c r="U151" i="3" s="1"/>
  <c r="E151" i="3"/>
  <c r="D151" i="3"/>
  <c r="C151" i="3"/>
  <c r="W151" i="3" s="1"/>
  <c r="B151" i="3"/>
  <c r="A151" i="3"/>
  <c r="T151" i="3" s="1"/>
  <c r="I150" i="3"/>
  <c r="H150" i="3"/>
  <c r="G150" i="3"/>
  <c r="F150" i="3"/>
  <c r="U150" i="3" s="1"/>
  <c r="E150" i="3"/>
  <c r="D150" i="3"/>
  <c r="C150" i="3"/>
  <c r="W150" i="3" s="1"/>
  <c r="B150" i="3"/>
  <c r="A150" i="3"/>
  <c r="T150" i="3" s="1"/>
  <c r="I149" i="3"/>
  <c r="H149" i="3"/>
  <c r="G149" i="3"/>
  <c r="F149" i="3"/>
  <c r="U149" i="3" s="1"/>
  <c r="E149" i="3"/>
  <c r="D149" i="3"/>
  <c r="C149" i="3"/>
  <c r="W149" i="3" s="1"/>
  <c r="B149" i="3"/>
  <c r="A149" i="3"/>
  <c r="T149" i="3" s="1"/>
  <c r="I148" i="3"/>
  <c r="H148" i="3"/>
  <c r="G148" i="3"/>
  <c r="F148" i="3"/>
  <c r="U148" i="3" s="1"/>
  <c r="E148" i="3"/>
  <c r="D148" i="3"/>
  <c r="C148" i="3"/>
  <c r="W148" i="3" s="1"/>
  <c r="B148" i="3"/>
  <c r="A148" i="3"/>
  <c r="T148" i="3" s="1"/>
  <c r="I147" i="3"/>
  <c r="H147" i="3"/>
  <c r="G147" i="3"/>
  <c r="F147" i="3"/>
  <c r="U147" i="3" s="1"/>
  <c r="E147" i="3"/>
  <c r="D147" i="3"/>
  <c r="C147" i="3"/>
  <c r="W147" i="3" s="1"/>
  <c r="B147" i="3"/>
  <c r="A147" i="3"/>
  <c r="T147" i="3" s="1"/>
  <c r="I146" i="3"/>
  <c r="H146" i="3"/>
  <c r="G146" i="3"/>
  <c r="F146" i="3"/>
  <c r="U146" i="3" s="1"/>
  <c r="E146" i="3"/>
  <c r="D146" i="3"/>
  <c r="C146" i="3"/>
  <c r="W146" i="3" s="1"/>
  <c r="B146" i="3"/>
  <c r="A146" i="3"/>
  <c r="T146" i="3" s="1"/>
  <c r="I145" i="3"/>
  <c r="H145" i="3"/>
  <c r="G145" i="3"/>
  <c r="F145" i="3"/>
  <c r="U145" i="3" s="1"/>
  <c r="E145" i="3"/>
  <c r="D145" i="3"/>
  <c r="C145" i="3"/>
  <c r="W145" i="3" s="1"/>
  <c r="B145" i="3"/>
  <c r="A145" i="3"/>
  <c r="T145" i="3" s="1"/>
  <c r="I144" i="3"/>
  <c r="H144" i="3"/>
  <c r="G144" i="3"/>
  <c r="F144" i="3"/>
  <c r="U144" i="3" s="1"/>
  <c r="E144" i="3"/>
  <c r="D144" i="3"/>
  <c r="C144" i="3"/>
  <c r="W144" i="3" s="1"/>
  <c r="B144" i="3"/>
  <c r="A144" i="3"/>
  <c r="T144" i="3" s="1"/>
  <c r="I143" i="3"/>
  <c r="H143" i="3"/>
  <c r="G143" i="3"/>
  <c r="F143" i="3"/>
  <c r="U143" i="3" s="1"/>
  <c r="E143" i="3"/>
  <c r="D143" i="3"/>
  <c r="C143" i="3"/>
  <c r="W143" i="3" s="1"/>
  <c r="B143" i="3"/>
  <c r="A143" i="3"/>
  <c r="T143" i="3" s="1"/>
  <c r="I142" i="3"/>
  <c r="H142" i="3"/>
  <c r="G142" i="3"/>
  <c r="F142" i="3"/>
  <c r="U142" i="3" s="1"/>
  <c r="E142" i="3"/>
  <c r="D142" i="3"/>
  <c r="C142" i="3"/>
  <c r="W142" i="3" s="1"/>
  <c r="B142" i="3"/>
  <c r="A142" i="3"/>
  <c r="T142" i="3" s="1"/>
  <c r="I141" i="3"/>
  <c r="H141" i="3"/>
  <c r="G141" i="3"/>
  <c r="F141" i="3"/>
  <c r="U141" i="3" s="1"/>
  <c r="E141" i="3"/>
  <c r="D141" i="3"/>
  <c r="C141" i="3"/>
  <c r="W141" i="3" s="1"/>
  <c r="B141" i="3"/>
  <c r="A141" i="3"/>
  <c r="T141" i="3" s="1"/>
  <c r="I140" i="3"/>
  <c r="H140" i="3"/>
  <c r="G140" i="3"/>
  <c r="F140" i="3"/>
  <c r="U140" i="3" s="1"/>
  <c r="E140" i="3"/>
  <c r="D140" i="3"/>
  <c r="C140" i="3"/>
  <c r="W140" i="3" s="1"/>
  <c r="B140" i="3"/>
  <c r="A140" i="3"/>
  <c r="T140" i="3" s="1"/>
  <c r="I139" i="3"/>
  <c r="H139" i="3"/>
  <c r="G139" i="3"/>
  <c r="F139" i="3"/>
  <c r="U139" i="3" s="1"/>
  <c r="E139" i="3"/>
  <c r="D139" i="3"/>
  <c r="C139" i="3"/>
  <c r="W139" i="3" s="1"/>
  <c r="B139" i="3"/>
  <c r="A139" i="3"/>
  <c r="T139" i="3" s="1"/>
  <c r="I138" i="3"/>
  <c r="H138" i="3"/>
  <c r="G138" i="3"/>
  <c r="F138" i="3"/>
  <c r="U138" i="3" s="1"/>
  <c r="E138" i="3"/>
  <c r="D138" i="3"/>
  <c r="C138" i="3"/>
  <c r="W138" i="3" s="1"/>
  <c r="B138" i="3"/>
  <c r="A138" i="3"/>
  <c r="T138" i="3" s="1"/>
  <c r="I137" i="3"/>
  <c r="H137" i="3"/>
  <c r="G137" i="3"/>
  <c r="F137" i="3"/>
  <c r="U137" i="3" s="1"/>
  <c r="E137" i="3"/>
  <c r="D137" i="3"/>
  <c r="C137" i="3"/>
  <c r="W137" i="3" s="1"/>
  <c r="B137" i="3"/>
  <c r="A137" i="3"/>
  <c r="T137" i="3" s="1"/>
  <c r="I136" i="3"/>
  <c r="H136" i="3"/>
  <c r="G136" i="3"/>
  <c r="F136" i="3"/>
  <c r="U136" i="3" s="1"/>
  <c r="E136" i="3"/>
  <c r="D136" i="3"/>
  <c r="C136" i="3"/>
  <c r="W136" i="3" s="1"/>
  <c r="B136" i="3"/>
  <c r="A136" i="3"/>
  <c r="T136" i="3" s="1"/>
  <c r="I135" i="3"/>
  <c r="H135" i="3"/>
  <c r="G135" i="3"/>
  <c r="F135" i="3"/>
  <c r="U135" i="3" s="1"/>
  <c r="E135" i="3"/>
  <c r="D135" i="3"/>
  <c r="C135" i="3"/>
  <c r="W135" i="3" s="1"/>
  <c r="B135" i="3"/>
  <c r="A135" i="3"/>
  <c r="T135" i="3" s="1"/>
  <c r="I134" i="3"/>
  <c r="H134" i="3"/>
  <c r="G134" i="3"/>
  <c r="F134" i="3"/>
  <c r="U134" i="3" s="1"/>
  <c r="E134" i="3"/>
  <c r="D134" i="3"/>
  <c r="C134" i="3"/>
  <c r="W134" i="3" s="1"/>
  <c r="B134" i="3"/>
  <c r="A134" i="3"/>
  <c r="T134" i="3" s="1"/>
  <c r="I133" i="3"/>
  <c r="H133" i="3"/>
  <c r="G133" i="3"/>
  <c r="F133" i="3"/>
  <c r="U133" i="3" s="1"/>
  <c r="E133" i="3"/>
  <c r="D133" i="3"/>
  <c r="C133" i="3"/>
  <c r="W133" i="3" s="1"/>
  <c r="B133" i="3"/>
  <c r="A133" i="3"/>
  <c r="T133" i="3" s="1"/>
  <c r="I132" i="3"/>
  <c r="H132" i="3"/>
  <c r="G132" i="3"/>
  <c r="F132" i="3"/>
  <c r="U132" i="3" s="1"/>
  <c r="E132" i="3"/>
  <c r="D132" i="3"/>
  <c r="C132" i="3"/>
  <c r="W132" i="3" s="1"/>
  <c r="B132" i="3"/>
  <c r="A132" i="3"/>
  <c r="T132" i="3" s="1"/>
  <c r="I131" i="3"/>
  <c r="H131" i="3"/>
  <c r="G131" i="3"/>
  <c r="F131" i="3"/>
  <c r="U131" i="3" s="1"/>
  <c r="E131" i="3"/>
  <c r="D131" i="3"/>
  <c r="C131" i="3"/>
  <c r="W131" i="3" s="1"/>
  <c r="B131" i="3"/>
  <c r="A131" i="3"/>
  <c r="T131" i="3" s="1"/>
  <c r="I130" i="3"/>
  <c r="H130" i="3"/>
  <c r="G130" i="3"/>
  <c r="F130" i="3"/>
  <c r="U130" i="3" s="1"/>
  <c r="E130" i="3"/>
  <c r="D130" i="3"/>
  <c r="C130" i="3"/>
  <c r="W130" i="3" s="1"/>
  <c r="B130" i="3"/>
  <c r="A130" i="3"/>
  <c r="T130" i="3" s="1"/>
  <c r="I129" i="3"/>
  <c r="H129" i="3"/>
  <c r="G129" i="3"/>
  <c r="F129" i="3"/>
  <c r="U129" i="3" s="1"/>
  <c r="E129" i="3"/>
  <c r="D129" i="3"/>
  <c r="C129" i="3"/>
  <c r="W129" i="3" s="1"/>
  <c r="B129" i="3"/>
  <c r="A129" i="3"/>
  <c r="T129" i="3" s="1"/>
  <c r="I128" i="3"/>
  <c r="H128" i="3"/>
  <c r="G128" i="3"/>
  <c r="F128" i="3"/>
  <c r="U128" i="3" s="1"/>
  <c r="E128" i="3"/>
  <c r="D128" i="3"/>
  <c r="C128" i="3"/>
  <c r="W128" i="3" s="1"/>
  <c r="B128" i="3"/>
  <c r="A128" i="3"/>
  <c r="T128" i="3" s="1"/>
  <c r="I127" i="3"/>
  <c r="H127" i="3"/>
  <c r="G127" i="3"/>
  <c r="F127" i="3"/>
  <c r="U127" i="3" s="1"/>
  <c r="E127" i="3"/>
  <c r="D127" i="3"/>
  <c r="C127" i="3"/>
  <c r="W127" i="3" s="1"/>
  <c r="B127" i="3"/>
  <c r="A127" i="3"/>
  <c r="T127" i="3" s="1"/>
  <c r="I126" i="3"/>
  <c r="H126" i="3"/>
  <c r="G126" i="3"/>
  <c r="F126" i="3"/>
  <c r="U126" i="3" s="1"/>
  <c r="E126" i="3"/>
  <c r="D126" i="3"/>
  <c r="C126" i="3"/>
  <c r="W126" i="3" s="1"/>
  <c r="B126" i="3"/>
  <c r="A126" i="3"/>
  <c r="T126" i="3" s="1"/>
  <c r="I125" i="3"/>
  <c r="H125" i="3"/>
  <c r="G125" i="3"/>
  <c r="F125" i="3"/>
  <c r="U125" i="3" s="1"/>
  <c r="E125" i="3"/>
  <c r="D125" i="3"/>
  <c r="C125" i="3"/>
  <c r="W125" i="3" s="1"/>
  <c r="B125" i="3"/>
  <c r="A125" i="3"/>
  <c r="T125" i="3" s="1"/>
  <c r="I124" i="3"/>
  <c r="H124" i="3"/>
  <c r="G124" i="3"/>
  <c r="F124" i="3"/>
  <c r="U124" i="3" s="1"/>
  <c r="E124" i="3"/>
  <c r="D124" i="3"/>
  <c r="C124" i="3"/>
  <c r="W124" i="3" s="1"/>
  <c r="B124" i="3"/>
  <c r="A124" i="3"/>
  <c r="T124" i="3" s="1"/>
  <c r="I123" i="3"/>
  <c r="H123" i="3"/>
  <c r="G123" i="3"/>
  <c r="F123" i="3"/>
  <c r="U123" i="3" s="1"/>
  <c r="E123" i="3"/>
  <c r="D123" i="3"/>
  <c r="C123" i="3"/>
  <c r="W123" i="3" s="1"/>
  <c r="B123" i="3"/>
  <c r="A123" i="3"/>
  <c r="T123" i="3" s="1"/>
  <c r="I122" i="3"/>
  <c r="H122" i="3"/>
  <c r="G122" i="3"/>
  <c r="F122" i="3"/>
  <c r="U122" i="3" s="1"/>
  <c r="E122" i="3"/>
  <c r="D122" i="3"/>
  <c r="C122" i="3"/>
  <c r="W122" i="3" s="1"/>
  <c r="B122" i="3"/>
  <c r="A122" i="3"/>
  <c r="T122" i="3" s="1"/>
  <c r="I121" i="3"/>
  <c r="H121" i="3"/>
  <c r="G121" i="3"/>
  <c r="F121" i="3"/>
  <c r="U121" i="3" s="1"/>
  <c r="E121" i="3"/>
  <c r="D121" i="3"/>
  <c r="C121" i="3"/>
  <c r="W121" i="3" s="1"/>
  <c r="B121" i="3"/>
  <c r="A121" i="3"/>
  <c r="T121" i="3" s="1"/>
  <c r="I120" i="3"/>
  <c r="H120" i="3"/>
  <c r="G120" i="3"/>
  <c r="F120" i="3"/>
  <c r="U120" i="3" s="1"/>
  <c r="E120" i="3"/>
  <c r="D120" i="3"/>
  <c r="C120" i="3"/>
  <c r="W120" i="3" s="1"/>
  <c r="B120" i="3"/>
  <c r="A120" i="3"/>
  <c r="T120" i="3" s="1"/>
  <c r="I119" i="3"/>
  <c r="H119" i="3"/>
  <c r="G119" i="3"/>
  <c r="F119" i="3"/>
  <c r="U119" i="3" s="1"/>
  <c r="E119" i="3"/>
  <c r="D119" i="3"/>
  <c r="C119" i="3"/>
  <c r="W119" i="3" s="1"/>
  <c r="B119" i="3"/>
  <c r="A119" i="3"/>
  <c r="T119" i="3" s="1"/>
  <c r="I118" i="3"/>
  <c r="H118" i="3"/>
  <c r="G118" i="3"/>
  <c r="F118" i="3"/>
  <c r="U118" i="3" s="1"/>
  <c r="E118" i="3"/>
  <c r="D118" i="3"/>
  <c r="C118" i="3"/>
  <c r="W118" i="3" s="1"/>
  <c r="B118" i="3"/>
  <c r="A118" i="3"/>
  <c r="T118" i="3" s="1"/>
  <c r="I117" i="3"/>
  <c r="H117" i="3"/>
  <c r="G117" i="3"/>
  <c r="F117" i="3"/>
  <c r="U117" i="3" s="1"/>
  <c r="E117" i="3"/>
  <c r="D117" i="3"/>
  <c r="C117" i="3"/>
  <c r="W117" i="3" s="1"/>
  <c r="B117" i="3"/>
  <c r="A117" i="3"/>
  <c r="T117" i="3" s="1"/>
  <c r="I116" i="3"/>
  <c r="H116" i="3"/>
  <c r="G116" i="3"/>
  <c r="F116" i="3"/>
  <c r="U116" i="3" s="1"/>
  <c r="E116" i="3"/>
  <c r="D116" i="3"/>
  <c r="C116" i="3"/>
  <c r="W116" i="3" s="1"/>
  <c r="B116" i="3"/>
  <c r="A116" i="3"/>
  <c r="T116" i="3" s="1"/>
  <c r="I115" i="3"/>
  <c r="H115" i="3"/>
  <c r="G115" i="3"/>
  <c r="F115" i="3"/>
  <c r="U115" i="3" s="1"/>
  <c r="E115" i="3"/>
  <c r="D115" i="3"/>
  <c r="C115" i="3"/>
  <c r="W115" i="3" s="1"/>
  <c r="B115" i="3"/>
  <c r="A115" i="3"/>
  <c r="T115" i="3" s="1"/>
  <c r="I114" i="3"/>
  <c r="H114" i="3"/>
  <c r="G114" i="3"/>
  <c r="F114" i="3"/>
  <c r="U114" i="3" s="1"/>
  <c r="E114" i="3"/>
  <c r="D114" i="3"/>
  <c r="C114" i="3"/>
  <c r="W114" i="3" s="1"/>
  <c r="B114" i="3"/>
  <c r="A114" i="3"/>
  <c r="T114" i="3" s="1"/>
  <c r="I113" i="3"/>
  <c r="H113" i="3"/>
  <c r="G113" i="3"/>
  <c r="F113" i="3"/>
  <c r="U113" i="3" s="1"/>
  <c r="E113" i="3"/>
  <c r="D113" i="3"/>
  <c r="C113" i="3"/>
  <c r="W113" i="3" s="1"/>
  <c r="B113" i="3"/>
  <c r="A113" i="3"/>
  <c r="T113" i="3" s="1"/>
  <c r="I112" i="3"/>
  <c r="H112" i="3"/>
  <c r="G112" i="3"/>
  <c r="F112" i="3"/>
  <c r="U112" i="3" s="1"/>
  <c r="E112" i="3"/>
  <c r="D112" i="3"/>
  <c r="C112" i="3"/>
  <c r="W112" i="3" s="1"/>
  <c r="B112" i="3"/>
  <c r="A112" i="3"/>
  <c r="T112" i="3" s="1"/>
  <c r="I111" i="3"/>
  <c r="H111" i="3"/>
  <c r="G111" i="3"/>
  <c r="F111" i="3"/>
  <c r="U111" i="3" s="1"/>
  <c r="E111" i="3"/>
  <c r="D111" i="3"/>
  <c r="C111" i="3"/>
  <c r="W111" i="3" s="1"/>
  <c r="B111" i="3"/>
  <c r="A111" i="3"/>
  <c r="T111" i="3" s="1"/>
  <c r="I110" i="3"/>
  <c r="H110" i="3"/>
  <c r="G110" i="3"/>
  <c r="F110" i="3"/>
  <c r="U110" i="3" s="1"/>
  <c r="E110" i="3"/>
  <c r="D110" i="3"/>
  <c r="C110" i="3"/>
  <c r="W110" i="3" s="1"/>
  <c r="B110" i="3"/>
  <c r="A110" i="3"/>
  <c r="T110" i="3" s="1"/>
  <c r="I109" i="3"/>
  <c r="H109" i="3"/>
  <c r="G109" i="3"/>
  <c r="F109" i="3"/>
  <c r="U109" i="3" s="1"/>
  <c r="E109" i="3"/>
  <c r="D109" i="3"/>
  <c r="C109" i="3"/>
  <c r="W109" i="3" s="1"/>
  <c r="B109" i="3"/>
  <c r="A109" i="3"/>
  <c r="T109" i="3" s="1"/>
  <c r="I108" i="3"/>
  <c r="H108" i="3"/>
  <c r="G108" i="3"/>
  <c r="F108" i="3"/>
  <c r="U108" i="3" s="1"/>
  <c r="E108" i="3"/>
  <c r="D108" i="3"/>
  <c r="C108" i="3"/>
  <c r="W108" i="3" s="1"/>
  <c r="B108" i="3"/>
  <c r="A108" i="3"/>
  <c r="T108" i="3" s="1"/>
  <c r="I107" i="3"/>
  <c r="H107" i="3"/>
  <c r="G107" i="3"/>
  <c r="F107" i="3"/>
  <c r="U107" i="3" s="1"/>
  <c r="E107" i="3"/>
  <c r="D107" i="3"/>
  <c r="C107" i="3"/>
  <c r="W107" i="3" s="1"/>
  <c r="B107" i="3"/>
  <c r="A107" i="3"/>
  <c r="T107" i="3" s="1"/>
  <c r="I106" i="3"/>
  <c r="H106" i="3"/>
  <c r="G106" i="3"/>
  <c r="F106" i="3"/>
  <c r="U106" i="3" s="1"/>
  <c r="E106" i="3"/>
  <c r="D106" i="3"/>
  <c r="C106" i="3"/>
  <c r="W106" i="3" s="1"/>
  <c r="B106" i="3"/>
  <c r="A106" i="3"/>
  <c r="T106" i="3" s="1"/>
  <c r="I105" i="3"/>
  <c r="H105" i="3"/>
  <c r="G105" i="3"/>
  <c r="F105" i="3"/>
  <c r="U105" i="3" s="1"/>
  <c r="E105" i="3"/>
  <c r="D105" i="3"/>
  <c r="C105" i="3"/>
  <c r="W105" i="3" s="1"/>
  <c r="B105" i="3"/>
  <c r="A105" i="3"/>
  <c r="T105" i="3" s="1"/>
  <c r="I104" i="3"/>
  <c r="H104" i="3"/>
  <c r="G104" i="3"/>
  <c r="F104" i="3"/>
  <c r="U104" i="3" s="1"/>
  <c r="E104" i="3"/>
  <c r="D104" i="3"/>
  <c r="C104" i="3"/>
  <c r="W104" i="3" s="1"/>
  <c r="B104" i="3"/>
  <c r="A104" i="3"/>
  <c r="T104" i="3" s="1"/>
  <c r="I103" i="3"/>
  <c r="H103" i="3"/>
  <c r="G103" i="3"/>
  <c r="F103" i="3"/>
  <c r="U103" i="3" s="1"/>
  <c r="E103" i="3"/>
  <c r="D103" i="3"/>
  <c r="C103" i="3"/>
  <c r="W103" i="3" s="1"/>
  <c r="B103" i="3"/>
  <c r="A103" i="3"/>
  <c r="T103" i="3" s="1"/>
  <c r="I102" i="3"/>
  <c r="H102" i="3"/>
  <c r="G102" i="3"/>
  <c r="F102" i="3"/>
  <c r="U102" i="3" s="1"/>
  <c r="E102" i="3"/>
  <c r="D102" i="3"/>
  <c r="C102" i="3"/>
  <c r="W102" i="3" s="1"/>
  <c r="B102" i="3"/>
  <c r="A102" i="3"/>
  <c r="T102" i="3" s="1"/>
  <c r="I101" i="3"/>
  <c r="H101" i="3"/>
  <c r="G101" i="3"/>
  <c r="F101" i="3"/>
  <c r="U101" i="3" s="1"/>
  <c r="E101" i="3"/>
  <c r="D101" i="3"/>
  <c r="C101" i="3"/>
  <c r="W101" i="3" s="1"/>
  <c r="B101" i="3"/>
  <c r="A101" i="3"/>
  <c r="T101" i="3" s="1"/>
  <c r="I100" i="3"/>
  <c r="H100" i="3"/>
  <c r="G100" i="3"/>
  <c r="F100" i="3"/>
  <c r="U100" i="3" s="1"/>
  <c r="E100" i="3"/>
  <c r="D100" i="3"/>
  <c r="C100" i="3"/>
  <c r="W100" i="3" s="1"/>
  <c r="B100" i="3"/>
  <c r="A100" i="3"/>
  <c r="T100" i="3" s="1"/>
  <c r="I99" i="3"/>
  <c r="H99" i="3"/>
  <c r="G99" i="3"/>
  <c r="F99" i="3"/>
  <c r="U99" i="3" s="1"/>
  <c r="E99" i="3"/>
  <c r="D99" i="3"/>
  <c r="C99" i="3"/>
  <c r="W99" i="3" s="1"/>
  <c r="B99" i="3"/>
  <c r="A99" i="3"/>
  <c r="T99" i="3" s="1"/>
  <c r="I98" i="3"/>
  <c r="H98" i="3"/>
  <c r="G98" i="3"/>
  <c r="F98" i="3"/>
  <c r="U98" i="3" s="1"/>
  <c r="E98" i="3"/>
  <c r="D98" i="3"/>
  <c r="C98" i="3"/>
  <c r="W98" i="3" s="1"/>
  <c r="B98" i="3"/>
  <c r="A98" i="3"/>
  <c r="T98" i="3" s="1"/>
  <c r="I97" i="3"/>
  <c r="H97" i="3"/>
  <c r="G97" i="3"/>
  <c r="F97" i="3"/>
  <c r="U97" i="3" s="1"/>
  <c r="E97" i="3"/>
  <c r="D97" i="3"/>
  <c r="C97" i="3"/>
  <c r="W97" i="3" s="1"/>
  <c r="B97" i="3"/>
  <c r="A97" i="3"/>
  <c r="T97" i="3" s="1"/>
  <c r="I96" i="3"/>
  <c r="H96" i="3"/>
  <c r="G96" i="3"/>
  <c r="F96" i="3"/>
  <c r="U96" i="3" s="1"/>
  <c r="E96" i="3"/>
  <c r="D96" i="3"/>
  <c r="C96" i="3"/>
  <c r="W96" i="3" s="1"/>
  <c r="B96" i="3"/>
  <c r="A96" i="3"/>
  <c r="T96" i="3" s="1"/>
  <c r="I95" i="3"/>
  <c r="H95" i="3"/>
  <c r="G95" i="3"/>
  <c r="F95" i="3"/>
  <c r="U95" i="3" s="1"/>
  <c r="E95" i="3"/>
  <c r="D95" i="3"/>
  <c r="C95" i="3"/>
  <c r="W95" i="3" s="1"/>
  <c r="B95" i="3"/>
  <c r="A95" i="3"/>
  <c r="T95" i="3" s="1"/>
  <c r="I94" i="3"/>
  <c r="H94" i="3"/>
  <c r="G94" i="3"/>
  <c r="F94" i="3"/>
  <c r="U94" i="3" s="1"/>
  <c r="E94" i="3"/>
  <c r="D94" i="3"/>
  <c r="C94" i="3"/>
  <c r="W94" i="3" s="1"/>
  <c r="B94" i="3"/>
  <c r="A94" i="3"/>
  <c r="T94" i="3" s="1"/>
  <c r="I93" i="3"/>
  <c r="H93" i="3"/>
  <c r="G93" i="3"/>
  <c r="F93" i="3"/>
  <c r="U93" i="3" s="1"/>
  <c r="E93" i="3"/>
  <c r="D93" i="3"/>
  <c r="C93" i="3"/>
  <c r="W93" i="3" s="1"/>
  <c r="B93" i="3"/>
  <c r="A93" i="3"/>
  <c r="T93" i="3" s="1"/>
  <c r="I92" i="3"/>
  <c r="H92" i="3"/>
  <c r="G92" i="3"/>
  <c r="F92" i="3"/>
  <c r="U92" i="3" s="1"/>
  <c r="E92" i="3"/>
  <c r="D92" i="3"/>
  <c r="C92" i="3"/>
  <c r="W92" i="3" s="1"/>
  <c r="B92" i="3"/>
  <c r="A92" i="3"/>
  <c r="T92" i="3" s="1"/>
  <c r="I91" i="3"/>
  <c r="H91" i="3"/>
  <c r="G91" i="3"/>
  <c r="F91" i="3"/>
  <c r="U91" i="3" s="1"/>
  <c r="E91" i="3"/>
  <c r="D91" i="3"/>
  <c r="C91" i="3"/>
  <c r="W91" i="3" s="1"/>
  <c r="B91" i="3"/>
  <c r="A91" i="3"/>
  <c r="T91" i="3" s="1"/>
  <c r="I90" i="3"/>
  <c r="H90" i="3"/>
  <c r="G90" i="3"/>
  <c r="F90" i="3"/>
  <c r="U90" i="3" s="1"/>
  <c r="E90" i="3"/>
  <c r="D90" i="3"/>
  <c r="C90" i="3"/>
  <c r="W90" i="3" s="1"/>
  <c r="B90" i="3"/>
  <c r="A90" i="3"/>
  <c r="T90" i="3" s="1"/>
  <c r="I89" i="3"/>
  <c r="H89" i="3"/>
  <c r="G89" i="3"/>
  <c r="F89" i="3"/>
  <c r="U89" i="3" s="1"/>
  <c r="E89" i="3"/>
  <c r="D89" i="3"/>
  <c r="C89" i="3"/>
  <c r="W89" i="3" s="1"/>
  <c r="B89" i="3"/>
  <c r="A89" i="3"/>
  <c r="T89" i="3" s="1"/>
  <c r="O88" i="3"/>
  <c r="I88" i="3"/>
  <c r="H88" i="3"/>
  <c r="G88" i="3"/>
  <c r="F88" i="3"/>
  <c r="U88" i="3" s="1"/>
  <c r="E88" i="3"/>
  <c r="D88" i="3"/>
  <c r="C88" i="3"/>
  <c r="W88" i="3" s="1"/>
  <c r="B88" i="3"/>
  <c r="A88" i="3"/>
  <c r="T88" i="3" s="1"/>
  <c r="I87" i="3"/>
  <c r="H87" i="3"/>
  <c r="G87" i="3"/>
  <c r="F87" i="3"/>
  <c r="U87" i="3" s="1"/>
  <c r="E87" i="3"/>
  <c r="D87" i="3"/>
  <c r="C87" i="3"/>
  <c r="W87" i="3" s="1"/>
  <c r="B87" i="3"/>
  <c r="A87" i="3"/>
  <c r="T87" i="3" s="1"/>
  <c r="I86" i="3"/>
  <c r="H86" i="3"/>
  <c r="G86" i="3"/>
  <c r="F86" i="3"/>
  <c r="U86" i="3" s="1"/>
  <c r="E86" i="3"/>
  <c r="D86" i="3"/>
  <c r="C86" i="3"/>
  <c r="W86" i="3" s="1"/>
  <c r="B86" i="3"/>
  <c r="A86" i="3"/>
  <c r="T86" i="3" s="1"/>
  <c r="I85" i="3"/>
  <c r="H85" i="3"/>
  <c r="G85" i="3"/>
  <c r="F85" i="3"/>
  <c r="U85" i="3" s="1"/>
  <c r="E85" i="3"/>
  <c r="D85" i="3"/>
  <c r="C85" i="3"/>
  <c r="W85" i="3" s="1"/>
  <c r="B85" i="3"/>
  <c r="A85" i="3"/>
  <c r="T85" i="3" s="1"/>
  <c r="S84" i="3"/>
  <c r="I84" i="3"/>
  <c r="H84" i="3"/>
  <c r="G84" i="3"/>
  <c r="F84" i="3"/>
  <c r="U84" i="3" s="1"/>
  <c r="E84" i="3"/>
  <c r="D84" i="3"/>
  <c r="C84" i="3"/>
  <c r="W84" i="3" s="1"/>
  <c r="B84" i="3"/>
  <c r="A84" i="3"/>
  <c r="T84" i="3" s="1"/>
  <c r="I83" i="3"/>
  <c r="H83" i="3"/>
  <c r="G83" i="3"/>
  <c r="F83" i="3"/>
  <c r="U83" i="3" s="1"/>
  <c r="E83" i="3"/>
  <c r="D83" i="3"/>
  <c r="C83" i="3"/>
  <c r="W83" i="3" s="1"/>
  <c r="B83" i="3"/>
  <c r="A83" i="3"/>
  <c r="T83" i="3" s="1"/>
  <c r="I82" i="3"/>
  <c r="H82" i="3"/>
  <c r="G82" i="3"/>
  <c r="F82" i="3"/>
  <c r="U82" i="3" s="1"/>
  <c r="E82" i="3"/>
  <c r="D82" i="3"/>
  <c r="C82" i="3"/>
  <c r="W82" i="3" s="1"/>
  <c r="B82" i="3"/>
  <c r="A82" i="3"/>
  <c r="T82" i="3" s="1"/>
  <c r="O81" i="3"/>
  <c r="I81" i="3"/>
  <c r="H81" i="3"/>
  <c r="G81" i="3"/>
  <c r="F81" i="3"/>
  <c r="U81" i="3" s="1"/>
  <c r="E81" i="3"/>
  <c r="D81" i="3"/>
  <c r="C81" i="3"/>
  <c r="W81" i="3" s="1"/>
  <c r="B81" i="3"/>
  <c r="A81" i="3"/>
  <c r="T81" i="3" s="1"/>
  <c r="I80" i="3"/>
  <c r="H80" i="3"/>
  <c r="G80" i="3"/>
  <c r="F80" i="3"/>
  <c r="U80" i="3" s="1"/>
  <c r="E80" i="3"/>
  <c r="D80" i="3"/>
  <c r="C80" i="3"/>
  <c r="W80" i="3" s="1"/>
  <c r="B80" i="3"/>
  <c r="A80" i="3"/>
  <c r="T80" i="3" s="1"/>
  <c r="I79" i="3"/>
  <c r="H79" i="3"/>
  <c r="G79" i="3"/>
  <c r="F79" i="3"/>
  <c r="U79" i="3" s="1"/>
  <c r="E79" i="3"/>
  <c r="D79" i="3"/>
  <c r="C79" i="3"/>
  <c r="W79" i="3" s="1"/>
  <c r="B79" i="3"/>
  <c r="A79" i="3"/>
  <c r="T79" i="3" s="1"/>
  <c r="I78" i="3"/>
  <c r="H78" i="3"/>
  <c r="G78" i="3"/>
  <c r="F78" i="3"/>
  <c r="U78" i="3" s="1"/>
  <c r="E78" i="3"/>
  <c r="D78" i="3"/>
  <c r="C78" i="3"/>
  <c r="W78" i="3" s="1"/>
  <c r="B78" i="3"/>
  <c r="A78" i="3"/>
  <c r="T78" i="3" s="1"/>
  <c r="I77" i="3"/>
  <c r="H77" i="3"/>
  <c r="G77" i="3"/>
  <c r="F77" i="3"/>
  <c r="U77" i="3" s="1"/>
  <c r="E77" i="3"/>
  <c r="D77" i="3"/>
  <c r="C77" i="3"/>
  <c r="W77" i="3" s="1"/>
  <c r="B77" i="3"/>
  <c r="A77" i="3"/>
  <c r="T77" i="3" s="1"/>
  <c r="I76" i="3"/>
  <c r="H76" i="3"/>
  <c r="G76" i="3"/>
  <c r="F76" i="3"/>
  <c r="U76" i="3" s="1"/>
  <c r="E76" i="3"/>
  <c r="D76" i="3"/>
  <c r="C76" i="3"/>
  <c r="W76" i="3" s="1"/>
  <c r="B76" i="3"/>
  <c r="A76" i="3"/>
  <c r="T76" i="3" s="1"/>
  <c r="I75" i="3"/>
  <c r="H75" i="3"/>
  <c r="G75" i="3"/>
  <c r="F75" i="3"/>
  <c r="U75" i="3" s="1"/>
  <c r="E75" i="3"/>
  <c r="D75" i="3"/>
  <c r="C75" i="3"/>
  <c r="W75" i="3" s="1"/>
  <c r="B75" i="3"/>
  <c r="A75" i="3"/>
  <c r="T75" i="3" s="1"/>
  <c r="I74" i="3"/>
  <c r="H74" i="3"/>
  <c r="G74" i="3"/>
  <c r="F74" i="3"/>
  <c r="U74" i="3" s="1"/>
  <c r="E74" i="3"/>
  <c r="D74" i="3"/>
  <c r="C74" i="3"/>
  <c r="W74" i="3" s="1"/>
  <c r="B74" i="3"/>
  <c r="A74" i="3"/>
  <c r="T74" i="3" s="1"/>
  <c r="I73" i="3"/>
  <c r="H73" i="3"/>
  <c r="G73" i="3"/>
  <c r="F73" i="3"/>
  <c r="U73" i="3" s="1"/>
  <c r="E73" i="3"/>
  <c r="D73" i="3"/>
  <c r="C73" i="3"/>
  <c r="W73" i="3" s="1"/>
  <c r="B73" i="3"/>
  <c r="A73" i="3"/>
  <c r="T73" i="3" s="1"/>
  <c r="I72" i="3"/>
  <c r="H72" i="3"/>
  <c r="G72" i="3"/>
  <c r="F72" i="3"/>
  <c r="U72" i="3" s="1"/>
  <c r="E72" i="3"/>
  <c r="D72" i="3"/>
  <c r="C72" i="3"/>
  <c r="W72" i="3" s="1"/>
  <c r="B72" i="3"/>
  <c r="A72" i="3"/>
  <c r="T72" i="3" s="1"/>
  <c r="I71" i="3"/>
  <c r="H71" i="3"/>
  <c r="G71" i="3"/>
  <c r="F71" i="3"/>
  <c r="U71" i="3" s="1"/>
  <c r="E71" i="3"/>
  <c r="D71" i="3"/>
  <c r="C71" i="3"/>
  <c r="W71" i="3" s="1"/>
  <c r="B71" i="3"/>
  <c r="A71" i="3"/>
  <c r="T71" i="3" s="1"/>
  <c r="I70" i="3"/>
  <c r="H70" i="3"/>
  <c r="G70" i="3"/>
  <c r="F70" i="3"/>
  <c r="U70" i="3" s="1"/>
  <c r="E70" i="3"/>
  <c r="D70" i="3"/>
  <c r="C70" i="3"/>
  <c r="W70" i="3" s="1"/>
  <c r="B70" i="3"/>
  <c r="A70" i="3"/>
  <c r="T70" i="3" s="1"/>
  <c r="I69" i="3"/>
  <c r="H69" i="3"/>
  <c r="G69" i="3"/>
  <c r="F69" i="3"/>
  <c r="U69" i="3" s="1"/>
  <c r="E69" i="3"/>
  <c r="D69" i="3"/>
  <c r="C69" i="3"/>
  <c r="W69" i="3" s="1"/>
  <c r="B69" i="3"/>
  <c r="A69" i="3"/>
  <c r="T69" i="3" s="1"/>
  <c r="I68" i="3"/>
  <c r="H68" i="3"/>
  <c r="G68" i="3"/>
  <c r="F68" i="3"/>
  <c r="U68" i="3" s="1"/>
  <c r="E68" i="3"/>
  <c r="D68" i="3"/>
  <c r="C68" i="3"/>
  <c r="W68" i="3" s="1"/>
  <c r="B68" i="3"/>
  <c r="A68" i="3"/>
  <c r="T68" i="3" s="1"/>
  <c r="I67" i="3"/>
  <c r="H67" i="3"/>
  <c r="G67" i="3"/>
  <c r="F67" i="3"/>
  <c r="U67" i="3" s="1"/>
  <c r="E67" i="3"/>
  <c r="D67" i="3"/>
  <c r="C67" i="3"/>
  <c r="W67" i="3" s="1"/>
  <c r="B67" i="3"/>
  <c r="A67" i="3"/>
  <c r="T67" i="3" s="1"/>
  <c r="I66" i="3"/>
  <c r="H66" i="3"/>
  <c r="G66" i="3"/>
  <c r="F66" i="3"/>
  <c r="U66" i="3" s="1"/>
  <c r="E66" i="3"/>
  <c r="D66" i="3"/>
  <c r="C66" i="3"/>
  <c r="W66" i="3" s="1"/>
  <c r="B66" i="3"/>
  <c r="A66" i="3"/>
  <c r="T66" i="3" s="1"/>
  <c r="I65" i="3"/>
  <c r="H65" i="3"/>
  <c r="G65" i="3"/>
  <c r="F65" i="3"/>
  <c r="U65" i="3" s="1"/>
  <c r="E65" i="3"/>
  <c r="D65" i="3"/>
  <c r="C65" i="3"/>
  <c r="W65" i="3" s="1"/>
  <c r="B65" i="3"/>
  <c r="A65" i="3"/>
  <c r="T65" i="3" s="1"/>
  <c r="I64" i="3"/>
  <c r="H64" i="3"/>
  <c r="G64" i="3"/>
  <c r="F64" i="3"/>
  <c r="U64" i="3" s="1"/>
  <c r="E64" i="3"/>
  <c r="D64" i="3"/>
  <c r="C64" i="3"/>
  <c r="W64" i="3" s="1"/>
  <c r="B64" i="3"/>
  <c r="A64" i="3"/>
  <c r="T64" i="3" s="1"/>
  <c r="I63" i="3"/>
  <c r="H63" i="3"/>
  <c r="G63" i="3"/>
  <c r="F63" i="3"/>
  <c r="U63" i="3" s="1"/>
  <c r="E63" i="3"/>
  <c r="D63" i="3"/>
  <c r="C63" i="3"/>
  <c r="W63" i="3" s="1"/>
  <c r="B63" i="3"/>
  <c r="A63" i="3"/>
  <c r="T63" i="3" s="1"/>
  <c r="I62" i="3"/>
  <c r="H62" i="3"/>
  <c r="G62" i="3"/>
  <c r="F62" i="3"/>
  <c r="U62" i="3" s="1"/>
  <c r="E62" i="3"/>
  <c r="D62" i="3"/>
  <c r="C62" i="3"/>
  <c r="W62" i="3" s="1"/>
  <c r="B62" i="3"/>
  <c r="A62" i="3"/>
  <c r="T62" i="3" s="1"/>
  <c r="I61" i="3"/>
  <c r="H61" i="3"/>
  <c r="G61" i="3"/>
  <c r="F61" i="3"/>
  <c r="U61" i="3" s="1"/>
  <c r="E61" i="3"/>
  <c r="D61" i="3"/>
  <c r="C61" i="3"/>
  <c r="W61" i="3" s="1"/>
  <c r="B61" i="3"/>
  <c r="A61" i="3"/>
  <c r="T61" i="3" s="1"/>
  <c r="I60" i="3"/>
  <c r="H60" i="3"/>
  <c r="G60" i="3"/>
  <c r="F60" i="3"/>
  <c r="U60" i="3" s="1"/>
  <c r="E60" i="3"/>
  <c r="D60" i="3"/>
  <c r="C60" i="3"/>
  <c r="W60" i="3" s="1"/>
  <c r="B60" i="3"/>
  <c r="A60" i="3"/>
  <c r="T60" i="3" s="1"/>
  <c r="I59" i="3"/>
  <c r="H59" i="3"/>
  <c r="G59" i="3"/>
  <c r="F59" i="3"/>
  <c r="U59" i="3" s="1"/>
  <c r="E59" i="3"/>
  <c r="D59" i="3"/>
  <c r="C59" i="3"/>
  <c r="W59" i="3" s="1"/>
  <c r="B59" i="3"/>
  <c r="A59" i="3"/>
  <c r="T59" i="3" s="1"/>
  <c r="I58" i="3"/>
  <c r="H58" i="3"/>
  <c r="G58" i="3"/>
  <c r="F58" i="3"/>
  <c r="U58" i="3" s="1"/>
  <c r="E58" i="3"/>
  <c r="D58" i="3"/>
  <c r="C58" i="3"/>
  <c r="W58" i="3" s="1"/>
  <c r="B58" i="3"/>
  <c r="A58" i="3"/>
  <c r="T58" i="3" s="1"/>
  <c r="I57" i="3"/>
  <c r="H57" i="3"/>
  <c r="G57" i="3"/>
  <c r="F57" i="3"/>
  <c r="U57" i="3" s="1"/>
  <c r="E57" i="3"/>
  <c r="D57" i="3"/>
  <c r="C57" i="3"/>
  <c r="W57" i="3" s="1"/>
  <c r="B57" i="3"/>
  <c r="A57" i="3"/>
  <c r="T57" i="3" s="1"/>
  <c r="I56" i="3"/>
  <c r="H56" i="3"/>
  <c r="G56" i="3"/>
  <c r="F56" i="3"/>
  <c r="U56" i="3" s="1"/>
  <c r="E56" i="3"/>
  <c r="D56" i="3"/>
  <c r="C56" i="3"/>
  <c r="W56" i="3" s="1"/>
  <c r="B56" i="3"/>
  <c r="A56" i="3"/>
  <c r="T56" i="3" s="1"/>
  <c r="I55" i="3"/>
  <c r="H55" i="3"/>
  <c r="G55" i="3"/>
  <c r="F55" i="3"/>
  <c r="U55" i="3" s="1"/>
  <c r="E55" i="3"/>
  <c r="D55" i="3"/>
  <c r="C55" i="3"/>
  <c r="W55" i="3" s="1"/>
  <c r="B55" i="3"/>
  <c r="A55" i="3"/>
  <c r="T55" i="3" s="1"/>
  <c r="I54" i="3"/>
  <c r="H54" i="3"/>
  <c r="G54" i="3"/>
  <c r="F54" i="3"/>
  <c r="U54" i="3" s="1"/>
  <c r="E54" i="3"/>
  <c r="D54" i="3"/>
  <c r="C54" i="3"/>
  <c r="W54" i="3" s="1"/>
  <c r="B54" i="3"/>
  <c r="A54" i="3"/>
  <c r="T54" i="3" s="1"/>
  <c r="I53" i="3"/>
  <c r="H53" i="3"/>
  <c r="G53" i="3"/>
  <c r="F53" i="3"/>
  <c r="U53" i="3" s="1"/>
  <c r="E53" i="3"/>
  <c r="D53" i="3"/>
  <c r="C53" i="3"/>
  <c r="W53" i="3" s="1"/>
  <c r="B53" i="3"/>
  <c r="A53" i="3"/>
  <c r="T53" i="3" s="1"/>
  <c r="I52" i="3"/>
  <c r="H52" i="3"/>
  <c r="G52" i="3"/>
  <c r="F52" i="3"/>
  <c r="U52" i="3" s="1"/>
  <c r="E52" i="3"/>
  <c r="D52" i="3"/>
  <c r="C52" i="3"/>
  <c r="W52" i="3" s="1"/>
  <c r="B52" i="3"/>
  <c r="A52" i="3"/>
  <c r="T52" i="3" s="1"/>
  <c r="I51" i="3"/>
  <c r="H51" i="3"/>
  <c r="G51" i="3"/>
  <c r="F51" i="3"/>
  <c r="U51" i="3" s="1"/>
  <c r="E51" i="3"/>
  <c r="D51" i="3"/>
  <c r="C51" i="3"/>
  <c r="W51" i="3" s="1"/>
  <c r="B51" i="3"/>
  <c r="A51" i="3"/>
  <c r="T51" i="3" s="1"/>
  <c r="I50" i="3"/>
  <c r="H50" i="3"/>
  <c r="G50" i="3"/>
  <c r="F50" i="3"/>
  <c r="U50" i="3" s="1"/>
  <c r="E50" i="3"/>
  <c r="D50" i="3"/>
  <c r="C50" i="3"/>
  <c r="W50" i="3" s="1"/>
  <c r="B50" i="3"/>
  <c r="A50" i="3"/>
  <c r="T50" i="3" s="1"/>
  <c r="I49" i="3"/>
  <c r="H49" i="3"/>
  <c r="G49" i="3"/>
  <c r="F49" i="3"/>
  <c r="U49" i="3" s="1"/>
  <c r="E49" i="3"/>
  <c r="D49" i="3"/>
  <c r="C49" i="3"/>
  <c r="W49" i="3" s="1"/>
  <c r="B49" i="3"/>
  <c r="A49" i="3"/>
  <c r="T49" i="3" s="1"/>
  <c r="I48" i="3"/>
  <c r="H48" i="3"/>
  <c r="G48" i="3"/>
  <c r="F48" i="3"/>
  <c r="U48" i="3" s="1"/>
  <c r="E48" i="3"/>
  <c r="D48" i="3"/>
  <c r="C48" i="3"/>
  <c r="W48" i="3" s="1"/>
  <c r="B48" i="3"/>
  <c r="A48" i="3"/>
  <c r="T48" i="3" s="1"/>
  <c r="I47" i="3"/>
  <c r="H47" i="3"/>
  <c r="G47" i="3"/>
  <c r="F47" i="3"/>
  <c r="U47" i="3" s="1"/>
  <c r="E47" i="3"/>
  <c r="D47" i="3"/>
  <c r="C47" i="3"/>
  <c r="W47" i="3" s="1"/>
  <c r="B47" i="3"/>
  <c r="A47" i="3"/>
  <c r="T47" i="3" s="1"/>
  <c r="I46" i="3"/>
  <c r="H46" i="3"/>
  <c r="G46" i="3"/>
  <c r="F46" i="3"/>
  <c r="U46" i="3" s="1"/>
  <c r="E46" i="3"/>
  <c r="D46" i="3"/>
  <c r="C46" i="3"/>
  <c r="W46" i="3" s="1"/>
  <c r="B46" i="3"/>
  <c r="A46" i="3"/>
  <c r="T46" i="3" s="1"/>
  <c r="I45" i="3"/>
  <c r="H45" i="3"/>
  <c r="G45" i="3"/>
  <c r="F45" i="3"/>
  <c r="U45" i="3" s="1"/>
  <c r="E45" i="3"/>
  <c r="D45" i="3"/>
  <c r="C45" i="3"/>
  <c r="W45" i="3" s="1"/>
  <c r="B45" i="3"/>
  <c r="A45" i="3"/>
  <c r="T45" i="3" s="1"/>
  <c r="I44" i="3"/>
  <c r="H44" i="3"/>
  <c r="G44" i="3"/>
  <c r="F44" i="3"/>
  <c r="U44" i="3" s="1"/>
  <c r="E44" i="3"/>
  <c r="D44" i="3"/>
  <c r="C44" i="3"/>
  <c r="W44" i="3" s="1"/>
  <c r="B44" i="3"/>
  <c r="A44" i="3"/>
  <c r="T44" i="3" s="1"/>
  <c r="I43" i="3"/>
  <c r="H43" i="3"/>
  <c r="G43" i="3"/>
  <c r="F43" i="3"/>
  <c r="U43" i="3" s="1"/>
  <c r="E43" i="3"/>
  <c r="D43" i="3"/>
  <c r="C43" i="3"/>
  <c r="W43" i="3" s="1"/>
  <c r="B43" i="3"/>
  <c r="A43" i="3"/>
  <c r="T43" i="3" s="1"/>
  <c r="I42" i="3"/>
  <c r="H42" i="3"/>
  <c r="G42" i="3"/>
  <c r="F42" i="3"/>
  <c r="U42" i="3" s="1"/>
  <c r="E42" i="3"/>
  <c r="D42" i="3"/>
  <c r="C42" i="3"/>
  <c r="W42" i="3" s="1"/>
  <c r="B42" i="3"/>
  <c r="A42" i="3"/>
  <c r="T42" i="3" s="1"/>
  <c r="I41" i="3"/>
  <c r="H41" i="3"/>
  <c r="G41" i="3"/>
  <c r="F41" i="3"/>
  <c r="U41" i="3" s="1"/>
  <c r="E41" i="3"/>
  <c r="D41" i="3"/>
  <c r="C41" i="3"/>
  <c r="W41" i="3" s="1"/>
  <c r="B41" i="3"/>
  <c r="A41" i="3"/>
  <c r="T41" i="3" s="1"/>
  <c r="I40" i="3"/>
  <c r="H40" i="3"/>
  <c r="G40" i="3"/>
  <c r="F40" i="3"/>
  <c r="U40" i="3" s="1"/>
  <c r="E40" i="3"/>
  <c r="D40" i="3"/>
  <c r="C40" i="3"/>
  <c r="W40" i="3" s="1"/>
  <c r="B40" i="3"/>
  <c r="A40" i="3"/>
  <c r="T40" i="3" s="1"/>
  <c r="I39" i="3"/>
  <c r="H39" i="3"/>
  <c r="G39" i="3"/>
  <c r="F39" i="3"/>
  <c r="U39" i="3" s="1"/>
  <c r="E39" i="3"/>
  <c r="D39" i="3"/>
  <c r="C39" i="3"/>
  <c r="W39" i="3" s="1"/>
  <c r="B39" i="3"/>
  <c r="A39" i="3"/>
  <c r="T39" i="3" s="1"/>
  <c r="I38" i="3"/>
  <c r="H38" i="3"/>
  <c r="G38" i="3"/>
  <c r="F38" i="3"/>
  <c r="U38" i="3" s="1"/>
  <c r="E38" i="3"/>
  <c r="D38" i="3"/>
  <c r="C38" i="3"/>
  <c r="W38" i="3" s="1"/>
  <c r="B38" i="3"/>
  <c r="A38" i="3"/>
  <c r="T38" i="3" s="1"/>
  <c r="I37" i="3"/>
  <c r="H37" i="3"/>
  <c r="G37" i="3"/>
  <c r="F37" i="3"/>
  <c r="U37" i="3" s="1"/>
  <c r="E37" i="3"/>
  <c r="D37" i="3"/>
  <c r="C37" i="3"/>
  <c r="W37" i="3" s="1"/>
  <c r="B37" i="3"/>
  <c r="A37" i="3"/>
  <c r="T37" i="3" s="1"/>
  <c r="I36" i="3"/>
  <c r="H36" i="3"/>
  <c r="G36" i="3"/>
  <c r="F36" i="3"/>
  <c r="U36" i="3" s="1"/>
  <c r="E36" i="3"/>
  <c r="D36" i="3"/>
  <c r="C36" i="3"/>
  <c r="W36" i="3" s="1"/>
  <c r="B36" i="3"/>
  <c r="A36" i="3"/>
  <c r="T36" i="3" s="1"/>
  <c r="I35" i="3"/>
  <c r="H35" i="3"/>
  <c r="G35" i="3"/>
  <c r="F35" i="3"/>
  <c r="U35" i="3" s="1"/>
  <c r="E35" i="3"/>
  <c r="D35" i="3"/>
  <c r="C35" i="3"/>
  <c r="W35" i="3" s="1"/>
  <c r="B35" i="3"/>
  <c r="A35" i="3"/>
  <c r="T35" i="3" s="1"/>
  <c r="I34" i="3"/>
  <c r="H34" i="3"/>
  <c r="G34" i="3"/>
  <c r="F34" i="3"/>
  <c r="U34" i="3" s="1"/>
  <c r="E34" i="3"/>
  <c r="D34" i="3"/>
  <c r="C34" i="3"/>
  <c r="W34" i="3" s="1"/>
  <c r="B34" i="3"/>
  <c r="A34" i="3"/>
  <c r="T34" i="3" s="1"/>
  <c r="I33" i="3"/>
  <c r="H33" i="3"/>
  <c r="G33" i="3"/>
  <c r="F33" i="3"/>
  <c r="U33" i="3" s="1"/>
  <c r="E33" i="3"/>
  <c r="D33" i="3"/>
  <c r="C33" i="3"/>
  <c r="W33" i="3" s="1"/>
  <c r="B33" i="3"/>
  <c r="A33" i="3"/>
  <c r="T33" i="3" s="1"/>
  <c r="I32" i="3"/>
  <c r="H32" i="3"/>
  <c r="G32" i="3"/>
  <c r="F32" i="3"/>
  <c r="U32" i="3" s="1"/>
  <c r="E32" i="3"/>
  <c r="D32" i="3"/>
  <c r="C32" i="3"/>
  <c r="W32" i="3" s="1"/>
  <c r="B32" i="3"/>
  <c r="A32" i="3"/>
  <c r="T32" i="3" s="1"/>
  <c r="I31" i="3"/>
  <c r="H31" i="3"/>
  <c r="G31" i="3"/>
  <c r="F31" i="3"/>
  <c r="U31" i="3" s="1"/>
  <c r="E31" i="3"/>
  <c r="D31" i="3"/>
  <c r="C31" i="3"/>
  <c r="W31" i="3" s="1"/>
  <c r="B31" i="3"/>
  <c r="A31" i="3"/>
  <c r="T31" i="3" s="1"/>
  <c r="I30" i="3"/>
  <c r="H30" i="3"/>
  <c r="G30" i="3"/>
  <c r="F30" i="3"/>
  <c r="U30" i="3" s="1"/>
  <c r="E30" i="3"/>
  <c r="D30" i="3"/>
  <c r="C30" i="3"/>
  <c r="W30" i="3" s="1"/>
  <c r="B30" i="3"/>
  <c r="A30" i="3"/>
  <c r="T30" i="3" s="1"/>
  <c r="I29" i="3"/>
  <c r="H29" i="3"/>
  <c r="G29" i="3"/>
  <c r="F29" i="3"/>
  <c r="U29" i="3" s="1"/>
  <c r="E29" i="3"/>
  <c r="D29" i="3"/>
  <c r="C29" i="3"/>
  <c r="W29" i="3" s="1"/>
  <c r="B29" i="3"/>
  <c r="A29" i="3"/>
  <c r="T29" i="3" s="1"/>
  <c r="I28" i="3"/>
  <c r="H28" i="3"/>
  <c r="G28" i="3"/>
  <c r="F28" i="3"/>
  <c r="U28" i="3" s="1"/>
  <c r="E28" i="3"/>
  <c r="D28" i="3"/>
  <c r="C28" i="3"/>
  <c r="W28" i="3" s="1"/>
  <c r="B28" i="3"/>
  <c r="A28" i="3"/>
  <c r="T28" i="3" s="1"/>
  <c r="I27" i="3"/>
  <c r="H27" i="3"/>
  <c r="G27" i="3"/>
  <c r="F27" i="3"/>
  <c r="U27" i="3" s="1"/>
  <c r="E27" i="3"/>
  <c r="D27" i="3"/>
  <c r="C27" i="3"/>
  <c r="W27" i="3" s="1"/>
  <c r="B27" i="3"/>
  <c r="A27" i="3"/>
  <c r="T27" i="3" s="1"/>
  <c r="I26" i="3"/>
  <c r="H26" i="3"/>
  <c r="G26" i="3"/>
  <c r="F26" i="3"/>
  <c r="U26" i="3" s="1"/>
  <c r="E26" i="3"/>
  <c r="D26" i="3"/>
  <c r="C26" i="3"/>
  <c r="W26" i="3" s="1"/>
  <c r="B26" i="3"/>
  <c r="A26" i="3"/>
  <c r="T26" i="3" s="1"/>
  <c r="I25" i="3"/>
  <c r="H25" i="3"/>
  <c r="G25" i="3"/>
  <c r="F25" i="3"/>
  <c r="U25" i="3" s="1"/>
  <c r="E25" i="3"/>
  <c r="D25" i="3"/>
  <c r="C25" i="3"/>
  <c r="W25" i="3" s="1"/>
  <c r="B25" i="3"/>
  <c r="A25" i="3"/>
  <c r="T25" i="3" s="1"/>
  <c r="I24" i="3"/>
  <c r="H24" i="3"/>
  <c r="G24" i="3"/>
  <c r="F24" i="3"/>
  <c r="U24" i="3" s="1"/>
  <c r="E24" i="3"/>
  <c r="D24" i="3"/>
  <c r="C24" i="3"/>
  <c r="W24" i="3" s="1"/>
  <c r="B24" i="3"/>
  <c r="A24" i="3"/>
  <c r="T24" i="3" s="1"/>
  <c r="I23" i="3"/>
  <c r="H23" i="3"/>
  <c r="G23" i="3"/>
  <c r="F23" i="3"/>
  <c r="U23" i="3" s="1"/>
  <c r="E23" i="3"/>
  <c r="D23" i="3"/>
  <c r="C23" i="3"/>
  <c r="W23" i="3" s="1"/>
  <c r="B23" i="3"/>
  <c r="A23" i="3"/>
  <c r="T23" i="3" s="1"/>
  <c r="I22" i="3"/>
  <c r="H22" i="3"/>
  <c r="G22" i="3"/>
  <c r="F22" i="3"/>
  <c r="U22" i="3" s="1"/>
  <c r="E22" i="3"/>
  <c r="D22" i="3"/>
  <c r="C22" i="3"/>
  <c r="W22" i="3" s="1"/>
  <c r="B22" i="3"/>
  <c r="A22" i="3"/>
  <c r="T22" i="3" s="1"/>
  <c r="I21" i="3"/>
  <c r="H21" i="3"/>
  <c r="G21" i="3"/>
  <c r="F21" i="3"/>
  <c r="U21" i="3" s="1"/>
  <c r="E21" i="3"/>
  <c r="D21" i="3"/>
  <c r="C21" i="3"/>
  <c r="W21" i="3" s="1"/>
  <c r="B21" i="3"/>
  <c r="A21" i="3"/>
  <c r="T21" i="3" s="1"/>
  <c r="I20" i="3"/>
  <c r="H20" i="3"/>
  <c r="G20" i="3"/>
  <c r="F20" i="3"/>
  <c r="U20" i="3" s="1"/>
  <c r="E20" i="3"/>
  <c r="D20" i="3"/>
  <c r="C20" i="3"/>
  <c r="W20" i="3" s="1"/>
  <c r="B20" i="3"/>
  <c r="A20" i="3"/>
  <c r="T20" i="3" s="1"/>
  <c r="I19" i="3"/>
  <c r="H19" i="3"/>
  <c r="G19" i="3"/>
  <c r="F19" i="3"/>
  <c r="U19" i="3" s="1"/>
  <c r="E19" i="3"/>
  <c r="D19" i="3"/>
  <c r="C19" i="3"/>
  <c r="W19" i="3" s="1"/>
  <c r="B19" i="3"/>
  <c r="A19" i="3"/>
  <c r="T19" i="3" s="1"/>
  <c r="I18" i="3"/>
  <c r="H18" i="3"/>
  <c r="G18" i="3"/>
  <c r="F18" i="3"/>
  <c r="U18" i="3" s="1"/>
  <c r="E18" i="3"/>
  <c r="D18" i="3"/>
  <c r="C18" i="3"/>
  <c r="W18" i="3" s="1"/>
  <c r="B18" i="3"/>
  <c r="A18" i="3"/>
  <c r="T18" i="3" s="1"/>
  <c r="I17" i="3"/>
  <c r="H17" i="3"/>
  <c r="G17" i="3"/>
  <c r="F17" i="3"/>
  <c r="U17" i="3" s="1"/>
  <c r="E17" i="3"/>
  <c r="D17" i="3"/>
  <c r="C17" i="3"/>
  <c r="W17" i="3" s="1"/>
  <c r="B17" i="3"/>
  <c r="A17" i="3"/>
  <c r="T17" i="3" s="1"/>
  <c r="I16" i="3"/>
  <c r="H16" i="3"/>
  <c r="G16" i="3"/>
  <c r="F16" i="3"/>
  <c r="U16" i="3" s="1"/>
  <c r="E16" i="3"/>
  <c r="D16" i="3"/>
  <c r="C16" i="3"/>
  <c r="W16" i="3" s="1"/>
  <c r="B16" i="3"/>
  <c r="A16" i="3"/>
  <c r="T16" i="3" s="1"/>
  <c r="I15" i="3"/>
  <c r="H15" i="3"/>
  <c r="G15" i="3"/>
  <c r="F15" i="3"/>
  <c r="U15" i="3" s="1"/>
  <c r="E15" i="3"/>
  <c r="D15" i="3"/>
  <c r="C15" i="3"/>
  <c r="W15" i="3" s="1"/>
  <c r="B15" i="3"/>
  <c r="A15" i="3"/>
  <c r="T15" i="3" s="1"/>
  <c r="I14" i="3"/>
  <c r="H14" i="3"/>
  <c r="G14" i="3"/>
  <c r="F14" i="3"/>
  <c r="U14" i="3" s="1"/>
  <c r="E14" i="3"/>
  <c r="D14" i="3"/>
  <c r="C14" i="3"/>
  <c r="W14" i="3" s="1"/>
  <c r="B14" i="3"/>
  <c r="A14" i="3"/>
  <c r="T14" i="3" s="1"/>
  <c r="I13" i="3"/>
  <c r="H13" i="3"/>
  <c r="G13" i="3"/>
  <c r="F13" i="3"/>
  <c r="U13" i="3" s="1"/>
  <c r="E13" i="3"/>
  <c r="D13" i="3"/>
  <c r="C13" i="3"/>
  <c r="W13" i="3" s="1"/>
  <c r="B13" i="3"/>
  <c r="A13" i="3"/>
  <c r="T13" i="3" s="1"/>
  <c r="I12" i="3"/>
  <c r="H12" i="3"/>
  <c r="G12" i="3"/>
  <c r="F12" i="3"/>
  <c r="U12" i="3" s="1"/>
  <c r="E12" i="3"/>
  <c r="D12" i="3"/>
  <c r="C12" i="3"/>
  <c r="W12" i="3" s="1"/>
  <c r="B12" i="3"/>
  <c r="A12" i="3"/>
  <c r="T12" i="3" s="1"/>
  <c r="I11" i="3"/>
  <c r="H11" i="3"/>
  <c r="G11" i="3"/>
  <c r="F11" i="3"/>
  <c r="U11" i="3" s="1"/>
  <c r="E11" i="3"/>
  <c r="D11" i="3"/>
  <c r="C11" i="3"/>
  <c r="W11" i="3" s="1"/>
  <c r="B11" i="3"/>
  <c r="A11" i="3"/>
  <c r="T11" i="3" s="1"/>
  <c r="I10" i="3"/>
  <c r="H10" i="3"/>
  <c r="G10" i="3"/>
  <c r="F10" i="3"/>
  <c r="U10" i="3" s="1"/>
  <c r="E10" i="3"/>
  <c r="D10" i="3"/>
  <c r="C10" i="3"/>
  <c r="W10" i="3" s="1"/>
  <c r="B10" i="3"/>
  <c r="A10" i="3"/>
  <c r="T10" i="3" s="1"/>
  <c r="I9" i="3"/>
  <c r="H9" i="3"/>
  <c r="G9" i="3"/>
  <c r="F9" i="3"/>
  <c r="U9" i="3" s="1"/>
  <c r="E9" i="3"/>
  <c r="D9" i="3"/>
  <c r="C9" i="3"/>
  <c r="W9" i="3" s="1"/>
  <c r="B9" i="3"/>
  <c r="A9" i="3"/>
  <c r="A5" i="3"/>
  <c r="A6" i="3" s="1"/>
  <c r="AE12" i="7" l="1"/>
  <c r="AE11" i="7"/>
  <c r="AE10" i="7"/>
  <c r="AE9" i="7"/>
  <c r="AE8" i="7"/>
  <c r="F35" i="6"/>
  <c r="A29" i="6"/>
  <c r="E35" i="6"/>
  <c r="A28" i="6"/>
  <c r="D35" i="6"/>
  <c r="A27" i="6"/>
  <c r="A26" i="6"/>
  <c r="C35" i="6"/>
  <c r="A25" i="6"/>
  <c r="B35" i="6"/>
  <c r="J382" i="3"/>
  <c r="Q382" i="3"/>
  <c r="L382" i="3"/>
  <c r="S382" i="3"/>
  <c r="P382" i="3"/>
  <c r="O382" i="3"/>
  <c r="M382" i="3"/>
  <c r="Q381" i="3"/>
  <c r="J381" i="3"/>
  <c r="M381" i="3"/>
  <c r="S381" i="3"/>
  <c r="P381" i="3"/>
  <c r="O381" i="3"/>
  <c r="L381" i="3"/>
  <c r="Q380" i="3"/>
  <c r="J380" i="3"/>
  <c r="P380" i="3"/>
  <c r="S380" i="3"/>
  <c r="O380" i="3"/>
  <c r="M380" i="3"/>
  <c r="L380" i="3"/>
  <c r="J379" i="3"/>
  <c r="Q379" i="3"/>
  <c r="S379" i="3"/>
  <c r="P379" i="3"/>
  <c r="O379" i="3"/>
  <c r="M379" i="3"/>
  <c r="L379" i="3"/>
  <c r="J378" i="3"/>
  <c r="Q378" i="3"/>
  <c r="S378" i="3"/>
  <c r="O378" i="3"/>
  <c r="M378" i="3"/>
  <c r="L378" i="3"/>
  <c r="P378" i="3"/>
  <c r="Q377" i="3"/>
  <c r="J377" i="3"/>
  <c r="S377" i="3"/>
  <c r="P377" i="3"/>
  <c r="O377" i="3"/>
  <c r="M377" i="3"/>
  <c r="L377" i="3"/>
  <c r="Q376" i="3"/>
  <c r="J376" i="3"/>
  <c r="S376" i="3"/>
  <c r="P376" i="3"/>
  <c r="O376" i="3"/>
  <c r="M376" i="3"/>
  <c r="L376" i="3"/>
  <c r="J375" i="3"/>
  <c r="Q375" i="3"/>
  <c r="S375" i="3"/>
  <c r="L375" i="3"/>
  <c r="P375" i="3"/>
  <c r="O375" i="3"/>
  <c r="M375" i="3"/>
  <c r="K374" i="3"/>
  <c r="V374" i="3"/>
  <c r="R374" i="3"/>
  <c r="S374" i="3"/>
  <c r="U374" i="3"/>
  <c r="J373" i="3"/>
  <c r="Q373" i="3"/>
  <c r="P373" i="3"/>
  <c r="L373" i="3"/>
  <c r="O373" i="3"/>
  <c r="M373" i="3"/>
  <c r="S373" i="3"/>
  <c r="Q372" i="3"/>
  <c r="J372" i="3"/>
  <c r="M372" i="3"/>
  <c r="O372" i="3"/>
  <c r="P372" i="3"/>
  <c r="S372" i="3"/>
  <c r="L372" i="3"/>
  <c r="J371" i="3"/>
  <c r="Q371" i="3"/>
  <c r="L371" i="3"/>
  <c r="M371" i="3"/>
  <c r="O371" i="3"/>
  <c r="P371" i="3"/>
  <c r="S371" i="3"/>
  <c r="Q370" i="3"/>
  <c r="J370" i="3"/>
  <c r="O370" i="3"/>
  <c r="P370" i="3"/>
  <c r="S370" i="3"/>
  <c r="L370" i="3"/>
  <c r="M370" i="3"/>
  <c r="J369" i="3"/>
  <c r="Q369" i="3"/>
  <c r="S369" i="3"/>
  <c r="L369" i="3"/>
  <c r="P369" i="3"/>
  <c r="O369" i="3"/>
  <c r="M369" i="3"/>
  <c r="J368" i="3"/>
  <c r="Q368" i="3"/>
  <c r="M368" i="3"/>
  <c r="L368" i="3"/>
  <c r="S368" i="3"/>
  <c r="O368" i="3"/>
  <c r="P368" i="3"/>
  <c r="Q367" i="3"/>
  <c r="J367" i="3"/>
  <c r="O367" i="3"/>
  <c r="P367" i="3"/>
  <c r="S367" i="3"/>
  <c r="L367" i="3"/>
  <c r="M367" i="3"/>
  <c r="J366" i="3"/>
  <c r="Q366" i="3"/>
  <c r="L366" i="3"/>
  <c r="O366" i="3"/>
  <c r="P366" i="3"/>
  <c r="S366" i="3"/>
  <c r="M366" i="3"/>
  <c r="Q365" i="3"/>
  <c r="J365" i="3"/>
  <c r="P365" i="3"/>
  <c r="S365" i="3"/>
  <c r="O365" i="3"/>
  <c r="L365" i="3"/>
  <c r="M365" i="3"/>
  <c r="Q364" i="3"/>
  <c r="J364" i="3"/>
  <c r="P364" i="3"/>
  <c r="S364" i="3"/>
  <c r="O364" i="3"/>
  <c r="M364" i="3"/>
  <c r="L364" i="3"/>
  <c r="Q363" i="3"/>
  <c r="J363" i="3"/>
  <c r="O363" i="3"/>
  <c r="S363" i="3"/>
  <c r="P363" i="3"/>
  <c r="L363" i="3"/>
  <c r="M363" i="3"/>
  <c r="Q362" i="3"/>
  <c r="J362" i="3"/>
  <c r="M362" i="3"/>
  <c r="O362" i="3"/>
  <c r="P362" i="3"/>
  <c r="S362" i="3"/>
  <c r="L362" i="3"/>
  <c r="J361" i="3"/>
  <c r="Q361" i="3"/>
  <c r="S361" i="3"/>
  <c r="L361" i="3"/>
  <c r="O361" i="3"/>
  <c r="M361" i="3"/>
  <c r="P361" i="3"/>
  <c r="Q360" i="3"/>
  <c r="J360" i="3"/>
  <c r="L360" i="3"/>
  <c r="M360" i="3"/>
  <c r="S360" i="3"/>
  <c r="P360" i="3"/>
  <c r="O360" i="3"/>
  <c r="Q359" i="3"/>
  <c r="J359" i="3"/>
  <c r="P359" i="3"/>
  <c r="S359" i="3"/>
  <c r="O359" i="3"/>
  <c r="M359" i="3"/>
  <c r="L359" i="3"/>
  <c r="Q358" i="3"/>
  <c r="J358" i="3"/>
  <c r="S358" i="3"/>
  <c r="P358" i="3"/>
  <c r="O358" i="3"/>
  <c r="M358" i="3"/>
  <c r="L358" i="3"/>
  <c r="Q357" i="3"/>
  <c r="J357" i="3"/>
  <c r="P357" i="3"/>
  <c r="O357" i="3"/>
  <c r="L357" i="3"/>
  <c r="M357" i="3"/>
  <c r="S357" i="3"/>
  <c r="Q356" i="3"/>
  <c r="J356" i="3"/>
  <c r="S356" i="3"/>
  <c r="P356" i="3"/>
  <c r="O356" i="3"/>
  <c r="M356" i="3"/>
  <c r="L356" i="3"/>
  <c r="J355" i="3"/>
  <c r="Q355" i="3"/>
  <c r="S355" i="3"/>
  <c r="L355" i="3"/>
  <c r="M355" i="3"/>
  <c r="O355" i="3"/>
  <c r="P355" i="3"/>
  <c r="J354" i="3"/>
  <c r="Q354" i="3"/>
  <c r="L354" i="3"/>
  <c r="S354" i="3"/>
  <c r="M354" i="3"/>
  <c r="O354" i="3"/>
  <c r="P354" i="3"/>
  <c r="J353" i="3"/>
  <c r="Q353" i="3"/>
  <c r="S353" i="3"/>
  <c r="P353" i="3"/>
  <c r="O353" i="3"/>
  <c r="L353" i="3"/>
  <c r="M353" i="3"/>
  <c r="Q352" i="3"/>
  <c r="J352" i="3"/>
  <c r="P352" i="3"/>
  <c r="L352" i="3"/>
  <c r="S352" i="3"/>
  <c r="O352" i="3"/>
  <c r="M352" i="3"/>
  <c r="J351" i="3"/>
  <c r="Q351" i="3"/>
  <c r="O351" i="3"/>
  <c r="M351" i="3"/>
  <c r="L351" i="3"/>
  <c r="S351" i="3"/>
  <c r="P351" i="3"/>
  <c r="Q350" i="3"/>
  <c r="J350" i="3"/>
  <c r="S350" i="3"/>
  <c r="P350" i="3"/>
  <c r="O350" i="3"/>
  <c r="M350" i="3"/>
  <c r="L350" i="3"/>
  <c r="Q349" i="3"/>
  <c r="J349" i="3"/>
  <c r="O349" i="3"/>
  <c r="M349" i="3"/>
  <c r="S349" i="3"/>
  <c r="L349" i="3"/>
  <c r="P349" i="3"/>
  <c r="J348" i="3"/>
  <c r="Q348" i="3"/>
  <c r="P348" i="3"/>
  <c r="S348" i="3"/>
  <c r="O348" i="3"/>
  <c r="M348" i="3"/>
  <c r="L348" i="3"/>
  <c r="Q347" i="3"/>
  <c r="J347" i="3"/>
  <c r="P347" i="3"/>
  <c r="S347" i="3"/>
  <c r="O347" i="3"/>
  <c r="M347" i="3"/>
  <c r="L347" i="3"/>
  <c r="Q346" i="3"/>
  <c r="J346" i="3"/>
  <c r="M346" i="3"/>
  <c r="P346" i="3"/>
  <c r="S346" i="3"/>
  <c r="O346" i="3"/>
  <c r="L346" i="3"/>
  <c r="J345" i="3"/>
  <c r="Q345" i="3"/>
  <c r="L345" i="3"/>
  <c r="M345" i="3"/>
  <c r="O345" i="3"/>
  <c r="P345" i="3"/>
  <c r="S345" i="3"/>
  <c r="Q344" i="3"/>
  <c r="J344" i="3"/>
  <c r="O344" i="3"/>
  <c r="P344" i="3"/>
  <c r="L344" i="3"/>
  <c r="S344" i="3"/>
  <c r="M344" i="3"/>
  <c r="Q343" i="3"/>
  <c r="J343" i="3"/>
  <c r="O343" i="3"/>
  <c r="S343" i="3"/>
  <c r="M343" i="3"/>
  <c r="L343" i="3"/>
  <c r="P343" i="3"/>
  <c r="J342" i="3"/>
  <c r="Q342" i="3"/>
  <c r="P342" i="3"/>
  <c r="O342" i="3"/>
  <c r="L342" i="3"/>
  <c r="M342" i="3"/>
  <c r="S342" i="3"/>
  <c r="Q341" i="3"/>
  <c r="J341" i="3"/>
  <c r="P341" i="3"/>
  <c r="O341" i="3"/>
  <c r="M341" i="3"/>
  <c r="L341" i="3"/>
  <c r="S341" i="3"/>
  <c r="Q340" i="3"/>
  <c r="J340" i="3"/>
  <c r="P340" i="3"/>
  <c r="S340" i="3"/>
  <c r="M340" i="3"/>
  <c r="O340" i="3"/>
  <c r="L340" i="3"/>
  <c r="Q339" i="3"/>
  <c r="J339" i="3"/>
  <c r="P339" i="3"/>
  <c r="O339" i="3"/>
  <c r="M339" i="3"/>
  <c r="L339" i="3"/>
  <c r="S339" i="3"/>
  <c r="J338" i="3"/>
  <c r="Q338" i="3"/>
  <c r="S338" i="3"/>
  <c r="P338" i="3"/>
  <c r="L338" i="3"/>
  <c r="O338" i="3"/>
  <c r="M338" i="3"/>
  <c r="Q337" i="3"/>
  <c r="J337" i="3"/>
  <c r="P337" i="3"/>
  <c r="O337" i="3"/>
  <c r="M337" i="3"/>
  <c r="L337" i="3"/>
  <c r="Q336" i="3"/>
  <c r="J336" i="3"/>
  <c r="S336" i="3"/>
  <c r="O336" i="3"/>
  <c r="P336" i="3"/>
  <c r="M336" i="3"/>
  <c r="L336" i="3"/>
  <c r="Q335" i="3"/>
  <c r="J335" i="3"/>
  <c r="P335" i="3"/>
  <c r="S335" i="3"/>
  <c r="O335" i="3"/>
  <c r="M335" i="3"/>
  <c r="L335" i="3"/>
  <c r="Q334" i="3"/>
  <c r="J334" i="3"/>
  <c r="M334" i="3"/>
  <c r="S334" i="3"/>
  <c r="P334" i="3"/>
  <c r="L334" i="3"/>
  <c r="O334" i="3"/>
  <c r="Q333" i="3"/>
  <c r="J333" i="3"/>
  <c r="L333" i="3"/>
  <c r="M333" i="3"/>
  <c r="O333" i="3"/>
  <c r="P333" i="3"/>
  <c r="S333" i="3"/>
  <c r="J332" i="3"/>
  <c r="Q332" i="3"/>
  <c r="M332" i="3"/>
  <c r="O332" i="3"/>
  <c r="S332" i="3"/>
  <c r="P332" i="3"/>
  <c r="L332" i="3"/>
  <c r="Q331" i="3"/>
  <c r="J331" i="3"/>
  <c r="O331" i="3"/>
  <c r="P331" i="3"/>
  <c r="S331" i="3"/>
  <c r="L331" i="3"/>
  <c r="M331" i="3"/>
  <c r="Q330" i="3"/>
  <c r="J330" i="3"/>
  <c r="P330" i="3"/>
  <c r="O330" i="3"/>
  <c r="M330" i="3"/>
  <c r="L330" i="3"/>
  <c r="S330" i="3"/>
  <c r="J329" i="3"/>
  <c r="Q329" i="3"/>
  <c r="L329" i="3"/>
  <c r="P329" i="3"/>
  <c r="O329" i="3"/>
  <c r="M329" i="3"/>
  <c r="S329" i="3"/>
  <c r="Q328" i="3"/>
  <c r="J328" i="3"/>
  <c r="M328" i="3"/>
  <c r="S328" i="3"/>
  <c r="P328" i="3"/>
  <c r="O328" i="3"/>
  <c r="L328" i="3"/>
  <c r="Q327" i="3"/>
  <c r="J327" i="3"/>
  <c r="O327" i="3"/>
  <c r="M327" i="3"/>
  <c r="S327" i="3"/>
  <c r="L327" i="3"/>
  <c r="P327" i="3"/>
  <c r="Q326" i="3"/>
  <c r="J326" i="3"/>
  <c r="S326" i="3"/>
  <c r="P326" i="3"/>
  <c r="O326" i="3"/>
  <c r="M326" i="3"/>
  <c r="L326" i="3"/>
  <c r="J325" i="3"/>
  <c r="Q325" i="3"/>
  <c r="P325" i="3"/>
  <c r="M325" i="3"/>
  <c r="O325" i="3"/>
  <c r="L325" i="3"/>
  <c r="S325" i="3"/>
  <c r="J324" i="3"/>
  <c r="Q324" i="3"/>
  <c r="S324" i="3"/>
  <c r="P324" i="3"/>
  <c r="O324" i="3"/>
  <c r="M324" i="3"/>
  <c r="L324" i="3"/>
  <c r="Q323" i="3"/>
  <c r="J323" i="3"/>
  <c r="O323" i="3"/>
  <c r="L323" i="3"/>
  <c r="P323" i="3"/>
  <c r="S323" i="3"/>
  <c r="M323" i="3"/>
  <c r="Q322" i="3"/>
  <c r="J322" i="3"/>
  <c r="M322" i="3"/>
  <c r="S322" i="3"/>
  <c r="P322" i="3"/>
  <c r="O322" i="3"/>
  <c r="L322" i="3"/>
  <c r="Q321" i="3"/>
  <c r="J321" i="3"/>
  <c r="O321" i="3"/>
  <c r="S321" i="3"/>
  <c r="P321" i="3"/>
  <c r="M321" i="3"/>
  <c r="L321" i="3"/>
  <c r="J320" i="3"/>
  <c r="Q320" i="3"/>
  <c r="L320" i="3"/>
  <c r="M320" i="3"/>
  <c r="O320" i="3"/>
  <c r="P320" i="3"/>
  <c r="S320" i="3"/>
  <c r="J319" i="3"/>
  <c r="Q319" i="3"/>
  <c r="M319" i="3"/>
  <c r="L319" i="3"/>
  <c r="O319" i="3"/>
  <c r="P319" i="3"/>
  <c r="S319" i="3"/>
  <c r="J318" i="3"/>
  <c r="Q318" i="3"/>
  <c r="S318" i="3"/>
  <c r="L318" i="3"/>
  <c r="M318" i="3"/>
  <c r="O318" i="3"/>
  <c r="P318" i="3"/>
  <c r="Q317" i="3"/>
  <c r="J317" i="3"/>
  <c r="S317" i="3"/>
  <c r="P317" i="3"/>
  <c r="O317" i="3"/>
  <c r="M317" i="3"/>
  <c r="L317" i="3"/>
  <c r="Q316" i="3"/>
  <c r="J316" i="3"/>
  <c r="L316" i="3"/>
  <c r="O316" i="3"/>
  <c r="P316" i="3"/>
  <c r="M316" i="3"/>
  <c r="S316" i="3"/>
  <c r="J315" i="3"/>
  <c r="Q315" i="3"/>
  <c r="M315" i="3"/>
  <c r="O315" i="3"/>
  <c r="P315" i="3"/>
  <c r="L315" i="3"/>
  <c r="S315" i="3"/>
  <c r="J314" i="3"/>
  <c r="Q314" i="3"/>
  <c r="M314" i="3"/>
  <c r="L314" i="3"/>
  <c r="O314" i="3"/>
  <c r="P314" i="3"/>
  <c r="S314" i="3"/>
  <c r="Q313" i="3"/>
  <c r="J313" i="3"/>
  <c r="S313" i="3"/>
  <c r="P313" i="3"/>
  <c r="O313" i="3"/>
  <c r="L313" i="3"/>
  <c r="M313" i="3"/>
  <c r="Q312" i="3"/>
  <c r="J312" i="3"/>
  <c r="O312" i="3"/>
  <c r="P312" i="3"/>
  <c r="S312" i="3"/>
  <c r="M312" i="3"/>
  <c r="L312" i="3"/>
  <c r="J311" i="3"/>
  <c r="Q311" i="3"/>
  <c r="O311" i="3"/>
  <c r="M311" i="3"/>
  <c r="L311" i="3"/>
  <c r="P311" i="3"/>
  <c r="S311" i="3"/>
  <c r="J310" i="3"/>
  <c r="Q310" i="3"/>
  <c r="O310" i="3"/>
  <c r="M310" i="3"/>
  <c r="L310" i="3"/>
  <c r="P310" i="3"/>
  <c r="S310" i="3"/>
  <c r="Q309" i="3"/>
  <c r="J309" i="3"/>
  <c r="S309" i="3"/>
  <c r="P309" i="3"/>
  <c r="M309" i="3"/>
  <c r="L309" i="3"/>
  <c r="O309" i="3"/>
  <c r="J308" i="3"/>
  <c r="Q308" i="3"/>
  <c r="L308" i="3"/>
  <c r="M308" i="3"/>
  <c r="P308" i="3"/>
  <c r="S308" i="3"/>
  <c r="O308" i="3"/>
  <c r="Q307" i="3"/>
  <c r="J307" i="3"/>
  <c r="M307" i="3"/>
  <c r="L307" i="3"/>
  <c r="O307" i="3"/>
  <c r="P307" i="3"/>
  <c r="S307" i="3"/>
  <c r="Q306" i="3"/>
  <c r="J306" i="3"/>
  <c r="P306" i="3"/>
  <c r="O306" i="3"/>
  <c r="M306" i="3"/>
  <c r="L306" i="3"/>
  <c r="S306" i="3"/>
  <c r="J305" i="3"/>
  <c r="Q305" i="3"/>
  <c r="S305" i="3"/>
  <c r="L305" i="3"/>
  <c r="M305" i="3"/>
  <c r="O305" i="3"/>
  <c r="P305" i="3"/>
  <c r="Q304" i="3"/>
  <c r="J304" i="3"/>
  <c r="S304" i="3"/>
  <c r="P304" i="3"/>
  <c r="M304" i="3"/>
  <c r="L304" i="3"/>
  <c r="O304" i="3"/>
  <c r="Q303" i="3"/>
  <c r="J303" i="3"/>
  <c r="S303" i="3"/>
  <c r="O303" i="3"/>
  <c r="P303" i="3"/>
  <c r="M303" i="3"/>
  <c r="L303" i="3"/>
  <c r="Q302" i="3"/>
  <c r="J302" i="3"/>
  <c r="P302" i="3"/>
  <c r="S302" i="3"/>
  <c r="L302" i="3"/>
  <c r="M302" i="3"/>
  <c r="O302" i="3"/>
  <c r="J301" i="3"/>
  <c r="Q301" i="3"/>
  <c r="S301" i="3"/>
  <c r="J300" i="3"/>
  <c r="Q300" i="3"/>
  <c r="M300" i="3"/>
  <c r="L300" i="3"/>
  <c r="O300" i="3"/>
  <c r="P300" i="3"/>
  <c r="S300" i="3"/>
  <c r="Q299" i="3"/>
  <c r="J299" i="3"/>
  <c r="L299" i="3"/>
  <c r="M299" i="3"/>
  <c r="O299" i="3"/>
  <c r="P299" i="3"/>
  <c r="S299" i="3"/>
  <c r="Q298" i="3"/>
  <c r="J298" i="3"/>
  <c r="P298" i="3"/>
  <c r="O298" i="3"/>
  <c r="M298" i="3"/>
  <c r="S298" i="3"/>
  <c r="L298" i="3"/>
  <c r="Q297" i="3"/>
  <c r="J297" i="3"/>
  <c r="S297" i="3"/>
  <c r="P297" i="3"/>
  <c r="O297" i="3"/>
  <c r="M297" i="3"/>
  <c r="L297" i="3"/>
  <c r="J296" i="3"/>
  <c r="Q296" i="3"/>
  <c r="P296" i="3"/>
  <c r="O296" i="3"/>
  <c r="M296" i="3"/>
  <c r="L296" i="3"/>
  <c r="S296" i="3"/>
  <c r="J295" i="3"/>
  <c r="Q295" i="3"/>
  <c r="M295" i="3"/>
  <c r="L295" i="3"/>
  <c r="P295" i="3"/>
  <c r="S295" i="3"/>
  <c r="O295" i="3"/>
  <c r="J294" i="3"/>
  <c r="Q294" i="3"/>
  <c r="P294" i="3"/>
  <c r="O294" i="3"/>
  <c r="M294" i="3"/>
  <c r="L294" i="3"/>
  <c r="S294" i="3"/>
  <c r="Q293" i="3"/>
  <c r="J293" i="3"/>
  <c r="P293" i="3"/>
  <c r="O293" i="3"/>
  <c r="M293" i="3"/>
  <c r="L293" i="3"/>
  <c r="S293" i="3"/>
  <c r="Q292" i="3"/>
  <c r="J292" i="3"/>
  <c r="M292" i="3"/>
  <c r="P292" i="3"/>
  <c r="O292" i="3"/>
  <c r="S292" i="3"/>
  <c r="L292" i="3"/>
  <c r="Q291" i="3"/>
  <c r="J291" i="3"/>
  <c r="S291" i="3"/>
  <c r="P291" i="3"/>
  <c r="O291" i="3"/>
  <c r="M291" i="3"/>
  <c r="L291" i="3"/>
  <c r="J290" i="3"/>
  <c r="Q290" i="3"/>
  <c r="M290" i="3"/>
  <c r="L290" i="3"/>
  <c r="P290" i="3"/>
  <c r="O290" i="3"/>
  <c r="S290" i="3"/>
  <c r="J289" i="3"/>
  <c r="Q289" i="3"/>
  <c r="P289" i="3"/>
  <c r="O289" i="3"/>
  <c r="M289" i="3"/>
  <c r="L289" i="3"/>
  <c r="S289" i="3"/>
  <c r="Q288" i="3"/>
  <c r="J288" i="3"/>
  <c r="S288" i="3"/>
  <c r="P288" i="3"/>
  <c r="O288" i="3"/>
  <c r="M288" i="3"/>
  <c r="L288" i="3"/>
  <c r="Q287" i="3"/>
  <c r="J287" i="3"/>
  <c r="S287" i="3"/>
  <c r="L287" i="3"/>
  <c r="P287" i="3"/>
  <c r="O287" i="3"/>
  <c r="M287" i="3"/>
  <c r="Q286" i="3"/>
  <c r="J286" i="3"/>
  <c r="S286" i="3"/>
  <c r="O286" i="3"/>
  <c r="M286" i="3"/>
  <c r="L286" i="3"/>
  <c r="P286" i="3"/>
  <c r="Q285" i="3"/>
  <c r="J285" i="3"/>
  <c r="L285" i="3"/>
  <c r="S285" i="3"/>
  <c r="O285" i="3"/>
  <c r="P285" i="3"/>
  <c r="M285" i="3"/>
  <c r="Q284" i="3"/>
  <c r="J284" i="3"/>
  <c r="S284" i="3"/>
  <c r="P284" i="3"/>
  <c r="O284" i="3"/>
  <c r="M284" i="3"/>
  <c r="L284" i="3"/>
  <c r="J283" i="3"/>
  <c r="Q283" i="3"/>
  <c r="S283" i="3"/>
  <c r="P283" i="3"/>
  <c r="O283" i="3"/>
  <c r="M283" i="3"/>
  <c r="L283" i="3"/>
  <c r="Q282" i="3"/>
  <c r="J282" i="3"/>
  <c r="S282" i="3"/>
  <c r="P282" i="3"/>
  <c r="O282" i="3"/>
  <c r="M282" i="3"/>
  <c r="L282" i="3"/>
  <c r="Q281" i="3"/>
  <c r="J281" i="3"/>
  <c r="S281" i="3"/>
  <c r="P281" i="3"/>
  <c r="O281" i="3"/>
  <c r="M281" i="3"/>
  <c r="L281" i="3"/>
  <c r="J280" i="3"/>
  <c r="Q280" i="3"/>
  <c r="M280" i="3"/>
  <c r="O280" i="3"/>
  <c r="L280" i="3"/>
  <c r="P280" i="3"/>
  <c r="S280" i="3"/>
  <c r="Q279" i="3"/>
  <c r="J279" i="3"/>
  <c r="S279" i="3"/>
  <c r="P279" i="3"/>
  <c r="O279" i="3"/>
  <c r="M279" i="3"/>
  <c r="L279" i="3"/>
  <c r="Q278" i="3"/>
  <c r="J278" i="3"/>
  <c r="S278" i="3"/>
  <c r="P278" i="3"/>
  <c r="O278" i="3"/>
  <c r="M278" i="3"/>
  <c r="L278" i="3"/>
  <c r="Q277" i="3"/>
  <c r="J277" i="3"/>
  <c r="P277" i="3"/>
  <c r="O277" i="3"/>
  <c r="L277" i="3"/>
  <c r="M277" i="3"/>
  <c r="S277" i="3"/>
  <c r="Q276" i="3"/>
  <c r="J276" i="3"/>
  <c r="L276" i="3"/>
  <c r="M276" i="3"/>
  <c r="O276" i="3"/>
  <c r="P276" i="3"/>
  <c r="S276" i="3"/>
  <c r="Q275" i="3"/>
  <c r="J275" i="3"/>
  <c r="S275" i="3"/>
  <c r="M275" i="3"/>
  <c r="L275" i="3"/>
  <c r="O275" i="3"/>
  <c r="P275" i="3"/>
  <c r="J274" i="3"/>
  <c r="Q274" i="3"/>
  <c r="P274" i="3"/>
  <c r="O274" i="3"/>
  <c r="M274" i="3"/>
  <c r="L274" i="3"/>
  <c r="S274" i="3"/>
  <c r="Q273" i="3"/>
  <c r="J273" i="3"/>
  <c r="S273" i="3"/>
  <c r="P273" i="3"/>
  <c r="O273" i="3"/>
  <c r="M273" i="3"/>
  <c r="L273" i="3"/>
  <c r="Q272" i="3"/>
  <c r="J272" i="3"/>
  <c r="S272" i="3"/>
  <c r="P272" i="3"/>
  <c r="O272" i="3"/>
  <c r="M272" i="3"/>
  <c r="L272" i="3"/>
  <c r="J271" i="3"/>
  <c r="Q271" i="3"/>
  <c r="P271" i="3"/>
  <c r="O271" i="3"/>
  <c r="M271" i="3"/>
  <c r="L271" i="3"/>
  <c r="S271" i="3"/>
  <c r="J270" i="3"/>
  <c r="Q270" i="3"/>
  <c r="P270" i="3"/>
  <c r="L270" i="3"/>
  <c r="S270" i="3"/>
  <c r="M270" i="3"/>
  <c r="O270" i="3"/>
  <c r="Q269" i="3"/>
  <c r="J269" i="3"/>
  <c r="S269" i="3"/>
  <c r="P269" i="3"/>
  <c r="O269" i="3"/>
  <c r="M269" i="3"/>
  <c r="L269" i="3"/>
  <c r="Q268" i="3"/>
  <c r="J268" i="3"/>
  <c r="M268" i="3"/>
  <c r="O268" i="3"/>
  <c r="P268" i="3"/>
  <c r="S268" i="3"/>
  <c r="L268" i="3"/>
  <c r="Q267" i="3"/>
  <c r="J267" i="3"/>
  <c r="S267" i="3"/>
  <c r="L267" i="3"/>
  <c r="M267" i="3"/>
  <c r="O267" i="3"/>
  <c r="P267" i="3"/>
  <c r="Q266" i="3"/>
  <c r="J266" i="3"/>
  <c r="L266" i="3"/>
  <c r="M266" i="3"/>
  <c r="O266" i="3"/>
  <c r="P266" i="3"/>
  <c r="S266" i="3"/>
  <c r="J265" i="3"/>
  <c r="Q265" i="3"/>
  <c r="P265" i="3"/>
  <c r="O265" i="3"/>
  <c r="S265" i="3"/>
  <c r="M265" i="3"/>
  <c r="L265" i="3"/>
  <c r="Q264" i="3"/>
  <c r="J264" i="3"/>
  <c r="S264" i="3"/>
  <c r="P264" i="3"/>
  <c r="O264" i="3"/>
  <c r="M264" i="3"/>
  <c r="L264" i="3"/>
  <c r="Q263" i="3"/>
  <c r="J263" i="3"/>
  <c r="O263" i="3"/>
  <c r="M263" i="3"/>
  <c r="L263" i="3"/>
  <c r="P263" i="3"/>
  <c r="S263" i="3"/>
  <c r="Q262" i="3"/>
  <c r="J262" i="3"/>
  <c r="S262" i="3"/>
  <c r="L262" i="3"/>
  <c r="P262" i="3"/>
  <c r="O262" i="3"/>
  <c r="M262" i="3"/>
  <c r="Q261" i="3"/>
  <c r="J261" i="3"/>
  <c r="P261" i="3"/>
  <c r="O261" i="3"/>
  <c r="M261" i="3"/>
  <c r="L261" i="3"/>
  <c r="S261" i="3"/>
  <c r="J260" i="3"/>
  <c r="Q260" i="3"/>
  <c r="L260" i="3"/>
  <c r="M260" i="3"/>
  <c r="O260" i="3"/>
  <c r="P260" i="3"/>
  <c r="S260" i="3"/>
  <c r="Q259" i="3"/>
  <c r="J259" i="3"/>
  <c r="S259" i="3"/>
  <c r="P259" i="3"/>
  <c r="O259" i="3"/>
  <c r="M259" i="3"/>
  <c r="L259" i="3"/>
  <c r="Q258" i="3"/>
  <c r="J258" i="3"/>
  <c r="S258" i="3"/>
  <c r="P258" i="3"/>
  <c r="O258" i="3"/>
  <c r="M258" i="3"/>
  <c r="L258" i="3"/>
  <c r="Q257" i="3"/>
  <c r="J257" i="3"/>
  <c r="S257" i="3"/>
  <c r="O257" i="3"/>
  <c r="P257" i="3"/>
  <c r="L257" i="3"/>
  <c r="M257" i="3"/>
  <c r="J256" i="3"/>
  <c r="Q256" i="3"/>
  <c r="L256" i="3"/>
  <c r="M256" i="3"/>
  <c r="O256" i="3"/>
  <c r="P256" i="3"/>
  <c r="S256" i="3"/>
  <c r="J255" i="3"/>
  <c r="Q255" i="3"/>
  <c r="P255" i="3"/>
  <c r="M255" i="3"/>
  <c r="L255" i="3"/>
  <c r="O255" i="3"/>
  <c r="S255" i="3"/>
  <c r="Q254" i="3"/>
  <c r="J254" i="3"/>
  <c r="P254" i="3"/>
  <c r="O254" i="3"/>
  <c r="M254" i="3"/>
  <c r="S254" i="3"/>
  <c r="L254" i="3"/>
  <c r="Q253" i="3"/>
  <c r="J253" i="3"/>
  <c r="S253" i="3"/>
  <c r="P253" i="3"/>
  <c r="O253" i="3"/>
  <c r="M253" i="3"/>
  <c r="L253" i="3"/>
  <c r="Q252" i="3"/>
  <c r="J252" i="3"/>
  <c r="P252" i="3"/>
  <c r="M252" i="3"/>
  <c r="O252" i="3"/>
  <c r="S252" i="3"/>
  <c r="L252" i="3"/>
  <c r="Q251" i="3"/>
  <c r="J251" i="3"/>
  <c r="P251" i="3"/>
  <c r="L251" i="3"/>
  <c r="M251" i="3"/>
  <c r="O251" i="3"/>
  <c r="S251" i="3"/>
  <c r="J250" i="3"/>
  <c r="Q250" i="3"/>
  <c r="O250" i="3"/>
  <c r="S250" i="3"/>
  <c r="P250" i="3"/>
  <c r="M250" i="3"/>
  <c r="L250" i="3"/>
  <c r="J249" i="3"/>
  <c r="Q249" i="3"/>
  <c r="P249" i="3"/>
  <c r="O249" i="3"/>
  <c r="M249" i="3"/>
  <c r="L249" i="3"/>
  <c r="S249" i="3"/>
  <c r="Q248" i="3"/>
  <c r="J248" i="3"/>
  <c r="S248" i="3"/>
  <c r="P248" i="3"/>
  <c r="O248" i="3"/>
  <c r="L248" i="3"/>
  <c r="M248" i="3"/>
  <c r="Q247" i="3"/>
  <c r="J247" i="3"/>
  <c r="M247" i="3"/>
  <c r="O247" i="3"/>
  <c r="S247" i="3"/>
  <c r="P247" i="3"/>
  <c r="L247" i="3"/>
  <c r="Q246" i="3"/>
  <c r="J246" i="3"/>
  <c r="S246" i="3"/>
  <c r="M246" i="3"/>
  <c r="O246" i="3"/>
  <c r="P246" i="3"/>
  <c r="L246" i="3"/>
  <c r="Q245" i="3"/>
  <c r="J245" i="3"/>
  <c r="P245" i="3"/>
  <c r="O245" i="3"/>
  <c r="M245" i="3"/>
  <c r="L245" i="3"/>
  <c r="S245" i="3"/>
  <c r="Q244" i="3"/>
  <c r="J244" i="3"/>
  <c r="O244" i="3"/>
  <c r="S244" i="3"/>
  <c r="P244" i="3"/>
  <c r="L244" i="3"/>
  <c r="M244" i="3"/>
  <c r="J243" i="3"/>
  <c r="Q243" i="3"/>
  <c r="M243" i="3"/>
  <c r="L243" i="3"/>
  <c r="P243" i="3"/>
  <c r="S243" i="3"/>
  <c r="O243" i="3"/>
  <c r="J242" i="3"/>
  <c r="Q242" i="3"/>
  <c r="O242" i="3"/>
  <c r="M242" i="3"/>
  <c r="L242" i="3"/>
  <c r="S242" i="3"/>
  <c r="P242" i="3"/>
  <c r="J241" i="3"/>
  <c r="Q241" i="3"/>
  <c r="P241" i="3"/>
  <c r="O241" i="3"/>
  <c r="M241" i="3"/>
  <c r="L241" i="3"/>
  <c r="S241" i="3"/>
  <c r="J240" i="3"/>
  <c r="Q240" i="3"/>
  <c r="S240" i="3"/>
  <c r="P240" i="3"/>
  <c r="O240" i="3"/>
  <c r="M240" i="3"/>
  <c r="L240" i="3"/>
  <c r="Q239" i="3"/>
  <c r="J239" i="3"/>
  <c r="S239" i="3"/>
  <c r="P239" i="3"/>
  <c r="L239" i="3"/>
  <c r="M239" i="3"/>
  <c r="O239" i="3"/>
  <c r="Q238" i="3"/>
  <c r="J238" i="3"/>
  <c r="S238" i="3"/>
  <c r="P238" i="3"/>
  <c r="O238" i="3"/>
  <c r="M238" i="3"/>
  <c r="L238" i="3"/>
  <c r="J237" i="3"/>
  <c r="Q237" i="3"/>
  <c r="M237" i="3"/>
  <c r="O237" i="3"/>
  <c r="P237" i="3"/>
  <c r="L237" i="3"/>
  <c r="S237" i="3"/>
  <c r="J236" i="3"/>
  <c r="Q236" i="3"/>
  <c r="L236" i="3"/>
  <c r="M236" i="3"/>
  <c r="O236" i="3"/>
  <c r="P236" i="3"/>
  <c r="S236" i="3"/>
  <c r="Q235" i="3"/>
  <c r="J235" i="3"/>
  <c r="O235" i="3"/>
  <c r="L235" i="3"/>
  <c r="M235" i="3"/>
  <c r="S235" i="3"/>
  <c r="P235" i="3"/>
  <c r="J234" i="3"/>
  <c r="Q234" i="3"/>
  <c r="L234" i="3"/>
  <c r="M234" i="3"/>
  <c r="P234" i="3"/>
  <c r="O234" i="3"/>
  <c r="S234" i="3"/>
  <c r="Q233" i="3"/>
  <c r="J233" i="3"/>
  <c r="S233" i="3"/>
  <c r="L233" i="3"/>
  <c r="O233" i="3"/>
  <c r="P233" i="3"/>
  <c r="M233" i="3"/>
  <c r="J232" i="3"/>
  <c r="Q232" i="3"/>
  <c r="M232" i="3"/>
  <c r="L232" i="3"/>
  <c r="O232" i="3"/>
  <c r="P232" i="3"/>
  <c r="S232" i="3"/>
  <c r="Q231" i="3"/>
  <c r="J231" i="3"/>
  <c r="S231" i="3"/>
  <c r="O231" i="3"/>
  <c r="P231" i="3"/>
  <c r="M231" i="3"/>
  <c r="L231" i="3"/>
  <c r="J230" i="3"/>
  <c r="Q230" i="3"/>
  <c r="M230" i="3"/>
  <c r="L230" i="3"/>
  <c r="O230" i="3"/>
  <c r="P230" i="3"/>
  <c r="S230" i="3"/>
  <c r="Q229" i="3"/>
  <c r="J229" i="3"/>
  <c r="P229" i="3"/>
  <c r="M229" i="3"/>
  <c r="S229" i="3"/>
  <c r="L229" i="3"/>
  <c r="O229" i="3"/>
  <c r="Q228" i="3"/>
  <c r="J228" i="3"/>
  <c r="S228" i="3"/>
  <c r="P228" i="3"/>
  <c r="O228" i="3"/>
  <c r="M228" i="3"/>
  <c r="L228" i="3"/>
  <c r="Q227" i="3"/>
  <c r="J227" i="3"/>
  <c r="S227" i="3"/>
  <c r="P227" i="3"/>
  <c r="O227" i="3"/>
  <c r="M227" i="3"/>
  <c r="L227" i="3"/>
  <c r="J226" i="3"/>
  <c r="Q226" i="3"/>
  <c r="L226" i="3"/>
  <c r="M226" i="3"/>
  <c r="O226" i="3"/>
  <c r="P226" i="3"/>
  <c r="S226" i="3"/>
  <c r="J225" i="3"/>
  <c r="Q225" i="3"/>
  <c r="L225" i="3"/>
  <c r="O225" i="3"/>
  <c r="M225" i="3"/>
  <c r="P225" i="3"/>
  <c r="S225" i="3"/>
  <c r="Q224" i="3"/>
  <c r="J224" i="3"/>
  <c r="S224" i="3"/>
  <c r="O224" i="3"/>
  <c r="M224" i="3"/>
  <c r="L224" i="3"/>
  <c r="P224" i="3"/>
  <c r="J223" i="3"/>
  <c r="Q223" i="3"/>
  <c r="L223" i="3"/>
  <c r="M223" i="3"/>
  <c r="O223" i="3"/>
  <c r="P223" i="3"/>
  <c r="S223" i="3"/>
  <c r="J222" i="3"/>
  <c r="Q222" i="3"/>
  <c r="O222" i="3"/>
  <c r="M222" i="3"/>
  <c r="L222" i="3"/>
  <c r="S222" i="3"/>
  <c r="P222" i="3"/>
  <c r="J221" i="3"/>
  <c r="Q221" i="3"/>
  <c r="S221" i="3"/>
  <c r="L221" i="3"/>
  <c r="M221" i="3"/>
  <c r="O221" i="3"/>
  <c r="P221" i="3"/>
  <c r="Q220" i="3"/>
  <c r="J220" i="3"/>
  <c r="S220" i="3"/>
  <c r="L220" i="3"/>
  <c r="M220" i="3"/>
  <c r="O220" i="3"/>
  <c r="P220" i="3"/>
  <c r="J219" i="3"/>
  <c r="Q219" i="3"/>
  <c r="L219" i="3"/>
  <c r="M219" i="3"/>
  <c r="O219" i="3"/>
  <c r="P219" i="3"/>
  <c r="S219" i="3"/>
  <c r="J218" i="3"/>
  <c r="Q218" i="3"/>
  <c r="P218" i="3"/>
  <c r="O218" i="3"/>
  <c r="S218" i="3"/>
  <c r="L218" i="3"/>
  <c r="M218" i="3"/>
  <c r="Q217" i="3"/>
  <c r="J217" i="3"/>
  <c r="O217" i="3"/>
  <c r="S217" i="3"/>
  <c r="L217" i="3"/>
  <c r="M217" i="3"/>
  <c r="P217" i="3"/>
  <c r="Q216" i="3"/>
  <c r="J216" i="3"/>
  <c r="L216" i="3"/>
  <c r="O216" i="3"/>
  <c r="S216" i="3"/>
  <c r="P216" i="3"/>
  <c r="M216" i="3"/>
  <c r="J215" i="3"/>
  <c r="Q215" i="3"/>
  <c r="P215" i="3"/>
  <c r="M215" i="3"/>
  <c r="S215" i="3"/>
  <c r="O215" i="3"/>
  <c r="L215" i="3"/>
  <c r="J214" i="3"/>
  <c r="Q214" i="3"/>
  <c r="S214" i="3"/>
  <c r="L214" i="3"/>
  <c r="O214" i="3"/>
  <c r="P214" i="3"/>
  <c r="M214" i="3"/>
  <c r="J213" i="3"/>
  <c r="Q213" i="3"/>
  <c r="P213" i="3"/>
  <c r="L213" i="3"/>
  <c r="S213" i="3"/>
  <c r="M213" i="3"/>
  <c r="O213" i="3"/>
  <c r="J212" i="3"/>
  <c r="Q212" i="3"/>
  <c r="P212" i="3"/>
  <c r="S212" i="3"/>
  <c r="O212" i="3"/>
  <c r="L212" i="3"/>
  <c r="M212" i="3"/>
  <c r="Q211" i="3"/>
  <c r="J211" i="3"/>
  <c r="O211" i="3"/>
  <c r="S211" i="3"/>
  <c r="L211" i="3"/>
  <c r="M211" i="3"/>
  <c r="P211" i="3"/>
  <c r="J210" i="3"/>
  <c r="Q210" i="3"/>
  <c r="S210" i="3"/>
  <c r="P210" i="3"/>
  <c r="M210" i="3"/>
  <c r="O210" i="3"/>
  <c r="L210" i="3"/>
  <c r="J209" i="3"/>
  <c r="Q209" i="3"/>
  <c r="L209" i="3"/>
  <c r="O209" i="3"/>
  <c r="S209" i="3"/>
  <c r="M209" i="3"/>
  <c r="P209" i="3"/>
  <c r="J208" i="3"/>
  <c r="Q208" i="3"/>
  <c r="M208" i="3"/>
  <c r="P208" i="3"/>
  <c r="S208" i="3"/>
  <c r="O208" i="3"/>
  <c r="L208" i="3"/>
  <c r="J207" i="3"/>
  <c r="Q207" i="3"/>
  <c r="M207" i="3"/>
  <c r="S207" i="3"/>
  <c r="P207" i="3"/>
  <c r="O207" i="3"/>
  <c r="L207" i="3"/>
  <c r="Q206" i="3"/>
  <c r="J206" i="3"/>
  <c r="P206" i="3"/>
  <c r="O206" i="3"/>
  <c r="L206" i="3"/>
  <c r="S206" i="3"/>
  <c r="M206" i="3"/>
  <c r="Q205" i="3"/>
  <c r="J205" i="3"/>
  <c r="P205" i="3"/>
  <c r="M205" i="3"/>
  <c r="O205" i="3"/>
  <c r="S205" i="3"/>
  <c r="L205" i="3"/>
  <c r="Q204" i="3"/>
  <c r="J204" i="3"/>
  <c r="S204" i="3"/>
  <c r="P204" i="3"/>
  <c r="L204" i="3"/>
  <c r="O204" i="3"/>
  <c r="M204" i="3"/>
  <c r="J203" i="3"/>
  <c r="Q203" i="3"/>
  <c r="P203" i="3"/>
  <c r="M203" i="3"/>
  <c r="O203" i="3"/>
  <c r="S203" i="3"/>
  <c r="L203" i="3"/>
  <c r="Q202" i="3"/>
  <c r="J202" i="3"/>
  <c r="P202" i="3"/>
  <c r="M202" i="3"/>
  <c r="L202" i="3"/>
  <c r="S202" i="3"/>
  <c r="O202" i="3"/>
  <c r="J201" i="3"/>
  <c r="Q201" i="3"/>
  <c r="M201" i="3"/>
  <c r="P201" i="3"/>
  <c r="L201" i="3"/>
  <c r="S201" i="3"/>
  <c r="O201" i="3"/>
  <c r="J200" i="3"/>
  <c r="Q200" i="3"/>
  <c r="P200" i="3"/>
  <c r="O200" i="3"/>
  <c r="S200" i="3"/>
  <c r="M200" i="3"/>
  <c r="N200" i="3" s="1"/>
  <c r="L200" i="3"/>
  <c r="J199" i="3"/>
  <c r="Q199" i="3"/>
  <c r="S199" i="3"/>
  <c r="O199" i="3"/>
  <c r="L199" i="3"/>
  <c r="M199" i="3"/>
  <c r="N199" i="3" s="1"/>
  <c r="P199" i="3"/>
  <c r="Q198" i="3"/>
  <c r="J198" i="3"/>
  <c r="P198" i="3"/>
  <c r="O198" i="3"/>
  <c r="L198" i="3"/>
  <c r="S198" i="3"/>
  <c r="M198" i="3"/>
  <c r="Q197" i="3"/>
  <c r="J197" i="3"/>
  <c r="L197" i="3"/>
  <c r="P197" i="3"/>
  <c r="M197" i="3"/>
  <c r="S197" i="3"/>
  <c r="O197" i="3"/>
  <c r="J196" i="3"/>
  <c r="Q196" i="3"/>
  <c r="L196" i="3"/>
  <c r="S196" i="3"/>
  <c r="P196" i="3"/>
  <c r="O196" i="3"/>
  <c r="M196" i="3"/>
  <c r="Q195" i="3"/>
  <c r="J195" i="3"/>
  <c r="S195" i="3"/>
  <c r="O195" i="3"/>
  <c r="L195" i="3"/>
  <c r="M195" i="3"/>
  <c r="P195" i="3"/>
  <c r="J194" i="3"/>
  <c r="Q194" i="3"/>
  <c r="M194" i="3"/>
  <c r="P194" i="3"/>
  <c r="S194" i="3"/>
  <c r="O194" i="3"/>
  <c r="L194" i="3"/>
  <c r="J193" i="3"/>
  <c r="Q193" i="3"/>
  <c r="M193" i="3"/>
  <c r="O193" i="3"/>
  <c r="S193" i="3"/>
  <c r="L193" i="3"/>
  <c r="P193" i="3"/>
  <c r="J192" i="3"/>
  <c r="Q192" i="3"/>
  <c r="L192" i="3"/>
  <c r="P192" i="3"/>
  <c r="M192" i="3"/>
  <c r="O192" i="3"/>
  <c r="S192" i="3"/>
  <c r="V191" i="3"/>
  <c r="R191" i="3"/>
  <c r="K191" i="3"/>
  <c r="S191" i="3"/>
  <c r="U191" i="3"/>
  <c r="Q190" i="3"/>
  <c r="J190" i="3"/>
  <c r="L190" i="3"/>
  <c r="O190" i="3"/>
  <c r="S190" i="3"/>
  <c r="P190" i="3"/>
  <c r="M190" i="3"/>
  <c r="Q189" i="3"/>
  <c r="J189" i="3"/>
  <c r="S189" i="3"/>
  <c r="O189" i="3"/>
  <c r="P189" i="3"/>
  <c r="M189" i="3"/>
  <c r="L189" i="3"/>
  <c r="Q188" i="3"/>
  <c r="J188" i="3"/>
  <c r="M188" i="3"/>
  <c r="L188" i="3"/>
  <c r="S188" i="3"/>
  <c r="P188" i="3"/>
  <c r="O188" i="3"/>
  <c r="J187" i="3"/>
  <c r="Q187" i="3"/>
  <c r="P187" i="3"/>
  <c r="S187" i="3"/>
  <c r="O187" i="3"/>
  <c r="M187" i="3"/>
  <c r="L187" i="3"/>
  <c r="Q186" i="3"/>
  <c r="J186" i="3"/>
  <c r="P186" i="3"/>
  <c r="S186" i="3"/>
  <c r="O186" i="3"/>
  <c r="M186" i="3"/>
  <c r="L186" i="3"/>
  <c r="J185" i="3"/>
  <c r="Q185" i="3"/>
  <c r="L185" i="3"/>
  <c r="O185" i="3"/>
  <c r="S185" i="3"/>
  <c r="P185" i="3"/>
  <c r="M185" i="3"/>
  <c r="Q184" i="3"/>
  <c r="J184" i="3"/>
  <c r="S184" i="3"/>
  <c r="P184" i="3"/>
  <c r="O184" i="3"/>
  <c r="M184" i="3"/>
  <c r="L184" i="3"/>
  <c r="Q183" i="3"/>
  <c r="J183" i="3"/>
  <c r="S183" i="3"/>
  <c r="P183" i="3"/>
  <c r="O183" i="3"/>
  <c r="M183" i="3"/>
  <c r="L183" i="3"/>
  <c r="Q182" i="3"/>
  <c r="J182" i="3"/>
  <c r="S182" i="3"/>
  <c r="P182" i="3"/>
  <c r="O182" i="3"/>
  <c r="M182" i="3"/>
  <c r="L182" i="3"/>
  <c r="Q181" i="3"/>
  <c r="J181" i="3"/>
  <c r="S181" i="3"/>
  <c r="P181" i="3"/>
  <c r="M181" i="3"/>
  <c r="L181" i="3"/>
  <c r="O181" i="3"/>
  <c r="Q180" i="3"/>
  <c r="J180" i="3"/>
  <c r="O180" i="3"/>
  <c r="S180" i="3"/>
  <c r="P180" i="3"/>
  <c r="M180" i="3"/>
  <c r="L180" i="3"/>
  <c r="Q179" i="3"/>
  <c r="J179" i="3"/>
  <c r="S179" i="3"/>
  <c r="P179" i="3"/>
  <c r="O179" i="3"/>
  <c r="M179" i="3"/>
  <c r="L179" i="3"/>
  <c r="Q178" i="3"/>
  <c r="J178" i="3"/>
  <c r="M178" i="3"/>
  <c r="P178" i="3"/>
  <c r="O178" i="3"/>
  <c r="L178" i="3"/>
  <c r="S178" i="3"/>
  <c r="Q177" i="3"/>
  <c r="J177" i="3"/>
  <c r="S177" i="3"/>
  <c r="P177" i="3"/>
  <c r="O177" i="3"/>
  <c r="M177" i="3"/>
  <c r="L177" i="3"/>
  <c r="J176" i="3"/>
  <c r="Q176" i="3"/>
  <c r="O176" i="3"/>
  <c r="P176" i="3"/>
  <c r="S176" i="3"/>
  <c r="M176" i="3"/>
  <c r="L176" i="3"/>
  <c r="Q175" i="3"/>
  <c r="J175" i="3"/>
  <c r="S175" i="3"/>
  <c r="P175" i="3"/>
  <c r="O175" i="3"/>
  <c r="M175" i="3"/>
  <c r="L175" i="3"/>
  <c r="J174" i="3"/>
  <c r="Q174" i="3"/>
  <c r="S174" i="3"/>
  <c r="P174" i="3"/>
  <c r="O174" i="3"/>
  <c r="M174" i="3"/>
  <c r="L174" i="3"/>
  <c r="Q173" i="3"/>
  <c r="J173" i="3"/>
  <c r="S173" i="3"/>
  <c r="P173" i="3"/>
  <c r="O173" i="3"/>
  <c r="M173" i="3"/>
  <c r="L173" i="3"/>
  <c r="Q172" i="3"/>
  <c r="J172" i="3"/>
  <c r="S172" i="3"/>
  <c r="P172" i="3"/>
  <c r="O172" i="3"/>
  <c r="M172" i="3"/>
  <c r="L172" i="3"/>
  <c r="J171" i="3"/>
  <c r="Q171" i="3"/>
  <c r="P171" i="3"/>
  <c r="O171" i="3"/>
  <c r="M171" i="3"/>
  <c r="L171" i="3"/>
  <c r="S171" i="3"/>
  <c r="Q170" i="3"/>
  <c r="J170" i="3"/>
  <c r="M170" i="3"/>
  <c r="O170" i="3"/>
  <c r="P170" i="3"/>
  <c r="L170" i="3"/>
  <c r="S170" i="3"/>
  <c r="J169" i="3"/>
  <c r="Q169" i="3"/>
  <c r="M169" i="3"/>
  <c r="O169" i="3"/>
  <c r="P169" i="3"/>
  <c r="L169" i="3"/>
  <c r="S169" i="3"/>
  <c r="J168" i="3"/>
  <c r="Q168" i="3"/>
  <c r="L168" i="3"/>
  <c r="S168" i="3"/>
  <c r="P168" i="3"/>
  <c r="O168" i="3"/>
  <c r="M168" i="3"/>
  <c r="J167" i="3"/>
  <c r="Q167" i="3"/>
  <c r="S167" i="3"/>
  <c r="P167" i="3"/>
  <c r="O167" i="3"/>
  <c r="M167" i="3"/>
  <c r="L167" i="3"/>
  <c r="J166" i="3"/>
  <c r="Q166" i="3"/>
  <c r="L166" i="3"/>
  <c r="M166" i="3"/>
  <c r="O166" i="3"/>
  <c r="P166" i="3"/>
  <c r="S166" i="3"/>
  <c r="Q165" i="3"/>
  <c r="J165" i="3"/>
  <c r="S165" i="3"/>
  <c r="P165" i="3"/>
  <c r="M165" i="3"/>
  <c r="L165" i="3"/>
  <c r="O165" i="3"/>
  <c r="J164" i="3"/>
  <c r="Q164" i="3"/>
  <c r="S164" i="3"/>
  <c r="L164" i="3"/>
  <c r="M164" i="3"/>
  <c r="O164" i="3"/>
  <c r="P164" i="3"/>
  <c r="J163" i="3"/>
  <c r="Q163" i="3"/>
  <c r="L163" i="3"/>
  <c r="M163" i="3"/>
  <c r="O163" i="3"/>
  <c r="P163" i="3"/>
  <c r="S163" i="3"/>
  <c r="J162" i="3"/>
  <c r="Q162" i="3"/>
  <c r="S162" i="3"/>
  <c r="P162" i="3"/>
  <c r="O162" i="3"/>
  <c r="M162" i="3"/>
  <c r="L162" i="3"/>
  <c r="Q161" i="3"/>
  <c r="J161" i="3"/>
  <c r="S161" i="3"/>
  <c r="L161" i="3"/>
  <c r="P161" i="3"/>
  <c r="O161" i="3"/>
  <c r="M161" i="3"/>
  <c r="J160" i="3"/>
  <c r="Q160" i="3"/>
  <c r="P160" i="3"/>
  <c r="M160" i="3"/>
  <c r="L160" i="3"/>
  <c r="O160" i="3"/>
  <c r="S160" i="3"/>
  <c r="J159" i="3"/>
  <c r="Q159" i="3"/>
  <c r="O159" i="3"/>
  <c r="P159" i="3"/>
  <c r="S159" i="3"/>
  <c r="L159" i="3"/>
  <c r="M159" i="3"/>
  <c r="Q158" i="3"/>
  <c r="J158" i="3"/>
  <c r="L158" i="3"/>
  <c r="M158" i="3"/>
  <c r="O158" i="3"/>
  <c r="P158" i="3"/>
  <c r="S158" i="3"/>
  <c r="Q157" i="3"/>
  <c r="J157" i="3"/>
  <c r="S157" i="3"/>
  <c r="P157" i="3"/>
  <c r="M157" i="3"/>
  <c r="O157" i="3"/>
  <c r="L157" i="3"/>
  <c r="J156" i="3"/>
  <c r="Q156" i="3"/>
  <c r="S156" i="3"/>
  <c r="P156" i="3"/>
  <c r="O156" i="3"/>
  <c r="M156" i="3"/>
  <c r="L156" i="3"/>
  <c r="J155" i="3"/>
  <c r="Q155" i="3"/>
  <c r="O155" i="3"/>
  <c r="S155" i="3"/>
  <c r="L155" i="3"/>
  <c r="M155" i="3"/>
  <c r="P155" i="3"/>
  <c r="K154" i="3"/>
  <c r="R154" i="3"/>
  <c r="V154" i="3"/>
  <c r="M154" i="3"/>
  <c r="L154" i="3"/>
  <c r="O154" i="3"/>
  <c r="P154" i="3"/>
  <c r="Q153" i="3"/>
  <c r="J153" i="3"/>
  <c r="S153" i="3"/>
  <c r="L153" i="3"/>
  <c r="M153" i="3"/>
  <c r="O153" i="3"/>
  <c r="P153" i="3"/>
  <c r="J152" i="3"/>
  <c r="Q152" i="3"/>
  <c r="M152" i="3"/>
  <c r="P152" i="3"/>
  <c r="S152" i="3"/>
  <c r="O152" i="3"/>
  <c r="L152" i="3"/>
  <c r="Q151" i="3"/>
  <c r="J151" i="3"/>
  <c r="S151" i="3"/>
  <c r="P151" i="3"/>
  <c r="O151" i="3"/>
  <c r="M151" i="3"/>
  <c r="L151" i="3"/>
  <c r="Q150" i="3"/>
  <c r="J150" i="3"/>
  <c r="S150" i="3"/>
  <c r="O150" i="3"/>
  <c r="P150" i="3"/>
  <c r="M150" i="3"/>
  <c r="L150" i="3"/>
  <c r="J149" i="3"/>
  <c r="Q149" i="3"/>
  <c r="L149" i="3"/>
  <c r="S149" i="3"/>
  <c r="P149" i="3"/>
  <c r="O149" i="3"/>
  <c r="M149" i="3"/>
  <c r="Q148" i="3"/>
  <c r="J148" i="3"/>
  <c r="M148" i="3"/>
  <c r="L148" i="3"/>
  <c r="P148" i="3"/>
  <c r="O148" i="3"/>
  <c r="S148" i="3"/>
  <c r="Q147" i="3"/>
  <c r="J147" i="3"/>
  <c r="O147" i="3"/>
  <c r="S147" i="3"/>
  <c r="P147" i="3"/>
  <c r="L147" i="3"/>
  <c r="M147" i="3"/>
  <c r="Q146" i="3"/>
  <c r="J146" i="3"/>
  <c r="S146" i="3"/>
  <c r="P146" i="3"/>
  <c r="O146" i="3"/>
  <c r="M146" i="3"/>
  <c r="L146" i="3"/>
  <c r="Q145" i="3"/>
  <c r="J145" i="3"/>
  <c r="S145" i="3"/>
  <c r="P145" i="3"/>
  <c r="O145" i="3"/>
  <c r="M145" i="3"/>
  <c r="L145" i="3"/>
  <c r="J144" i="3"/>
  <c r="Q144" i="3"/>
  <c r="L144" i="3"/>
  <c r="M144" i="3"/>
  <c r="O144" i="3"/>
  <c r="P144" i="3"/>
  <c r="S144" i="3"/>
  <c r="J143" i="3"/>
  <c r="Q143" i="3"/>
  <c r="L143" i="3"/>
  <c r="M143" i="3"/>
  <c r="O143" i="3"/>
  <c r="P143" i="3"/>
  <c r="S143" i="3"/>
  <c r="J142" i="3"/>
  <c r="Q142" i="3"/>
  <c r="P142" i="3"/>
  <c r="O142" i="3"/>
  <c r="M142" i="3"/>
  <c r="L142" i="3"/>
  <c r="S142" i="3"/>
  <c r="Q141" i="3"/>
  <c r="J141" i="3"/>
  <c r="P141" i="3"/>
  <c r="S141" i="3"/>
  <c r="L141" i="3"/>
  <c r="M141" i="3"/>
  <c r="O141" i="3"/>
  <c r="Q140" i="3"/>
  <c r="J140" i="3"/>
  <c r="P140" i="3"/>
  <c r="S140" i="3"/>
  <c r="L140" i="3"/>
  <c r="M140" i="3"/>
  <c r="O140" i="3"/>
  <c r="J139" i="3"/>
  <c r="Q139" i="3"/>
  <c r="M139" i="3"/>
  <c r="L139" i="3"/>
  <c r="P139" i="3"/>
  <c r="S139" i="3"/>
  <c r="O139" i="3"/>
  <c r="Q138" i="3"/>
  <c r="J138" i="3"/>
  <c r="O138" i="3"/>
  <c r="S138" i="3"/>
  <c r="P138" i="3"/>
  <c r="M138" i="3"/>
  <c r="L138" i="3"/>
  <c r="J137" i="3"/>
  <c r="Q137" i="3"/>
  <c r="O137" i="3"/>
  <c r="P137" i="3"/>
  <c r="S137" i="3"/>
  <c r="L137" i="3"/>
  <c r="M137" i="3"/>
  <c r="J136" i="3"/>
  <c r="Q136" i="3"/>
  <c r="P136" i="3"/>
  <c r="S136" i="3"/>
  <c r="L136" i="3"/>
  <c r="M136" i="3"/>
  <c r="O136" i="3"/>
  <c r="Q135" i="3"/>
  <c r="J135" i="3"/>
  <c r="M135" i="3"/>
  <c r="O135" i="3"/>
  <c r="S135" i="3"/>
  <c r="L135" i="3"/>
  <c r="P135" i="3"/>
  <c r="J134" i="3"/>
  <c r="Q134" i="3"/>
  <c r="S134" i="3"/>
  <c r="L134" i="3"/>
  <c r="M134" i="3"/>
  <c r="O134" i="3"/>
  <c r="P134" i="3"/>
  <c r="J133" i="3"/>
  <c r="Q133" i="3"/>
  <c r="M133" i="3"/>
  <c r="O133" i="3"/>
  <c r="P133" i="3"/>
  <c r="L133" i="3"/>
  <c r="S133" i="3"/>
  <c r="Q132" i="3"/>
  <c r="J132" i="3"/>
  <c r="O132" i="3"/>
  <c r="M132" i="3"/>
  <c r="L132" i="3"/>
  <c r="P132" i="3"/>
  <c r="S132" i="3"/>
  <c r="J131" i="3"/>
  <c r="Q131" i="3"/>
  <c r="L131" i="3"/>
  <c r="M131" i="3"/>
  <c r="O131" i="3"/>
  <c r="P131" i="3"/>
  <c r="S131" i="3"/>
  <c r="J130" i="3"/>
  <c r="Q130" i="3"/>
  <c r="P130" i="3"/>
  <c r="O130" i="3"/>
  <c r="M130" i="3"/>
  <c r="L130" i="3"/>
  <c r="S130" i="3"/>
  <c r="Q129" i="3"/>
  <c r="J129" i="3"/>
  <c r="S129" i="3"/>
  <c r="P129" i="3"/>
  <c r="O129" i="3"/>
  <c r="M129" i="3"/>
  <c r="L129" i="3"/>
  <c r="Q128" i="3"/>
  <c r="J128" i="3"/>
  <c r="S128" i="3"/>
  <c r="L128" i="3"/>
  <c r="P128" i="3"/>
  <c r="O128" i="3"/>
  <c r="M128" i="3"/>
  <c r="Q127" i="3"/>
  <c r="J127" i="3"/>
  <c r="S127" i="3"/>
  <c r="O127" i="3"/>
  <c r="M127" i="3"/>
  <c r="L127" i="3"/>
  <c r="P127" i="3"/>
  <c r="Q126" i="3"/>
  <c r="J126" i="3"/>
  <c r="S126" i="3"/>
  <c r="P126" i="3"/>
  <c r="L126" i="3"/>
  <c r="M126" i="3"/>
  <c r="O126" i="3"/>
  <c r="J125" i="3"/>
  <c r="Q125" i="3"/>
  <c r="L125" i="3"/>
  <c r="M125" i="3"/>
  <c r="O125" i="3"/>
  <c r="P125" i="3"/>
  <c r="S125" i="3"/>
  <c r="Q124" i="3"/>
  <c r="J124" i="3"/>
  <c r="L124" i="3"/>
  <c r="O124" i="3"/>
  <c r="S124" i="3"/>
  <c r="P124" i="3"/>
  <c r="M124" i="3"/>
  <c r="J123" i="3"/>
  <c r="Q123" i="3"/>
  <c r="S123" i="3"/>
  <c r="P123" i="3"/>
  <c r="O123" i="3"/>
  <c r="M123" i="3"/>
  <c r="L123" i="3"/>
  <c r="Q122" i="3"/>
  <c r="J122" i="3"/>
  <c r="S122" i="3"/>
  <c r="O122" i="3"/>
  <c r="P122" i="3"/>
  <c r="M122" i="3"/>
  <c r="L122" i="3"/>
  <c r="J121" i="3"/>
  <c r="Q121" i="3"/>
  <c r="P121" i="3"/>
  <c r="S121" i="3"/>
  <c r="O121" i="3"/>
  <c r="M121" i="3"/>
  <c r="L121" i="3"/>
  <c r="J120" i="3"/>
  <c r="Q120" i="3"/>
  <c r="S120" i="3"/>
  <c r="P120" i="3"/>
  <c r="O120" i="3"/>
  <c r="L120" i="3"/>
  <c r="M120" i="3"/>
  <c r="Q119" i="3"/>
  <c r="J119" i="3"/>
  <c r="O119" i="3"/>
  <c r="M119" i="3"/>
  <c r="L119" i="3"/>
  <c r="S119" i="3"/>
  <c r="P119" i="3"/>
  <c r="J118" i="3"/>
  <c r="Q118" i="3"/>
  <c r="L118" i="3"/>
  <c r="O118" i="3"/>
  <c r="S118" i="3"/>
  <c r="P118" i="3"/>
  <c r="M118" i="3"/>
  <c r="J117" i="3"/>
  <c r="Q117" i="3"/>
  <c r="S117" i="3"/>
  <c r="L117" i="3"/>
  <c r="P117" i="3"/>
  <c r="O117" i="3"/>
  <c r="M117" i="3"/>
  <c r="J116" i="3"/>
  <c r="Q116" i="3"/>
  <c r="O116" i="3"/>
  <c r="M116" i="3"/>
  <c r="P116" i="3"/>
  <c r="L116" i="3"/>
  <c r="S116" i="3"/>
  <c r="Q115" i="3"/>
  <c r="J115" i="3"/>
  <c r="L115" i="3"/>
  <c r="P115" i="3"/>
  <c r="S115" i="3"/>
  <c r="O115" i="3"/>
  <c r="M115" i="3"/>
  <c r="Q114" i="3"/>
  <c r="J114" i="3"/>
  <c r="S114" i="3"/>
  <c r="O114" i="3"/>
  <c r="P114" i="3"/>
  <c r="M114" i="3"/>
  <c r="L114" i="3"/>
  <c r="Q113" i="3"/>
  <c r="J113" i="3"/>
  <c r="M113" i="3"/>
  <c r="P113" i="3"/>
  <c r="O113" i="3"/>
  <c r="S113" i="3"/>
  <c r="L113" i="3"/>
  <c r="Q112" i="3"/>
  <c r="J112" i="3"/>
  <c r="S112" i="3"/>
  <c r="O112" i="3"/>
  <c r="L112" i="3"/>
  <c r="P112" i="3"/>
  <c r="M112" i="3"/>
  <c r="Q111" i="3"/>
  <c r="J111" i="3"/>
  <c r="M111" i="3"/>
  <c r="P111" i="3"/>
  <c r="O111" i="3"/>
  <c r="S111" i="3"/>
  <c r="L111" i="3"/>
  <c r="Q110" i="3"/>
  <c r="J110" i="3"/>
  <c r="S110" i="3"/>
  <c r="L110" i="3"/>
  <c r="P110" i="3"/>
  <c r="O110" i="3"/>
  <c r="M110" i="3"/>
  <c r="J109" i="3"/>
  <c r="Q109" i="3"/>
  <c r="P109" i="3"/>
  <c r="M109" i="3"/>
  <c r="O109" i="3"/>
  <c r="S109" i="3"/>
  <c r="L109" i="3"/>
  <c r="J108" i="3"/>
  <c r="Q108" i="3"/>
  <c r="L108" i="3"/>
  <c r="O108" i="3"/>
  <c r="P108" i="3"/>
  <c r="M108" i="3"/>
  <c r="S108" i="3"/>
  <c r="J107" i="3"/>
  <c r="Q107" i="3"/>
  <c r="L107" i="3"/>
  <c r="P107" i="3"/>
  <c r="S107" i="3"/>
  <c r="M107" i="3"/>
  <c r="O107" i="3"/>
  <c r="Q106" i="3"/>
  <c r="J106" i="3"/>
  <c r="S106" i="3"/>
  <c r="M106" i="3"/>
  <c r="O106" i="3"/>
  <c r="P106" i="3"/>
  <c r="L106" i="3"/>
  <c r="Q105" i="3"/>
  <c r="J105" i="3"/>
  <c r="S105" i="3"/>
  <c r="P105" i="3"/>
  <c r="L105" i="3"/>
  <c r="M105" i="3"/>
  <c r="O105" i="3"/>
  <c r="Q104" i="3"/>
  <c r="J104" i="3"/>
  <c r="M104" i="3"/>
  <c r="L104" i="3"/>
  <c r="O104" i="3"/>
  <c r="S104" i="3"/>
  <c r="P104" i="3"/>
  <c r="J103" i="3"/>
  <c r="Q103" i="3"/>
  <c r="O103" i="3"/>
  <c r="P103" i="3"/>
  <c r="M103" i="3"/>
  <c r="L103" i="3"/>
  <c r="S103" i="3"/>
  <c r="Q102" i="3"/>
  <c r="J102" i="3"/>
  <c r="L102" i="3"/>
  <c r="S102" i="3"/>
  <c r="P102" i="3"/>
  <c r="O102" i="3"/>
  <c r="M102" i="3"/>
  <c r="Q101" i="3"/>
  <c r="J101" i="3"/>
  <c r="L101" i="3"/>
  <c r="P101" i="3"/>
  <c r="M101" i="3"/>
  <c r="S101" i="3"/>
  <c r="O101" i="3"/>
  <c r="Q100" i="3"/>
  <c r="J100" i="3"/>
  <c r="S100" i="3"/>
  <c r="M100" i="3"/>
  <c r="L100" i="3"/>
  <c r="O100" i="3"/>
  <c r="P100" i="3"/>
  <c r="Q99" i="3"/>
  <c r="J99" i="3"/>
  <c r="P99" i="3"/>
  <c r="M99" i="3"/>
  <c r="L99" i="3"/>
  <c r="S99" i="3"/>
  <c r="O99" i="3"/>
  <c r="Q98" i="3"/>
  <c r="J98" i="3"/>
  <c r="P98" i="3"/>
  <c r="L98" i="3"/>
  <c r="O98" i="3"/>
  <c r="S98" i="3"/>
  <c r="M98" i="3"/>
  <c r="Q97" i="3"/>
  <c r="J97" i="3"/>
  <c r="S97" i="3"/>
  <c r="M97" i="3"/>
  <c r="P97" i="3"/>
  <c r="O97" i="3"/>
  <c r="L97" i="3"/>
  <c r="J96" i="3"/>
  <c r="Q96" i="3"/>
  <c r="S96" i="3"/>
  <c r="M96" i="3"/>
  <c r="P96" i="3"/>
  <c r="L96" i="3"/>
  <c r="O96" i="3"/>
  <c r="J95" i="3"/>
  <c r="Q95" i="3"/>
  <c r="L95" i="3"/>
  <c r="M95" i="3"/>
  <c r="P95" i="3"/>
  <c r="S95" i="3"/>
  <c r="O95" i="3"/>
  <c r="J94" i="3"/>
  <c r="Q94" i="3"/>
  <c r="M94" i="3"/>
  <c r="P94" i="3"/>
  <c r="O94" i="3"/>
  <c r="S94" i="3"/>
  <c r="L94" i="3"/>
  <c r="J93" i="3"/>
  <c r="Q93" i="3"/>
  <c r="P93" i="3"/>
  <c r="M93" i="3"/>
  <c r="L93" i="3"/>
  <c r="S93" i="3"/>
  <c r="O93" i="3"/>
  <c r="Q92" i="3"/>
  <c r="J92" i="3"/>
  <c r="O92" i="3"/>
  <c r="L92" i="3"/>
  <c r="P92" i="3"/>
  <c r="S92" i="3"/>
  <c r="M92" i="3"/>
  <c r="J91" i="3"/>
  <c r="Q91" i="3"/>
  <c r="L91" i="3"/>
  <c r="P91" i="3"/>
  <c r="M91" i="3"/>
  <c r="O91" i="3"/>
  <c r="S91" i="3"/>
  <c r="J90" i="3"/>
  <c r="Q90" i="3"/>
  <c r="L90" i="3"/>
  <c r="M90" i="3"/>
  <c r="S90" i="3"/>
  <c r="O90" i="3"/>
  <c r="P90" i="3"/>
  <c r="Q89" i="3"/>
  <c r="J89" i="3"/>
  <c r="P89" i="3"/>
  <c r="L89" i="3"/>
  <c r="M89" i="3"/>
  <c r="S89" i="3"/>
  <c r="O89" i="3"/>
  <c r="J88" i="3"/>
  <c r="Q88" i="3"/>
  <c r="P88" i="3"/>
  <c r="S88" i="3"/>
  <c r="L88" i="3"/>
  <c r="M88" i="3"/>
  <c r="Q87" i="3"/>
  <c r="J87" i="3"/>
  <c r="O87" i="3"/>
  <c r="L87" i="3"/>
  <c r="M87" i="3"/>
  <c r="P87" i="3"/>
  <c r="S87" i="3"/>
  <c r="Q86" i="3"/>
  <c r="J86" i="3"/>
  <c r="P86" i="3"/>
  <c r="M86" i="3"/>
  <c r="L86" i="3"/>
  <c r="S86" i="3"/>
  <c r="O86" i="3"/>
  <c r="Q85" i="3"/>
  <c r="J85" i="3"/>
  <c r="M85" i="3"/>
  <c r="L85" i="3"/>
  <c r="O85" i="3"/>
  <c r="P85" i="3"/>
  <c r="S85" i="3"/>
  <c r="Q84" i="3"/>
  <c r="J84" i="3"/>
  <c r="P84" i="3"/>
  <c r="M84" i="3"/>
  <c r="O84" i="3"/>
  <c r="L84" i="3"/>
  <c r="J83" i="3"/>
  <c r="Q83" i="3"/>
  <c r="L83" i="3"/>
  <c r="M83" i="3"/>
  <c r="P83" i="3"/>
  <c r="S83" i="3"/>
  <c r="O83" i="3"/>
  <c r="J82" i="3"/>
  <c r="Q82" i="3"/>
  <c r="L82" i="3"/>
  <c r="M82" i="3"/>
  <c r="O82" i="3"/>
  <c r="S82" i="3"/>
  <c r="P82" i="3"/>
  <c r="Q81" i="3"/>
  <c r="J81" i="3"/>
  <c r="S81" i="3"/>
  <c r="M81" i="3"/>
  <c r="P81" i="3"/>
  <c r="L81" i="3"/>
  <c r="J80" i="3"/>
  <c r="Q80" i="3"/>
  <c r="L80" i="3"/>
  <c r="P80" i="3"/>
  <c r="S80" i="3"/>
  <c r="O80" i="3"/>
  <c r="M80" i="3"/>
  <c r="Q79" i="3"/>
  <c r="J79" i="3"/>
  <c r="O79" i="3"/>
  <c r="P79" i="3"/>
  <c r="M79" i="3"/>
  <c r="L79" i="3"/>
  <c r="S79" i="3"/>
  <c r="J78" i="3"/>
  <c r="Q78" i="3"/>
  <c r="L78" i="3"/>
  <c r="P78" i="3"/>
  <c r="O78" i="3"/>
  <c r="M78" i="3"/>
  <c r="S78" i="3"/>
  <c r="J77" i="3"/>
  <c r="Q77" i="3"/>
  <c r="L77" i="3"/>
  <c r="M77" i="3"/>
  <c r="S77" i="3"/>
  <c r="P77" i="3"/>
  <c r="O77" i="3"/>
  <c r="Q76" i="3"/>
  <c r="J76" i="3"/>
  <c r="S76" i="3"/>
  <c r="P76" i="3"/>
  <c r="O76" i="3"/>
  <c r="M76" i="3"/>
  <c r="L76" i="3"/>
  <c r="Q75" i="3"/>
  <c r="J75" i="3"/>
  <c r="L75" i="3"/>
  <c r="P75" i="3"/>
  <c r="M75" i="3"/>
  <c r="O75" i="3"/>
  <c r="S75" i="3"/>
  <c r="J74" i="3"/>
  <c r="Q74" i="3"/>
  <c r="P74" i="3"/>
  <c r="L74" i="3"/>
  <c r="M74" i="3"/>
  <c r="S74" i="3"/>
  <c r="O74" i="3"/>
  <c r="Q73" i="3"/>
  <c r="J73" i="3"/>
  <c r="P73" i="3"/>
  <c r="S73" i="3"/>
  <c r="L73" i="3"/>
  <c r="M73" i="3"/>
  <c r="O73" i="3"/>
  <c r="J72" i="3"/>
  <c r="Q72" i="3"/>
  <c r="O72" i="3"/>
  <c r="P72" i="3"/>
  <c r="M72" i="3"/>
  <c r="L72" i="3"/>
  <c r="S72" i="3"/>
  <c r="J71" i="3"/>
  <c r="Q71" i="3"/>
  <c r="P71" i="3"/>
  <c r="S71" i="3"/>
  <c r="L71" i="3"/>
  <c r="M71" i="3"/>
  <c r="O71" i="3"/>
  <c r="J70" i="3"/>
  <c r="Q70" i="3"/>
  <c r="M70" i="3"/>
  <c r="S70" i="3"/>
  <c r="P70" i="3"/>
  <c r="O70" i="3"/>
  <c r="L70" i="3"/>
  <c r="Q69" i="3"/>
  <c r="J69" i="3"/>
  <c r="P69" i="3"/>
  <c r="M69" i="3"/>
  <c r="S69" i="3"/>
  <c r="O69" i="3"/>
  <c r="L69" i="3"/>
  <c r="J68" i="3"/>
  <c r="Q68" i="3"/>
  <c r="P68" i="3"/>
  <c r="M68" i="3"/>
  <c r="O68" i="3"/>
  <c r="L68" i="3"/>
  <c r="S68" i="3"/>
  <c r="J67" i="3"/>
  <c r="Q67" i="3"/>
  <c r="P67" i="3"/>
  <c r="M67" i="3"/>
  <c r="L67" i="3"/>
  <c r="S67" i="3"/>
  <c r="O67" i="3"/>
  <c r="Q66" i="3"/>
  <c r="J66" i="3"/>
  <c r="O66" i="3"/>
  <c r="M66" i="3"/>
  <c r="S66" i="3"/>
  <c r="L66" i="3"/>
  <c r="P66" i="3"/>
  <c r="J65" i="3"/>
  <c r="Q65" i="3"/>
  <c r="S65" i="3"/>
  <c r="M65" i="3"/>
  <c r="P65" i="3"/>
  <c r="L65" i="3"/>
  <c r="O65" i="3"/>
  <c r="Q64" i="3"/>
  <c r="J64" i="3"/>
  <c r="O64" i="3"/>
  <c r="P64" i="3"/>
  <c r="M64" i="3"/>
  <c r="S64" i="3"/>
  <c r="L64" i="3"/>
  <c r="Q63" i="3"/>
  <c r="J63" i="3"/>
  <c r="S63" i="3"/>
  <c r="O63" i="3"/>
  <c r="L63" i="3"/>
  <c r="P63" i="3"/>
  <c r="M63" i="3"/>
  <c r="J62" i="3"/>
  <c r="Q62" i="3"/>
  <c r="P62" i="3"/>
  <c r="S62" i="3"/>
  <c r="M62" i="3"/>
  <c r="L62" i="3"/>
  <c r="O62" i="3"/>
  <c r="J61" i="3"/>
  <c r="Q61" i="3"/>
  <c r="O61" i="3"/>
  <c r="S61" i="3"/>
  <c r="M61" i="3"/>
  <c r="L61" i="3"/>
  <c r="P61" i="3"/>
  <c r="Q60" i="3"/>
  <c r="J60" i="3"/>
  <c r="P60" i="3"/>
  <c r="L60" i="3"/>
  <c r="S60" i="3"/>
  <c r="O60" i="3"/>
  <c r="M60" i="3"/>
  <c r="J59" i="3"/>
  <c r="Q59" i="3"/>
  <c r="L59" i="3"/>
  <c r="O59" i="3"/>
  <c r="P59" i="3"/>
  <c r="M59" i="3"/>
  <c r="S59" i="3"/>
  <c r="Q58" i="3"/>
  <c r="J58" i="3"/>
  <c r="L58" i="3"/>
  <c r="M58" i="3"/>
  <c r="S58" i="3"/>
  <c r="P58" i="3"/>
  <c r="O58" i="3"/>
  <c r="J57" i="3"/>
  <c r="Q57" i="3"/>
  <c r="P57" i="3"/>
  <c r="S57" i="3"/>
  <c r="O57" i="3"/>
  <c r="L57" i="3"/>
  <c r="M57" i="3"/>
  <c r="Q56" i="3"/>
  <c r="J56" i="3"/>
  <c r="O56" i="3"/>
  <c r="S56" i="3"/>
  <c r="P56" i="3"/>
  <c r="M56" i="3"/>
  <c r="L56" i="3"/>
  <c r="Q55" i="3"/>
  <c r="J55" i="3"/>
  <c r="S55" i="3"/>
  <c r="P55" i="3"/>
  <c r="O55" i="3"/>
  <c r="M55" i="3"/>
  <c r="L55" i="3"/>
  <c r="Q54" i="3"/>
  <c r="J54" i="3"/>
  <c r="S54" i="3"/>
  <c r="O54" i="3"/>
  <c r="P54" i="3"/>
  <c r="L54" i="3"/>
  <c r="M54" i="3"/>
  <c r="Q53" i="3"/>
  <c r="J53" i="3"/>
  <c r="M53" i="3"/>
  <c r="P53" i="3"/>
  <c r="O53" i="3"/>
  <c r="L53" i="3"/>
  <c r="S53" i="3"/>
  <c r="Q52" i="3"/>
  <c r="J52" i="3"/>
  <c r="O52" i="3"/>
  <c r="L52" i="3"/>
  <c r="S52" i="3"/>
  <c r="M52" i="3"/>
  <c r="P52" i="3"/>
  <c r="J51" i="3"/>
  <c r="Q51" i="3"/>
  <c r="L51" i="3"/>
  <c r="S51" i="3"/>
  <c r="P51" i="3"/>
  <c r="M51" i="3"/>
  <c r="O51" i="3"/>
  <c r="Q50" i="3"/>
  <c r="J50" i="3"/>
  <c r="O50" i="3"/>
  <c r="S50" i="3"/>
  <c r="P50" i="3"/>
  <c r="M50" i="3"/>
  <c r="L50" i="3"/>
  <c r="Q49" i="3"/>
  <c r="J49" i="3"/>
  <c r="L49" i="3"/>
  <c r="M49" i="3"/>
  <c r="S49" i="3"/>
  <c r="O49" i="3"/>
  <c r="P49" i="3"/>
  <c r="J48" i="3"/>
  <c r="Q48" i="3"/>
  <c r="P48" i="3"/>
  <c r="S48" i="3"/>
  <c r="O48" i="3"/>
  <c r="M48" i="3"/>
  <c r="L48" i="3"/>
  <c r="J47" i="3"/>
  <c r="Q47" i="3"/>
  <c r="O47" i="3"/>
  <c r="M47" i="3"/>
  <c r="S47" i="3"/>
  <c r="L47" i="3"/>
  <c r="P47" i="3"/>
  <c r="Q46" i="3"/>
  <c r="J46" i="3"/>
  <c r="S46" i="3"/>
  <c r="P46" i="3"/>
  <c r="L46" i="3"/>
  <c r="O46" i="3"/>
  <c r="M46" i="3"/>
  <c r="Q45" i="3"/>
  <c r="J45" i="3"/>
  <c r="M45" i="3"/>
  <c r="L45" i="3"/>
  <c r="P45" i="3"/>
  <c r="S45" i="3"/>
  <c r="O45" i="3"/>
  <c r="Q44" i="3"/>
  <c r="J44" i="3"/>
  <c r="L44" i="3"/>
  <c r="P44" i="3"/>
  <c r="O44" i="3"/>
  <c r="S44" i="3"/>
  <c r="M44" i="3"/>
  <c r="J43" i="3"/>
  <c r="Q43" i="3"/>
  <c r="L43" i="3"/>
  <c r="S43" i="3"/>
  <c r="O43" i="3"/>
  <c r="P43" i="3"/>
  <c r="M43" i="3"/>
  <c r="J42" i="3"/>
  <c r="Q42" i="3"/>
  <c r="P42" i="3"/>
  <c r="O42" i="3"/>
  <c r="S42" i="3"/>
  <c r="L42" i="3"/>
  <c r="M42" i="3"/>
  <c r="J41" i="3"/>
  <c r="Q41" i="3"/>
  <c r="P41" i="3"/>
  <c r="S41" i="3"/>
  <c r="L41" i="3"/>
  <c r="O41" i="3"/>
  <c r="M41" i="3"/>
  <c r="J40" i="3"/>
  <c r="Q40" i="3"/>
  <c r="M40" i="3"/>
  <c r="O40" i="3"/>
  <c r="S40" i="3"/>
  <c r="L40" i="3"/>
  <c r="P40" i="3"/>
  <c r="Q39" i="3"/>
  <c r="J39" i="3"/>
  <c r="O39" i="3"/>
  <c r="L39" i="3"/>
  <c r="P39" i="3"/>
  <c r="M39" i="3"/>
  <c r="S39" i="3"/>
  <c r="Q38" i="3"/>
  <c r="J38" i="3"/>
  <c r="M38" i="3"/>
  <c r="P38" i="3"/>
  <c r="S38" i="3"/>
  <c r="O38" i="3"/>
  <c r="L38" i="3"/>
  <c r="Q37" i="3"/>
  <c r="J37" i="3"/>
  <c r="L37" i="3"/>
  <c r="O37" i="3"/>
  <c r="P37" i="3"/>
  <c r="M37" i="3"/>
  <c r="S37" i="3"/>
  <c r="J36" i="3"/>
  <c r="Q36" i="3"/>
  <c r="O36" i="3"/>
  <c r="S36" i="3"/>
  <c r="P36" i="3"/>
  <c r="L36" i="3"/>
  <c r="M36" i="3"/>
  <c r="J35" i="3"/>
  <c r="Q35" i="3"/>
  <c r="L35" i="3"/>
  <c r="S35" i="3"/>
  <c r="O35" i="3"/>
  <c r="P35" i="3"/>
  <c r="M35" i="3"/>
  <c r="Q34" i="3"/>
  <c r="J34" i="3"/>
  <c r="S34" i="3"/>
  <c r="P34" i="3"/>
  <c r="M34" i="3"/>
  <c r="O34" i="3"/>
  <c r="L34" i="3"/>
  <c r="Q33" i="3"/>
  <c r="J33" i="3"/>
  <c r="P33" i="3"/>
  <c r="S33" i="3"/>
  <c r="M33" i="3"/>
  <c r="L33" i="3"/>
  <c r="O33" i="3"/>
  <c r="J32" i="3"/>
  <c r="Q32" i="3"/>
  <c r="P32" i="3"/>
  <c r="L32" i="3"/>
  <c r="O32" i="3"/>
  <c r="S32" i="3"/>
  <c r="M32" i="3"/>
  <c r="J31" i="3"/>
  <c r="Q31" i="3"/>
  <c r="O31" i="3"/>
  <c r="S31" i="3"/>
  <c r="L31" i="3"/>
  <c r="M31" i="3"/>
  <c r="P31" i="3"/>
  <c r="J30" i="3"/>
  <c r="Q30" i="3"/>
  <c r="L30" i="3"/>
  <c r="S30" i="3"/>
  <c r="P30" i="3"/>
  <c r="O30" i="3"/>
  <c r="M30" i="3"/>
  <c r="J29" i="3"/>
  <c r="Q29" i="3"/>
  <c r="L29" i="3"/>
  <c r="O29" i="3"/>
  <c r="M29" i="3"/>
  <c r="S29" i="3"/>
  <c r="P29" i="3"/>
  <c r="Q28" i="3"/>
  <c r="J28" i="3"/>
  <c r="O28" i="3"/>
  <c r="M28" i="3"/>
  <c r="P28" i="3"/>
  <c r="L28" i="3"/>
  <c r="S28" i="3"/>
  <c r="Q27" i="3"/>
  <c r="J27" i="3"/>
  <c r="L27" i="3"/>
  <c r="O27" i="3"/>
  <c r="S27" i="3"/>
  <c r="P27" i="3"/>
  <c r="M27" i="3"/>
  <c r="Q26" i="3"/>
  <c r="J26" i="3"/>
  <c r="L26" i="3"/>
  <c r="P26" i="3"/>
  <c r="M26" i="3"/>
  <c r="O26" i="3"/>
  <c r="S26" i="3"/>
  <c r="Q25" i="3"/>
  <c r="J25" i="3"/>
  <c r="S25" i="3"/>
  <c r="O25" i="3"/>
  <c r="L25" i="3"/>
  <c r="P25" i="3"/>
  <c r="M25" i="3"/>
  <c r="Q24" i="3"/>
  <c r="J24" i="3"/>
  <c r="O24" i="3"/>
  <c r="S24" i="3"/>
  <c r="L24" i="3"/>
  <c r="P24" i="3"/>
  <c r="M24" i="3"/>
  <c r="Q23" i="3"/>
  <c r="J23" i="3"/>
  <c r="P23" i="3"/>
  <c r="S23" i="3"/>
  <c r="M23" i="3"/>
  <c r="L23" i="3"/>
  <c r="O23" i="3"/>
  <c r="Q22" i="3"/>
  <c r="J22" i="3"/>
  <c r="S22" i="3"/>
  <c r="M22" i="3"/>
  <c r="L22" i="3"/>
  <c r="O22" i="3"/>
  <c r="P22" i="3"/>
  <c r="Q21" i="3"/>
  <c r="J21" i="3"/>
  <c r="S21" i="3"/>
  <c r="O21" i="3"/>
  <c r="M21" i="3"/>
  <c r="P21" i="3"/>
  <c r="L21" i="3"/>
  <c r="Q20" i="3"/>
  <c r="J20" i="3"/>
  <c r="L20" i="3"/>
  <c r="M20" i="3"/>
  <c r="P20" i="3"/>
  <c r="S20" i="3"/>
  <c r="O20" i="3"/>
  <c r="Q19" i="3"/>
  <c r="J19" i="3"/>
  <c r="S19" i="3"/>
  <c r="P19" i="3"/>
  <c r="M19" i="3"/>
  <c r="O19" i="3"/>
  <c r="L19" i="3"/>
  <c r="Q18" i="3"/>
  <c r="J18" i="3"/>
  <c r="M18" i="3"/>
  <c r="P18" i="3"/>
  <c r="S18" i="3"/>
  <c r="L18" i="3"/>
  <c r="O18" i="3"/>
  <c r="J17" i="3"/>
  <c r="Q17" i="3"/>
  <c r="P17" i="3"/>
  <c r="S17" i="3"/>
  <c r="M17" i="3"/>
  <c r="O17" i="3"/>
  <c r="L17" i="3"/>
  <c r="Q16" i="3"/>
  <c r="J16" i="3"/>
  <c r="L16" i="3"/>
  <c r="O16" i="3"/>
  <c r="M16" i="3"/>
  <c r="P16" i="3"/>
  <c r="S16" i="3"/>
  <c r="Q15" i="3"/>
  <c r="J15" i="3"/>
  <c r="S15" i="3"/>
  <c r="M15" i="3"/>
  <c r="O15" i="3"/>
  <c r="P15" i="3"/>
  <c r="L15" i="3"/>
  <c r="J14" i="3"/>
  <c r="Q14" i="3"/>
  <c r="P14" i="3"/>
  <c r="M14" i="3"/>
  <c r="O14" i="3"/>
  <c r="L14" i="3"/>
  <c r="S14" i="3"/>
  <c r="J13" i="3"/>
  <c r="Q13" i="3"/>
  <c r="O13" i="3"/>
  <c r="S13" i="3"/>
  <c r="L13" i="3"/>
  <c r="P13" i="3"/>
  <c r="M13" i="3"/>
  <c r="J12" i="3"/>
  <c r="Q12" i="3"/>
  <c r="P12" i="3"/>
  <c r="L12" i="3"/>
  <c r="O12" i="3"/>
  <c r="M12" i="3"/>
  <c r="S12" i="3"/>
  <c r="J11" i="3"/>
  <c r="Q11" i="3"/>
  <c r="P11" i="3"/>
  <c r="O11" i="3"/>
  <c r="M11" i="3"/>
  <c r="L11" i="3"/>
  <c r="S11" i="3"/>
  <c r="J10" i="3"/>
  <c r="Q10" i="3"/>
  <c r="S10" i="3"/>
  <c r="M10" i="3"/>
  <c r="L10" i="3"/>
  <c r="O10" i="3"/>
  <c r="P10" i="3"/>
  <c r="Q9" i="3"/>
  <c r="J9" i="3"/>
  <c r="O9" i="3"/>
  <c r="S9" i="3"/>
  <c r="M9" i="3"/>
  <c r="P9" i="3"/>
  <c r="R7" i="7"/>
  <c r="A6" i="4"/>
  <c r="L9" i="3"/>
  <c r="T301" i="3"/>
  <c r="T191" i="3"/>
  <c r="T154" i="3"/>
  <c r="X154" i="3" s="1"/>
  <c r="T9" i="3"/>
  <c r="C5" i="3" s="1"/>
  <c r="C6" i="3" s="1"/>
  <c r="T374" i="3"/>
  <c r="T337" i="3"/>
  <c r="D5" i="3"/>
  <c r="D6" i="3" s="1"/>
  <c r="F5" i="3"/>
  <c r="F6" i="3" s="1"/>
  <c r="F29" i="6" l="1"/>
  <c r="F28" i="6"/>
  <c r="B27" i="6"/>
  <c r="C27" i="6"/>
  <c r="B25" i="6"/>
  <c r="C25" i="6"/>
  <c r="K382" i="3"/>
  <c r="R382" i="3"/>
  <c r="V382" i="3"/>
  <c r="X382" i="3" s="1"/>
  <c r="F27" i="6" s="1"/>
  <c r="K381" i="3"/>
  <c r="R381" i="3"/>
  <c r="V381" i="3"/>
  <c r="X381" i="3" s="1"/>
  <c r="K380" i="3"/>
  <c r="R380" i="3"/>
  <c r="V380" i="3"/>
  <c r="X380" i="3" s="1"/>
  <c r="K379" i="3"/>
  <c r="R379" i="3"/>
  <c r="V379" i="3"/>
  <c r="X379" i="3" s="1"/>
  <c r="E28" i="6" s="1"/>
  <c r="K378" i="3"/>
  <c r="R378" i="3"/>
  <c r="V378" i="3"/>
  <c r="X378" i="3" s="1"/>
  <c r="K377" i="3"/>
  <c r="R377" i="3"/>
  <c r="V377" i="3"/>
  <c r="X377" i="3" s="1"/>
  <c r="K376" i="3"/>
  <c r="R376" i="3"/>
  <c r="V376" i="3"/>
  <c r="X376" i="3" s="1"/>
  <c r="K375" i="3"/>
  <c r="R375" i="3"/>
  <c r="V375" i="3"/>
  <c r="X375" i="3" s="1"/>
  <c r="E26" i="6" s="1"/>
  <c r="K373" i="3"/>
  <c r="R373" i="3"/>
  <c r="V373" i="3"/>
  <c r="X373" i="3" s="1"/>
  <c r="K372" i="3"/>
  <c r="R372" i="3"/>
  <c r="V372" i="3"/>
  <c r="X372" i="3" s="1"/>
  <c r="K371" i="3"/>
  <c r="R371" i="3"/>
  <c r="V371" i="3"/>
  <c r="X371" i="3" s="1"/>
  <c r="D26" i="6" s="1"/>
  <c r="K370" i="3"/>
  <c r="R370" i="3"/>
  <c r="V370" i="3"/>
  <c r="X370" i="3" s="1"/>
  <c r="K369" i="3"/>
  <c r="R369" i="3"/>
  <c r="V369" i="3"/>
  <c r="X369" i="3" s="1"/>
  <c r="B28" i="6" s="1"/>
  <c r="K368" i="3"/>
  <c r="R368" i="3"/>
  <c r="V368" i="3"/>
  <c r="X368" i="3" s="1"/>
  <c r="F26" i="6" s="1"/>
  <c r="K367" i="3"/>
  <c r="R367" i="3"/>
  <c r="V367" i="3"/>
  <c r="X367" i="3" s="1"/>
  <c r="K366" i="3"/>
  <c r="R366" i="3"/>
  <c r="V366" i="3"/>
  <c r="X366" i="3" s="1"/>
  <c r="D29" i="6" s="1"/>
  <c r="K365" i="3"/>
  <c r="R365" i="3"/>
  <c r="V365" i="3"/>
  <c r="X365" i="3" s="1"/>
  <c r="K364" i="3"/>
  <c r="R364" i="3"/>
  <c r="V364" i="3"/>
  <c r="X364" i="3" s="1"/>
  <c r="K363" i="3"/>
  <c r="R363" i="3"/>
  <c r="V363" i="3"/>
  <c r="X363" i="3" s="1"/>
  <c r="K362" i="3"/>
  <c r="R362" i="3"/>
  <c r="V362" i="3"/>
  <c r="X362" i="3" s="1"/>
  <c r="D27" i="6" s="1"/>
  <c r="K361" i="3"/>
  <c r="R361" i="3"/>
  <c r="V361" i="3"/>
  <c r="X361" i="3" s="1"/>
  <c r="C28" i="6" s="1"/>
  <c r="K360" i="3"/>
  <c r="R360" i="3"/>
  <c r="V360" i="3"/>
  <c r="X360" i="3" s="1"/>
  <c r="E25" i="6" s="1"/>
  <c r="K359" i="3"/>
  <c r="R359" i="3"/>
  <c r="V359" i="3"/>
  <c r="X359" i="3" s="1"/>
  <c r="K358" i="3"/>
  <c r="R358" i="3"/>
  <c r="V358" i="3"/>
  <c r="X358" i="3" s="1"/>
  <c r="K357" i="3"/>
  <c r="R357" i="3"/>
  <c r="V357" i="3"/>
  <c r="X357" i="3" s="1"/>
  <c r="K356" i="3"/>
  <c r="R356" i="3"/>
  <c r="V356" i="3"/>
  <c r="X356" i="3" s="1"/>
  <c r="F25" i="6" s="1"/>
  <c r="K355" i="3"/>
  <c r="R355" i="3"/>
  <c r="V355" i="3"/>
  <c r="X355" i="3" s="1"/>
  <c r="E27" i="6" s="1"/>
  <c r="K354" i="3"/>
  <c r="R354" i="3"/>
  <c r="V354" i="3"/>
  <c r="X354" i="3" s="1"/>
  <c r="D25" i="6" s="1"/>
  <c r="K353" i="3"/>
  <c r="R353" i="3"/>
  <c r="V353" i="3"/>
  <c r="X353" i="3" s="1"/>
  <c r="C29" i="6" s="1"/>
  <c r="K352" i="3"/>
  <c r="R352" i="3"/>
  <c r="V352" i="3"/>
  <c r="X352" i="3" s="1"/>
  <c r="B29" i="6" s="1"/>
  <c r="K351" i="3"/>
  <c r="R351" i="3"/>
  <c r="V351" i="3"/>
  <c r="X351" i="3" s="1"/>
  <c r="K350" i="3"/>
  <c r="R350" i="3"/>
  <c r="V350" i="3"/>
  <c r="X350" i="3" s="1"/>
  <c r="D28" i="6" s="1"/>
  <c r="K349" i="3"/>
  <c r="R349" i="3"/>
  <c r="V349" i="3"/>
  <c r="X349" i="3" s="1"/>
  <c r="C26" i="6" s="1"/>
  <c r="K348" i="3"/>
  <c r="R348" i="3"/>
  <c r="V348" i="3"/>
  <c r="X348" i="3" s="1"/>
  <c r="K347" i="3"/>
  <c r="R347" i="3"/>
  <c r="V347" i="3"/>
  <c r="X347" i="3" s="1"/>
  <c r="E29" i="6" s="1"/>
  <c r="K346" i="3"/>
  <c r="R346" i="3"/>
  <c r="V346" i="3"/>
  <c r="X346" i="3" s="1"/>
  <c r="K345" i="3"/>
  <c r="R345" i="3"/>
  <c r="V345" i="3"/>
  <c r="X345" i="3" s="1"/>
  <c r="K344" i="3"/>
  <c r="R344" i="3"/>
  <c r="V344" i="3"/>
  <c r="X344" i="3" s="1"/>
  <c r="K343" i="3"/>
  <c r="R343" i="3"/>
  <c r="V343" i="3"/>
  <c r="X343" i="3" s="1"/>
  <c r="K342" i="3"/>
  <c r="R342" i="3"/>
  <c r="V342" i="3"/>
  <c r="X342" i="3" s="1"/>
  <c r="K341" i="3"/>
  <c r="R341" i="3"/>
  <c r="V341" i="3"/>
  <c r="X341" i="3" s="1"/>
  <c r="K340" i="3"/>
  <c r="R340" i="3"/>
  <c r="V340" i="3"/>
  <c r="X340" i="3" s="1"/>
  <c r="K339" i="3"/>
  <c r="R339" i="3"/>
  <c r="V339" i="3"/>
  <c r="X339" i="3" s="1"/>
  <c r="K338" i="3"/>
  <c r="R338" i="3"/>
  <c r="V338" i="3"/>
  <c r="X338" i="3" s="1"/>
  <c r="K337" i="3"/>
  <c r="R337" i="3"/>
  <c r="V337" i="3"/>
  <c r="X337" i="3" s="1"/>
  <c r="K336" i="3"/>
  <c r="R336" i="3"/>
  <c r="V336" i="3"/>
  <c r="X336" i="3" s="1"/>
  <c r="K335" i="3"/>
  <c r="R335" i="3"/>
  <c r="V335" i="3"/>
  <c r="X335" i="3" s="1"/>
  <c r="K334" i="3"/>
  <c r="R334" i="3"/>
  <c r="V334" i="3"/>
  <c r="X334" i="3" s="1"/>
  <c r="K333" i="3"/>
  <c r="R333" i="3"/>
  <c r="V333" i="3"/>
  <c r="X333" i="3" s="1"/>
  <c r="K332" i="3"/>
  <c r="R332" i="3"/>
  <c r="V332" i="3"/>
  <c r="X332" i="3" s="1"/>
  <c r="K331" i="3"/>
  <c r="R331" i="3"/>
  <c r="V331" i="3"/>
  <c r="X331" i="3" s="1"/>
  <c r="K330" i="3"/>
  <c r="R330" i="3"/>
  <c r="V330" i="3"/>
  <c r="X330" i="3" s="1"/>
  <c r="K329" i="3"/>
  <c r="R329" i="3"/>
  <c r="V329" i="3"/>
  <c r="X329" i="3" s="1"/>
  <c r="K328" i="3"/>
  <c r="R328" i="3"/>
  <c r="V328" i="3"/>
  <c r="X328" i="3" s="1"/>
  <c r="K327" i="3"/>
  <c r="R327" i="3"/>
  <c r="V327" i="3"/>
  <c r="X327" i="3" s="1"/>
  <c r="K326" i="3"/>
  <c r="R326" i="3"/>
  <c r="V326" i="3"/>
  <c r="X326" i="3" s="1"/>
  <c r="K325" i="3"/>
  <c r="R325" i="3"/>
  <c r="V325" i="3"/>
  <c r="X325" i="3" s="1"/>
  <c r="K324" i="3"/>
  <c r="R324" i="3"/>
  <c r="V324" i="3"/>
  <c r="X324" i="3" s="1"/>
  <c r="K323" i="3"/>
  <c r="R323" i="3"/>
  <c r="V323" i="3"/>
  <c r="X323" i="3" s="1"/>
  <c r="K322" i="3"/>
  <c r="R322" i="3"/>
  <c r="V322" i="3"/>
  <c r="X322" i="3" s="1"/>
  <c r="K321" i="3"/>
  <c r="R321" i="3"/>
  <c r="V321" i="3"/>
  <c r="X321" i="3" s="1"/>
  <c r="K320" i="3"/>
  <c r="R320" i="3"/>
  <c r="V320" i="3"/>
  <c r="X320" i="3" s="1"/>
  <c r="K319" i="3"/>
  <c r="R319" i="3"/>
  <c r="V319" i="3"/>
  <c r="X319" i="3" s="1"/>
  <c r="K318" i="3"/>
  <c r="R318" i="3"/>
  <c r="V318" i="3"/>
  <c r="X318" i="3" s="1"/>
  <c r="K317" i="3"/>
  <c r="R317" i="3"/>
  <c r="V317" i="3"/>
  <c r="X317" i="3" s="1"/>
  <c r="K316" i="3"/>
  <c r="R316" i="3"/>
  <c r="V316" i="3"/>
  <c r="X316" i="3" s="1"/>
  <c r="K315" i="3"/>
  <c r="R315" i="3"/>
  <c r="V315" i="3"/>
  <c r="X315" i="3" s="1"/>
  <c r="K314" i="3"/>
  <c r="R314" i="3"/>
  <c r="V314" i="3"/>
  <c r="X314" i="3" s="1"/>
  <c r="K313" i="3"/>
  <c r="R313" i="3"/>
  <c r="V313" i="3"/>
  <c r="X313" i="3" s="1"/>
  <c r="K312" i="3"/>
  <c r="R312" i="3"/>
  <c r="V312" i="3"/>
  <c r="X312" i="3" s="1"/>
  <c r="K311" i="3"/>
  <c r="R311" i="3"/>
  <c r="V311" i="3"/>
  <c r="X311" i="3" s="1"/>
  <c r="K310" i="3"/>
  <c r="R310" i="3"/>
  <c r="V310" i="3"/>
  <c r="X310" i="3" s="1"/>
  <c r="K309" i="3"/>
  <c r="R309" i="3"/>
  <c r="V309" i="3"/>
  <c r="X309" i="3" s="1"/>
  <c r="K308" i="3"/>
  <c r="R308" i="3"/>
  <c r="V308" i="3"/>
  <c r="X308" i="3" s="1"/>
  <c r="K307" i="3"/>
  <c r="R307" i="3"/>
  <c r="V307" i="3"/>
  <c r="X307" i="3" s="1"/>
  <c r="K306" i="3"/>
  <c r="R306" i="3"/>
  <c r="V306" i="3"/>
  <c r="X306" i="3" s="1"/>
  <c r="K305" i="3"/>
  <c r="R305" i="3"/>
  <c r="V305" i="3"/>
  <c r="X305" i="3" s="1"/>
  <c r="K304" i="3"/>
  <c r="R304" i="3"/>
  <c r="V304" i="3"/>
  <c r="X304" i="3" s="1"/>
  <c r="K303" i="3"/>
  <c r="R303" i="3"/>
  <c r="V303" i="3"/>
  <c r="X303" i="3" s="1"/>
  <c r="K302" i="3"/>
  <c r="R302" i="3"/>
  <c r="V302" i="3"/>
  <c r="X302" i="3" s="1"/>
  <c r="K301" i="3"/>
  <c r="R301" i="3"/>
  <c r="V301" i="3"/>
  <c r="K300" i="3"/>
  <c r="R300" i="3"/>
  <c r="V300" i="3"/>
  <c r="X300" i="3" s="1"/>
  <c r="K299" i="3"/>
  <c r="R299" i="3"/>
  <c r="V299" i="3"/>
  <c r="X299" i="3" s="1"/>
  <c r="K298" i="3"/>
  <c r="R298" i="3"/>
  <c r="V298" i="3"/>
  <c r="X298" i="3" s="1"/>
  <c r="K297" i="3"/>
  <c r="R297" i="3"/>
  <c r="V297" i="3"/>
  <c r="X297" i="3" s="1"/>
  <c r="K296" i="3"/>
  <c r="R296" i="3"/>
  <c r="V296" i="3"/>
  <c r="X296" i="3" s="1"/>
  <c r="K295" i="3"/>
  <c r="R295" i="3"/>
  <c r="V295" i="3"/>
  <c r="X295" i="3" s="1"/>
  <c r="K294" i="3"/>
  <c r="R294" i="3"/>
  <c r="V294" i="3"/>
  <c r="X294" i="3" s="1"/>
  <c r="K293" i="3"/>
  <c r="R293" i="3"/>
  <c r="V293" i="3"/>
  <c r="X293" i="3" s="1"/>
  <c r="K292" i="3"/>
  <c r="R292" i="3"/>
  <c r="V292" i="3"/>
  <c r="X292" i="3" s="1"/>
  <c r="K291" i="3"/>
  <c r="R291" i="3"/>
  <c r="V291" i="3"/>
  <c r="X291" i="3" s="1"/>
  <c r="K290" i="3"/>
  <c r="R290" i="3"/>
  <c r="V290" i="3"/>
  <c r="X290" i="3" s="1"/>
  <c r="K289" i="3"/>
  <c r="R289" i="3"/>
  <c r="V289" i="3"/>
  <c r="X289" i="3" s="1"/>
  <c r="K288" i="3"/>
  <c r="R288" i="3"/>
  <c r="V288" i="3"/>
  <c r="X288" i="3" s="1"/>
  <c r="K287" i="3"/>
  <c r="R287" i="3"/>
  <c r="V287" i="3"/>
  <c r="X287" i="3" s="1"/>
  <c r="K286" i="3"/>
  <c r="R286" i="3"/>
  <c r="V286" i="3"/>
  <c r="X286" i="3" s="1"/>
  <c r="K285" i="3"/>
  <c r="R285" i="3"/>
  <c r="V285" i="3"/>
  <c r="X285" i="3" s="1"/>
  <c r="K284" i="3"/>
  <c r="R284" i="3"/>
  <c r="V284" i="3"/>
  <c r="X284" i="3" s="1"/>
  <c r="K283" i="3"/>
  <c r="R283" i="3"/>
  <c r="V283" i="3"/>
  <c r="X283" i="3" s="1"/>
  <c r="K282" i="3"/>
  <c r="R282" i="3"/>
  <c r="V282" i="3"/>
  <c r="X282" i="3" s="1"/>
  <c r="K281" i="3"/>
  <c r="R281" i="3"/>
  <c r="V281" i="3"/>
  <c r="X281" i="3" s="1"/>
  <c r="K280" i="3"/>
  <c r="R280" i="3"/>
  <c r="V280" i="3"/>
  <c r="X280" i="3" s="1"/>
  <c r="K279" i="3"/>
  <c r="R279" i="3"/>
  <c r="V279" i="3"/>
  <c r="X279" i="3" s="1"/>
  <c r="K278" i="3"/>
  <c r="R278" i="3"/>
  <c r="V278" i="3"/>
  <c r="X278" i="3" s="1"/>
  <c r="K277" i="3"/>
  <c r="R277" i="3"/>
  <c r="V277" i="3"/>
  <c r="X277" i="3" s="1"/>
  <c r="K276" i="3"/>
  <c r="R276" i="3"/>
  <c r="V276" i="3"/>
  <c r="X276" i="3" s="1"/>
  <c r="K275" i="3"/>
  <c r="R275" i="3"/>
  <c r="V275" i="3"/>
  <c r="X275" i="3" s="1"/>
  <c r="K274" i="3"/>
  <c r="R274" i="3"/>
  <c r="V274" i="3"/>
  <c r="X274" i="3" s="1"/>
  <c r="K273" i="3"/>
  <c r="R273" i="3"/>
  <c r="V273" i="3"/>
  <c r="X273" i="3" s="1"/>
  <c r="K272" i="3"/>
  <c r="R272" i="3"/>
  <c r="V272" i="3"/>
  <c r="X272" i="3" s="1"/>
  <c r="K271" i="3"/>
  <c r="R271" i="3"/>
  <c r="V271" i="3"/>
  <c r="X271" i="3" s="1"/>
  <c r="K270" i="3"/>
  <c r="R270" i="3"/>
  <c r="V270" i="3"/>
  <c r="X270" i="3" s="1"/>
  <c r="K269" i="3"/>
  <c r="R269" i="3"/>
  <c r="V269" i="3"/>
  <c r="X269" i="3" s="1"/>
  <c r="K268" i="3"/>
  <c r="R268" i="3"/>
  <c r="V268" i="3"/>
  <c r="X268" i="3" s="1"/>
  <c r="K267" i="3"/>
  <c r="R267" i="3"/>
  <c r="V267" i="3"/>
  <c r="X267" i="3" s="1"/>
  <c r="K266" i="3"/>
  <c r="R266" i="3"/>
  <c r="V266" i="3"/>
  <c r="X266" i="3" s="1"/>
  <c r="K265" i="3"/>
  <c r="R265" i="3"/>
  <c r="V265" i="3"/>
  <c r="X265" i="3" s="1"/>
  <c r="K264" i="3"/>
  <c r="R264" i="3"/>
  <c r="V264" i="3"/>
  <c r="X264" i="3" s="1"/>
  <c r="K263" i="3"/>
  <c r="R263" i="3"/>
  <c r="V263" i="3"/>
  <c r="X263" i="3" s="1"/>
  <c r="K262" i="3"/>
  <c r="R262" i="3"/>
  <c r="V262" i="3"/>
  <c r="X262" i="3" s="1"/>
  <c r="K261" i="3"/>
  <c r="R261" i="3"/>
  <c r="V261" i="3"/>
  <c r="X261" i="3" s="1"/>
  <c r="K260" i="3"/>
  <c r="R260" i="3"/>
  <c r="V260" i="3"/>
  <c r="X260" i="3" s="1"/>
  <c r="K259" i="3"/>
  <c r="R259" i="3"/>
  <c r="V259" i="3"/>
  <c r="X259" i="3" s="1"/>
  <c r="K258" i="3"/>
  <c r="R258" i="3"/>
  <c r="V258" i="3"/>
  <c r="X258" i="3" s="1"/>
  <c r="K257" i="3"/>
  <c r="R257" i="3"/>
  <c r="V257" i="3"/>
  <c r="X257" i="3" s="1"/>
  <c r="K256" i="3"/>
  <c r="R256" i="3"/>
  <c r="V256" i="3"/>
  <c r="X256" i="3" s="1"/>
  <c r="K255" i="3"/>
  <c r="R255" i="3"/>
  <c r="V255" i="3"/>
  <c r="X255" i="3" s="1"/>
  <c r="K254" i="3"/>
  <c r="R254" i="3"/>
  <c r="V254" i="3"/>
  <c r="X254" i="3" s="1"/>
  <c r="K253" i="3"/>
  <c r="R253" i="3"/>
  <c r="V253" i="3"/>
  <c r="X253" i="3" s="1"/>
  <c r="K252" i="3"/>
  <c r="R252" i="3"/>
  <c r="V252" i="3"/>
  <c r="X252" i="3" s="1"/>
  <c r="K251" i="3"/>
  <c r="R251" i="3"/>
  <c r="V251" i="3"/>
  <c r="X251" i="3" s="1"/>
  <c r="K250" i="3"/>
  <c r="R250" i="3"/>
  <c r="V250" i="3"/>
  <c r="X250" i="3" s="1"/>
  <c r="K249" i="3"/>
  <c r="R249" i="3"/>
  <c r="V249" i="3"/>
  <c r="X249" i="3" s="1"/>
  <c r="K248" i="3"/>
  <c r="R248" i="3"/>
  <c r="V248" i="3"/>
  <c r="X248" i="3" s="1"/>
  <c r="K247" i="3"/>
  <c r="R247" i="3"/>
  <c r="V247" i="3"/>
  <c r="X247" i="3" s="1"/>
  <c r="K246" i="3"/>
  <c r="R246" i="3"/>
  <c r="V246" i="3"/>
  <c r="X246" i="3" s="1"/>
  <c r="K245" i="3"/>
  <c r="R245" i="3"/>
  <c r="V245" i="3"/>
  <c r="X245" i="3" s="1"/>
  <c r="K244" i="3"/>
  <c r="R244" i="3"/>
  <c r="V244" i="3"/>
  <c r="X244" i="3" s="1"/>
  <c r="K243" i="3"/>
  <c r="R243" i="3"/>
  <c r="V243" i="3"/>
  <c r="X243" i="3" s="1"/>
  <c r="K242" i="3"/>
  <c r="R242" i="3"/>
  <c r="V242" i="3"/>
  <c r="X242" i="3" s="1"/>
  <c r="K241" i="3"/>
  <c r="R241" i="3"/>
  <c r="V241" i="3"/>
  <c r="X241" i="3" s="1"/>
  <c r="K240" i="3"/>
  <c r="R240" i="3"/>
  <c r="V240" i="3"/>
  <c r="X240" i="3" s="1"/>
  <c r="K239" i="3"/>
  <c r="R239" i="3"/>
  <c r="V239" i="3"/>
  <c r="X239" i="3" s="1"/>
  <c r="K238" i="3"/>
  <c r="R238" i="3"/>
  <c r="V238" i="3"/>
  <c r="X238" i="3" s="1"/>
  <c r="K237" i="3"/>
  <c r="R237" i="3"/>
  <c r="V237" i="3"/>
  <c r="X237" i="3" s="1"/>
  <c r="K236" i="3"/>
  <c r="R236" i="3"/>
  <c r="V236" i="3"/>
  <c r="X236" i="3" s="1"/>
  <c r="K235" i="3"/>
  <c r="R235" i="3"/>
  <c r="V235" i="3"/>
  <c r="X235" i="3" s="1"/>
  <c r="K234" i="3"/>
  <c r="R234" i="3"/>
  <c r="V234" i="3"/>
  <c r="X234" i="3" s="1"/>
  <c r="K233" i="3"/>
  <c r="R233" i="3"/>
  <c r="V233" i="3"/>
  <c r="X233" i="3" s="1"/>
  <c r="K232" i="3"/>
  <c r="R232" i="3"/>
  <c r="V232" i="3"/>
  <c r="X232" i="3" s="1"/>
  <c r="K231" i="3"/>
  <c r="R231" i="3"/>
  <c r="V231" i="3"/>
  <c r="X231" i="3" s="1"/>
  <c r="K230" i="3"/>
  <c r="R230" i="3"/>
  <c r="V230" i="3"/>
  <c r="X230" i="3" s="1"/>
  <c r="K229" i="3"/>
  <c r="R229" i="3"/>
  <c r="V229" i="3"/>
  <c r="X229" i="3" s="1"/>
  <c r="K228" i="3"/>
  <c r="R228" i="3"/>
  <c r="V228" i="3"/>
  <c r="X228" i="3" s="1"/>
  <c r="K227" i="3"/>
  <c r="R227" i="3"/>
  <c r="V227" i="3"/>
  <c r="X227" i="3" s="1"/>
  <c r="K226" i="3"/>
  <c r="R226" i="3"/>
  <c r="V226" i="3"/>
  <c r="X226" i="3" s="1"/>
  <c r="K225" i="3"/>
  <c r="R225" i="3"/>
  <c r="V225" i="3"/>
  <c r="X225" i="3" s="1"/>
  <c r="K224" i="3"/>
  <c r="R224" i="3"/>
  <c r="V224" i="3"/>
  <c r="X224" i="3" s="1"/>
  <c r="K223" i="3"/>
  <c r="R223" i="3"/>
  <c r="V223" i="3"/>
  <c r="X223" i="3" s="1"/>
  <c r="K222" i="3"/>
  <c r="R222" i="3"/>
  <c r="V222" i="3"/>
  <c r="X222" i="3" s="1"/>
  <c r="K221" i="3"/>
  <c r="R221" i="3"/>
  <c r="V221" i="3"/>
  <c r="X221" i="3" s="1"/>
  <c r="K220" i="3"/>
  <c r="R220" i="3"/>
  <c r="V220" i="3"/>
  <c r="X220" i="3" s="1"/>
  <c r="K219" i="3"/>
  <c r="R219" i="3"/>
  <c r="V219" i="3"/>
  <c r="X219" i="3" s="1"/>
  <c r="K218" i="3"/>
  <c r="R218" i="3"/>
  <c r="V218" i="3"/>
  <c r="X218" i="3" s="1"/>
  <c r="K217" i="3"/>
  <c r="R217" i="3"/>
  <c r="V217" i="3"/>
  <c r="X217" i="3" s="1"/>
  <c r="K216" i="3"/>
  <c r="R216" i="3"/>
  <c r="V216" i="3"/>
  <c r="X216" i="3" s="1"/>
  <c r="R215" i="3"/>
  <c r="K215" i="3"/>
  <c r="V215" i="3"/>
  <c r="X215" i="3" s="1"/>
  <c r="K214" i="3"/>
  <c r="R214" i="3"/>
  <c r="V214" i="3"/>
  <c r="X214" i="3" s="1"/>
  <c r="R213" i="3"/>
  <c r="K213" i="3"/>
  <c r="V213" i="3"/>
  <c r="X213" i="3" s="1"/>
  <c r="R212" i="3"/>
  <c r="K212" i="3"/>
  <c r="V212" i="3"/>
  <c r="X212" i="3" s="1"/>
  <c r="K211" i="3"/>
  <c r="R211" i="3"/>
  <c r="V211" i="3"/>
  <c r="X211" i="3" s="1"/>
  <c r="R210" i="3"/>
  <c r="K210" i="3"/>
  <c r="V210" i="3"/>
  <c r="X210" i="3" s="1"/>
  <c r="V209" i="3"/>
  <c r="X209" i="3" s="1"/>
  <c r="K209" i="3"/>
  <c r="R209" i="3"/>
  <c r="V208" i="3"/>
  <c r="X208" i="3" s="1"/>
  <c r="K208" i="3"/>
  <c r="R208" i="3"/>
  <c r="K207" i="3"/>
  <c r="R207" i="3"/>
  <c r="V207" i="3"/>
  <c r="X207" i="3" s="1"/>
  <c r="V206" i="3"/>
  <c r="X206" i="3" s="1"/>
  <c r="R206" i="3"/>
  <c r="K206" i="3"/>
  <c r="R205" i="3"/>
  <c r="V205" i="3"/>
  <c r="X205" i="3" s="1"/>
  <c r="K205" i="3"/>
  <c r="V204" i="3"/>
  <c r="X204" i="3" s="1"/>
  <c r="R204" i="3"/>
  <c r="K204" i="3"/>
  <c r="R203" i="3"/>
  <c r="K203" i="3"/>
  <c r="V203" i="3"/>
  <c r="X203" i="3" s="1"/>
  <c r="K202" i="3"/>
  <c r="V202" i="3"/>
  <c r="X202" i="3" s="1"/>
  <c r="R202" i="3"/>
  <c r="R201" i="3"/>
  <c r="K201" i="3"/>
  <c r="V201" i="3"/>
  <c r="X201" i="3" s="1"/>
  <c r="R200" i="3"/>
  <c r="V200" i="3"/>
  <c r="X200" i="3" s="1"/>
  <c r="K200" i="3"/>
  <c r="K199" i="3"/>
  <c r="R199" i="3"/>
  <c r="V199" i="3"/>
  <c r="X199" i="3" s="1"/>
  <c r="V198" i="3"/>
  <c r="X198" i="3" s="1"/>
  <c r="K198" i="3"/>
  <c r="R198" i="3"/>
  <c r="V197" i="3"/>
  <c r="X197" i="3" s="1"/>
  <c r="R197" i="3"/>
  <c r="K197" i="3"/>
  <c r="R196" i="3"/>
  <c r="K196" i="3"/>
  <c r="V196" i="3"/>
  <c r="X196" i="3" s="1"/>
  <c r="V195" i="3"/>
  <c r="X195" i="3" s="1"/>
  <c r="K195" i="3"/>
  <c r="R195" i="3"/>
  <c r="V194" i="3"/>
  <c r="X194" i="3" s="1"/>
  <c r="K194" i="3"/>
  <c r="R194" i="3"/>
  <c r="R193" i="3"/>
  <c r="V193" i="3"/>
  <c r="X193" i="3" s="1"/>
  <c r="K193" i="3"/>
  <c r="V192" i="3"/>
  <c r="X192" i="3" s="1"/>
  <c r="K192" i="3"/>
  <c r="R192" i="3"/>
  <c r="K190" i="3"/>
  <c r="R190" i="3"/>
  <c r="V190" i="3"/>
  <c r="X190" i="3" s="1"/>
  <c r="K189" i="3"/>
  <c r="R189" i="3"/>
  <c r="V189" i="3"/>
  <c r="X189" i="3" s="1"/>
  <c r="K188" i="3"/>
  <c r="R188" i="3"/>
  <c r="V188" i="3"/>
  <c r="X188" i="3" s="1"/>
  <c r="K187" i="3"/>
  <c r="R187" i="3"/>
  <c r="V187" i="3"/>
  <c r="X187" i="3" s="1"/>
  <c r="K186" i="3"/>
  <c r="R186" i="3"/>
  <c r="V186" i="3"/>
  <c r="X186" i="3" s="1"/>
  <c r="K185" i="3"/>
  <c r="R185" i="3"/>
  <c r="V185" i="3"/>
  <c r="X185" i="3" s="1"/>
  <c r="K184" i="3"/>
  <c r="R184" i="3"/>
  <c r="V184" i="3"/>
  <c r="X184" i="3" s="1"/>
  <c r="K183" i="3"/>
  <c r="R183" i="3"/>
  <c r="V183" i="3"/>
  <c r="X183" i="3" s="1"/>
  <c r="K182" i="3"/>
  <c r="R182" i="3"/>
  <c r="V182" i="3"/>
  <c r="X182" i="3" s="1"/>
  <c r="K181" i="3"/>
  <c r="R181" i="3"/>
  <c r="V181" i="3"/>
  <c r="X181" i="3" s="1"/>
  <c r="K180" i="3"/>
  <c r="R180" i="3"/>
  <c r="V180" i="3"/>
  <c r="X180" i="3" s="1"/>
  <c r="K179" i="3"/>
  <c r="R179" i="3"/>
  <c r="V179" i="3"/>
  <c r="X179" i="3" s="1"/>
  <c r="K178" i="3"/>
  <c r="R178" i="3"/>
  <c r="V178" i="3"/>
  <c r="X178" i="3" s="1"/>
  <c r="K177" i="3"/>
  <c r="R177" i="3"/>
  <c r="V177" i="3"/>
  <c r="X177" i="3" s="1"/>
  <c r="K176" i="3"/>
  <c r="R176" i="3"/>
  <c r="V176" i="3"/>
  <c r="X176" i="3" s="1"/>
  <c r="K175" i="3"/>
  <c r="R175" i="3"/>
  <c r="V175" i="3"/>
  <c r="X175" i="3" s="1"/>
  <c r="K174" i="3"/>
  <c r="R174" i="3"/>
  <c r="V174" i="3"/>
  <c r="X174" i="3" s="1"/>
  <c r="K173" i="3"/>
  <c r="R173" i="3"/>
  <c r="V173" i="3"/>
  <c r="X173" i="3" s="1"/>
  <c r="K172" i="3"/>
  <c r="R172" i="3"/>
  <c r="V172" i="3"/>
  <c r="X172" i="3" s="1"/>
  <c r="K171" i="3"/>
  <c r="R171" i="3"/>
  <c r="V171" i="3"/>
  <c r="X171" i="3" s="1"/>
  <c r="K170" i="3"/>
  <c r="R170" i="3"/>
  <c r="V170" i="3"/>
  <c r="X170" i="3" s="1"/>
  <c r="K169" i="3"/>
  <c r="R169" i="3"/>
  <c r="V169" i="3"/>
  <c r="X169" i="3" s="1"/>
  <c r="K168" i="3"/>
  <c r="R168" i="3"/>
  <c r="V168" i="3"/>
  <c r="X168" i="3" s="1"/>
  <c r="K167" i="3"/>
  <c r="R167" i="3"/>
  <c r="V167" i="3"/>
  <c r="X167" i="3" s="1"/>
  <c r="K166" i="3"/>
  <c r="R166" i="3"/>
  <c r="V166" i="3"/>
  <c r="X166" i="3" s="1"/>
  <c r="K165" i="3"/>
  <c r="R165" i="3"/>
  <c r="V165" i="3"/>
  <c r="X165" i="3" s="1"/>
  <c r="K164" i="3"/>
  <c r="R164" i="3"/>
  <c r="V164" i="3"/>
  <c r="X164" i="3" s="1"/>
  <c r="K163" i="3"/>
  <c r="R163" i="3"/>
  <c r="V163" i="3"/>
  <c r="X163" i="3" s="1"/>
  <c r="K162" i="3"/>
  <c r="R162" i="3"/>
  <c r="V162" i="3"/>
  <c r="X162" i="3" s="1"/>
  <c r="K161" i="3"/>
  <c r="R161" i="3"/>
  <c r="V161" i="3"/>
  <c r="X161" i="3" s="1"/>
  <c r="K160" i="3"/>
  <c r="R160" i="3"/>
  <c r="V160" i="3"/>
  <c r="X160" i="3" s="1"/>
  <c r="K159" i="3"/>
  <c r="R159" i="3"/>
  <c r="V159" i="3"/>
  <c r="X159" i="3" s="1"/>
  <c r="K158" i="3"/>
  <c r="R158" i="3"/>
  <c r="V158" i="3"/>
  <c r="X158" i="3" s="1"/>
  <c r="K157" i="3"/>
  <c r="R157" i="3"/>
  <c r="V157" i="3"/>
  <c r="X157" i="3" s="1"/>
  <c r="K156" i="3"/>
  <c r="R156" i="3"/>
  <c r="V156" i="3"/>
  <c r="X156" i="3" s="1"/>
  <c r="K155" i="3"/>
  <c r="R155" i="3"/>
  <c r="V155" i="3"/>
  <c r="X155" i="3" s="1"/>
  <c r="K153" i="3"/>
  <c r="R153" i="3"/>
  <c r="V153" i="3"/>
  <c r="X153" i="3" s="1"/>
  <c r="K152" i="3"/>
  <c r="R152" i="3"/>
  <c r="V152" i="3"/>
  <c r="X152" i="3" s="1"/>
  <c r="K151" i="3"/>
  <c r="R151" i="3"/>
  <c r="V151" i="3"/>
  <c r="X151" i="3" s="1"/>
  <c r="K150" i="3"/>
  <c r="R150" i="3"/>
  <c r="V150" i="3"/>
  <c r="X150" i="3" s="1"/>
  <c r="K149" i="3"/>
  <c r="R149" i="3"/>
  <c r="V149" i="3"/>
  <c r="X149" i="3" s="1"/>
  <c r="K148" i="3"/>
  <c r="R148" i="3"/>
  <c r="V148" i="3"/>
  <c r="X148" i="3" s="1"/>
  <c r="K147" i="3"/>
  <c r="R147" i="3"/>
  <c r="V147" i="3"/>
  <c r="X147" i="3" s="1"/>
  <c r="K146" i="3"/>
  <c r="R146" i="3"/>
  <c r="V146" i="3"/>
  <c r="X146" i="3" s="1"/>
  <c r="K145" i="3"/>
  <c r="R145" i="3"/>
  <c r="V145" i="3"/>
  <c r="X145" i="3" s="1"/>
  <c r="K144" i="3"/>
  <c r="R144" i="3"/>
  <c r="V144" i="3"/>
  <c r="X144" i="3" s="1"/>
  <c r="K143" i="3"/>
  <c r="R143" i="3"/>
  <c r="V143" i="3"/>
  <c r="X143" i="3" s="1"/>
  <c r="K142" i="3"/>
  <c r="R142" i="3"/>
  <c r="V142" i="3"/>
  <c r="X142" i="3" s="1"/>
  <c r="K141" i="3"/>
  <c r="R141" i="3"/>
  <c r="V141" i="3"/>
  <c r="X141" i="3" s="1"/>
  <c r="K140" i="3"/>
  <c r="R140" i="3"/>
  <c r="V140" i="3"/>
  <c r="X140" i="3" s="1"/>
  <c r="K139" i="3"/>
  <c r="R139" i="3"/>
  <c r="V139" i="3"/>
  <c r="X139" i="3" s="1"/>
  <c r="K138" i="3"/>
  <c r="R138" i="3"/>
  <c r="V138" i="3"/>
  <c r="X138" i="3" s="1"/>
  <c r="K137" i="3"/>
  <c r="R137" i="3"/>
  <c r="V137" i="3"/>
  <c r="X137" i="3" s="1"/>
  <c r="K136" i="3"/>
  <c r="R136" i="3"/>
  <c r="V136" i="3"/>
  <c r="X136" i="3" s="1"/>
  <c r="K135" i="3"/>
  <c r="R135" i="3"/>
  <c r="V135" i="3"/>
  <c r="X135" i="3" s="1"/>
  <c r="K134" i="3"/>
  <c r="R134" i="3"/>
  <c r="V134" i="3"/>
  <c r="X134" i="3" s="1"/>
  <c r="K133" i="3"/>
  <c r="R133" i="3"/>
  <c r="V133" i="3"/>
  <c r="X133" i="3" s="1"/>
  <c r="K132" i="3"/>
  <c r="R132" i="3"/>
  <c r="V132" i="3"/>
  <c r="X132" i="3" s="1"/>
  <c r="K131" i="3"/>
  <c r="R131" i="3"/>
  <c r="V131" i="3"/>
  <c r="X131" i="3" s="1"/>
  <c r="K130" i="3"/>
  <c r="R130" i="3"/>
  <c r="V130" i="3"/>
  <c r="X130" i="3" s="1"/>
  <c r="K129" i="3"/>
  <c r="R129" i="3"/>
  <c r="V129" i="3"/>
  <c r="X129" i="3" s="1"/>
  <c r="K128" i="3"/>
  <c r="R128" i="3"/>
  <c r="V128" i="3"/>
  <c r="X128" i="3" s="1"/>
  <c r="K127" i="3"/>
  <c r="R127" i="3"/>
  <c r="V127" i="3"/>
  <c r="X127" i="3" s="1"/>
  <c r="K126" i="3"/>
  <c r="R126" i="3"/>
  <c r="V126" i="3"/>
  <c r="X126" i="3" s="1"/>
  <c r="K125" i="3"/>
  <c r="R125" i="3"/>
  <c r="V125" i="3"/>
  <c r="X125" i="3" s="1"/>
  <c r="K124" i="3"/>
  <c r="R124" i="3"/>
  <c r="V124" i="3"/>
  <c r="X124" i="3" s="1"/>
  <c r="K123" i="3"/>
  <c r="R123" i="3"/>
  <c r="V123" i="3"/>
  <c r="X123" i="3" s="1"/>
  <c r="K122" i="3"/>
  <c r="R122" i="3"/>
  <c r="V122" i="3"/>
  <c r="X122" i="3" s="1"/>
  <c r="K121" i="3"/>
  <c r="R121" i="3"/>
  <c r="V121" i="3"/>
  <c r="X121" i="3" s="1"/>
  <c r="K120" i="3"/>
  <c r="R120" i="3"/>
  <c r="V120" i="3"/>
  <c r="X120" i="3" s="1"/>
  <c r="R119" i="3"/>
  <c r="V119" i="3"/>
  <c r="X119" i="3" s="1"/>
  <c r="K119" i="3"/>
  <c r="R118" i="3"/>
  <c r="V118" i="3"/>
  <c r="X118" i="3" s="1"/>
  <c r="K118" i="3"/>
  <c r="R117" i="3"/>
  <c r="K117" i="3"/>
  <c r="V117" i="3"/>
  <c r="X117" i="3" s="1"/>
  <c r="R116" i="3"/>
  <c r="K116" i="3"/>
  <c r="V116" i="3"/>
  <c r="X116" i="3" s="1"/>
  <c r="R115" i="3"/>
  <c r="K115" i="3"/>
  <c r="V115" i="3"/>
  <c r="X115" i="3" s="1"/>
  <c r="R114" i="3"/>
  <c r="V114" i="3"/>
  <c r="X114" i="3" s="1"/>
  <c r="K114" i="3"/>
  <c r="R113" i="3"/>
  <c r="K113" i="3"/>
  <c r="V113" i="3"/>
  <c r="X113" i="3" s="1"/>
  <c r="V112" i="3"/>
  <c r="X112" i="3" s="1"/>
  <c r="K112" i="3"/>
  <c r="R112" i="3"/>
  <c r="V111" i="3"/>
  <c r="X111" i="3" s="1"/>
  <c r="K111" i="3"/>
  <c r="R111" i="3"/>
  <c r="V110" i="3"/>
  <c r="X110" i="3" s="1"/>
  <c r="K110" i="3"/>
  <c r="R110" i="3"/>
  <c r="R109" i="3"/>
  <c r="V109" i="3"/>
  <c r="X109" i="3" s="1"/>
  <c r="K109" i="3"/>
  <c r="V108" i="3"/>
  <c r="X108" i="3" s="1"/>
  <c r="K108" i="3"/>
  <c r="R108" i="3"/>
  <c r="V107" i="3"/>
  <c r="X107" i="3" s="1"/>
  <c r="K107" i="3"/>
  <c r="R107" i="3"/>
  <c r="V106" i="3"/>
  <c r="X106" i="3" s="1"/>
  <c r="K106" i="3"/>
  <c r="R106" i="3"/>
  <c r="R105" i="3"/>
  <c r="K105" i="3"/>
  <c r="V105" i="3"/>
  <c r="X105" i="3" s="1"/>
  <c r="K104" i="3"/>
  <c r="R104" i="3"/>
  <c r="V104" i="3"/>
  <c r="X104" i="3" s="1"/>
  <c r="R103" i="3"/>
  <c r="V103" i="3"/>
  <c r="X103" i="3" s="1"/>
  <c r="K103" i="3"/>
  <c r="R102" i="3"/>
  <c r="V102" i="3"/>
  <c r="X102" i="3" s="1"/>
  <c r="K102" i="3"/>
  <c r="R101" i="3"/>
  <c r="K101" i="3"/>
  <c r="V101" i="3"/>
  <c r="X101" i="3" s="1"/>
  <c r="R100" i="3"/>
  <c r="V100" i="3"/>
  <c r="X100" i="3" s="1"/>
  <c r="K100" i="3"/>
  <c r="K99" i="3"/>
  <c r="R99" i="3"/>
  <c r="V99" i="3"/>
  <c r="X99" i="3" s="1"/>
  <c r="V98" i="3"/>
  <c r="X98" i="3" s="1"/>
  <c r="K98" i="3"/>
  <c r="R98" i="3"/>
  <c r="R97" i="3"/>
  <c r="K97" i="3"/>
  <c r="V97" i="3"/>
  <c r="X97" i="3" s="1"/>
  <c r="V96" i="3"/>
  <c r="X96" i="3" s="1"/>
  <c r="K96" i="3"/>
  <c r="R96" i="3"/>
  <c r="K95" i="3"/>
  <c r="V95" i="3"/>
  <c r="X95" i="3" s="1"/>
  <c r="R95" i="3"/>
  <c r="R94" i="3"/>
  <c r="K94" i="3"/>
  <c r="V94" i="3"/>
  <c r="X94" i="3" s="1"/>
  <c r="K93" i="3"/>
  <c r="R93" i="3"/>
  <c r="V93" i="3"/>
  <c r="X93" i="3" s="1"/>
  <c r="V92" i="3"/>
  <c r="X92" i="3" s="1"/>
  <c r="K92" i="3"/>
  <c r="R92" i="3"/>
  <c r="V91" i="3"/>
  <c r="X91" i="3" s="1"/>
  <c r="K91" i="3"/>
  <c r="R91" i="3"/>
  <c r="V90" i="3"/>
  <c r="X90" i="3" s="1"/>
  <c r="K90" i="3"/>
  <c r="R90" i="3"/>
  <c r="K89" i="3"/>
  <c r="V89" i="3"/>
  <c r="X89" i="3" s="1"/>
  <c r="R89" i="3"/>
  <c r="R88" i="3"/>
  <c r="K88" i="3"/>
  <c r="V88" i="3"/>
  <c r="X88" i="3" s="1"/>
  <c r="R87" i="3"/>
  <c r="K87" i="3"/>
  <c r="V87" i="3"/>
  <c r="X87" i="3" s="1"/>
  <c r="R86" i="3"/>
  <c r="V86" i="3"/>
  <c r="X86" i="3" s="1"/>
  <c r="K86" i="3"/>
  <c r="V85" i="3"/>
  <c r="X85" i="3" s="1"/>
  <c r="K85" i="3"/>
  <c r="R85" i="3"/>
  <c r="R84" i="3"/>
  <c r="V84" i="3"/>
  <c r="X84" i="3" s="1"/>
  <c r="K84" i="3"/>
  <c r="R83" i="3"/>
  <c r="K83" i="3"/>
  <c r="V83" i="3"/>
  <c r="X83" i="3" s="1"/>
  <c r="K82" i="3"/>
  <c r="R82" i="3"/>
  <c r="V82" i="3"/>
  <c r="X82" i="3" s="1"/>
  <c r="R81" i="3"/>
  <c r="V81" i="3"/>
  <c r="X81" i="3" s="1"/>
  <c r="K81" i="3"/>
  <c r="R80" i="3"/>
  <c r="V80" i="3"/>
  <c r="X80" i="3" s="1"/>
  <c r="K80" i="3"/>
  <c r="K79" i="3"/>
  <c r="V79" i="3"/>
  <c r="X79" i="3" s="1"/>
  <c r="R79" i="3"/>
  <c r="R78" i="3"/>
  <c r="K78" i="3"/>
  <c r="V78" i="3"/>
  <c r="X78" i="3" s="1"/>
  <c r="R77" i="3"/>
  <c r="V77" i="3"/>
  <c r="X77" i="3" s="1"/>
  <c r="K77" i="3"/>
  <c r="R76" i="3"/>
  <c r="K76" i="3"/>
  <c r="V76" i="3"/>
  <c r="X76" i="3" s="1"/>
  <c r="K75" i="3"/>
  <c r="R75" i="3"/>
  <c r="V75" i="3"/>
  <c r="X75" i="3" s="1"/>
  <c r="K74" i="3"/>
  <c r="R74" i="3"/>
  <c r="V74" i="3"/>
  <c r="X74" i="3" s="1"/>
  <c r="V73" i="3"/>
  <c r="X73" i="3" s="1"/>
  <c r="R73" i="3"/>
  <c r="K73" i="3"/>
  <c r="V72" i="3"/>
  <c r="X72" i="3" s="1"/>
  <c r="K72" i="3"/>
  <c r="R72" i="3"/>
  <c r="V71" i="3"/>
  <c r="X71" i="3" s="1"/>
  <c r="K71" i="3"/>
  <c r="R71" i="3"/>
  <c r="R70" i="3"/>
  <c r="V70" i="3"/>
  <c r="X70" i="3" s="1"/>
  <c r="K70" i="3"/>
  <c r="R69" i="3"/>
  <c r="K69" i="3"/>
  <c r="V69" i="3"/>
  <c r="X69" i="3" s="1"/>
  <c r="R68" i="3"/>
  <c r="V68" i="3"/>
  <c r="X68" i="3" s="1"/>
  <c r="K68" i="3"/>
  <c r="K67" i="3"/>
  <c r="R67" i="3"/>
  <c r="V67" i="3"/>
  <c r="X67" i="3" s="1"/>
  <c r="K66" i="3"/>
  <c r="R66" i="3"/>
  <c r="V66" i="3"/>
  <c r="X66" i="3" s="1"/>
  <c r="K65" i="3"/>
  <c r="V65" i="3"/>
  <c r="X65" i="3" s="1"/>
  <c r="R65" i="3"/>
  <c r="K64" i="3"/>
  <c r="R64" i="3"/>
  <c r="V64" i="3"/>
  <c r="X64" i="3" s="1"/>
  <c r="V63" i="3"/>
  <c r="X63" i="3" s="1"/>
  <c r="K63" i="3"/>
  <c r="R63" i="3"/>
  <c r="R62" i="3"/>
  <c r="V62" i="3"/>
  <c r="X62" i="3" s="1"/>
  <c r="K62" i="3"/>
  <c r="V61" i="3"/>
  <c r="X61" i="3" s="1"/>
  <c r="R61" i="3"/>
  <c r="K61" i="3"/>
  <c r="V60" i="3"/>
  <c r="X60" i="3" s="1"/>
  <c r="K60" i="3"/>
  <c r="R60" i="3"/>
  <c r="R59" i="3"/>
  <c r="V59" i="3"/>
  <c r="X59" i="3" s="1"/>
  <c r="K59" i="3"/>
  <c r="V58" i="3"/>
  <c r="X58" i="3" s="1"/>
  <c r="R58" i="3"/>
  <c r="K58" i="3"/>
  <c r="R57" i="3"/>
  <c r="K57" i="3"/>
  <c r="V57" i="3"/>
  <c r="X57" i="3" s="1"/>
  <c r="V56" i="3"/>
  <c r="X56" i="3" s="1"/>
  <c r="K56" i="3"/>
  <c r="R56" i="3"/>
  <c r="K55" i="3"/>
  <c r="V55" i="3"/>
  <c r="X55" i="3" s="1"/>
  <c r="R55" i="3"/>
  <c r="V54" i="3"/>
  <c r="X54" i="3" s="1"/>
  <c r="R54" i="3"/>
  <c r="K54" i="3"/>
  <c r="V53" i="3"/>
  <c r="X53" i="3" s="1"/>
  <c r="R53" i="3"/>
  <c r="K53" i="3"/>
  <c r="K52" i="3"/>
  <c r="R52" i="3"/>
  <c r="V52" i="3"/>
  <c r="X52" i="3" s="1"/>
  <c r="V51" i="3"/>
  <c r="X51" i="3" s="1"/>
  <c r="R51" i="3"/>
  <c r="K51" i="3"/>
  <c r="K50" i="3"/>
  <c r="R50" i="3"/>
  <c r="V50" i="3"/>
  <c r="X50" i="3" s="1"/>
  <c r="R49" i="3"/>
  <c r="K49" i="3"/>
  <c r="V49" i="3"/>
  <c r="X49" i="3" s="1"/>
  <c r="K48" i="3"/>
  <c r="R48" i="3"/>
  <c r="V48" i="3"/>
  <c r="X48" i="3" s="1"/>
  <c r="R47" i="3"/>
  <c r="K47" i="3"/>
  <c r="V47" i="3"/>
  <c r="X47" i="3" s="1"/>
  <c r="V46" i="3"/>
  <c r="X46" i="3" s="1"/>
  <c r="R46" i="3"/>
  <c r="K46" i="3"/>
  <c r="K45" i="3"/>
  <c r="R45" i="3"/>
  <c r="V45" i="3"/>
  <c r="X45" i="3" s="1"/>
  <c r="V44" i="3"/>
  <c r="X44" i="3" s="1"/>
  <c r="K44" i="3"/>
  <c r="R44" i="3"/>
  <c r="K43" i="3"/>
  <c r="R43" i="3"/>
  <c r="V43" i="3"/>
  <c r="X43" i="3" s="1"/>
  <c r="K42" i="3"/>
  <c r="V42" i="3"/>
  <c r="X42" i="3" s="1"/>
  <c r="R42" i="3"/>
  <c r="K41" i="3"/>
  <c r="R41" i="3"/>
  <c r="V41" i="3"/>
  <c r="X41" i="3" s="1"/>
  <c r="K40" i="3"/>
  <c r="V40" i="3"/>
  <c r="X40" i="3" s="1"/>
  <c r="R40" i="3"/>
  <c r="K39" i="3"/>
  <c r="R39" i="3"/>
  <c r="V39" i="3"/>
  <c r="X39" i="3" s="1"/>
  <c r="K38" i="3"/>
  <c r="R38" i="3"/>
  <c r="V38" i="3"/>
  <c r="X38" i="3" s="1"/>
  <c r="R37" i="3"/>
  <c r="V37" i="3"/>
  <c r="X37" i="3" s="1"/>
  <c r="K37" i="3"/>
  <c r="V36" i="3"/>
  <c r="X36" i="3" s="1"/>
  <c r="R36" i="3"/>
  <c r="K36" i="3"/>
  <c r="V35" i="3"/>
  <c r="X35" i="3" s="1"/>
  <c r="R35" i="3"/>
  <c r="K35" i="3"/>
  <c r="K34" i="3"/>
  <c r="V34" i="3"/>
  <c r="X34" i="3" s="1"/>
  <c r="R34" i="3"/>
  <c r="K33" i="3"/>
  <c r="V33" i="3"/>
  <c r="X33" i="3" s="1"/>
  <c r="R33" i="3"/>
  <c r="K32" i="3"/>
  <c r="R32" i="3"/>
  <c r="V32" i="3"/>
  <c r="X32" i="3" s="1"/>
  <c r="K31" i="3"/>
  <c r="V31" i="3"/>
  <c r="X31" i="3" s="1"/>
  <c r="R31" i="3"/>
  <c r="V30" i="3"/>
  <c r="X30" i="3" s="1"/>
  <c r="K30" i="3"/>
  <c r="R30" i="3"/>
  <c r="K29" i="3"/>
  <c r="R29" i="3"/>
  <c r="V29" i="3"/>
  <c r="X29" i="3" s="1"/>
  <c r="K28" i="3"/>
  <c r="R28" i="3"/>
  <c r="V28" i="3"/>
  <c r="X28" i="3" s="1"/>
  <c r="K27" i="3"/>
  <c r="R27" i="3"/>
  <c r="V27" i="3"/>
  <c r="X27" i="3" s="1"/>
  <c r="K26" i="3"/>
  <c r="R26" i="3"/>
  <c r="V26" i="3"/>
  <c r="X26" i="3" s="1"/>
  <c r="V25" i="3"/>
  <c r="X25" i="3" s="1"/>
  <c r="K25" i="3"/>
  <c r="R25" i="3"/>
  <c r="R24" i="3"/>
  <c r="V24" i="3"/>
  <c r="X24" i="3" s="1"/>
  <c r="K24" i="3"/>
  <c r="R23" i="3"/>
  <c r="K23" i="3"/>
  <c r="V23" i="3"/>
  <c r="X23" i="3" s="1"/>
  <c r="V22" i="3"/>
  <c r="X22" i="3" s="1"/>
  <c r="K22" i="3"/>
  <c r="R22" i="3"/>
  <c r="V21" i="3"/>
  <c r="X21" i="3" s="1"/>
  <c r="K21" i="3"/>
  <c r="R21" i="3"/>
  <c r="V20" i="3"/>
  <c r="X20" i="3" s="1"/>
  <c r="R20" i="3"/>
  <c r="K20" i="3"/>
  <c r="V19" i="3"/>
  <c r="X19" i="3" s="1"/>
  <c r="R19" i="3"/>
  <c r="K19" i="3"/>
  <c r="V18" i="3"/>
  <c r="X18" i="3" s="1"/>
  <c r="K18" i="3"/>
  <c r="R18" i="3"/>
  <c r="V17" i="3"/>
  <c r="X17" i="3" s="1"/>
  <c r="K17" i="3"/>
  <c r="R17" i="3"/>
  <c r="R16" i="3"/>
  <c r="K16" i="3"/>
  <c r="V16" i="3"/>
  <c r="X16" i="3" s="1"/>
  <c r="R15" i="3"/>
  <c r="V15" i="3"/>
  <c r="X15" i="3" s="1"/>
  <c r="K15" i="3"/>
  <c r="K14" i="3"/>
  <c r="R14" i="3"/>
  <c r="V14" i="3"/>
  <c r="X14" i="3" s="1"/>
  <c r="K13" i="3"/>
  <c r="R13" i="3"/>
  <c r="V13" i="3"/>
  <c r="X13" i="3" s="1"/>
  <c r="R12" i="3"/>
  <c r="V12" i="3"/>
  <c r="X12" i="3" s="1"/>
  <c r="K12" i="3"/>
  <c r="R11" i="3"/>
  <c r="V11" i="3"/>
  <c r="X11" i="3" s="1"/>
  <c r="K11" i="3"/>
  <c r="V10" i="3"/>
  <c r="X10" i="3" s="1"/>
  <c r="R10" i="3"/>
  <c r="K10" i="3"/>
  <c r="V9" i="3"/>
  <c r="E37" i="8"/>
  <c r="K9" i="3"/>
  <c r="R9" i="3"/>
  <c r="X9" i="3"/>
  <c r="B5" i="3"/>
  <c r="B6" i="3" s="1"/>
  <c r="N191" i="3"/>
  <c r="N301" i="3"/>
  <c r="N374" i="3"/>
  <c r="B6" i="5"/>
  <c r="B7" i="5"/>
  <c r="B8" i="5"/>
  <c r="B9" i="5"/>
  <c r="B10" i="5"/>
  <c r="B11" i="5"/>
  <c r="B12" i="5"/>
  <c r="B13" i="5"/>
  <c r="B14" i="5"/>
  <c r="B15" i="5"/>
  <c r="B16" i="5"/>
  <c r="B17" i="5"/>
  <c r="B18" i="5"/>
  <c r="N9" i="3"/>
  <c r="S7" i="7"/>
  <c r="T7" i="7"/>
  <c r="R8" i="7"/>
  <c r="B6" i="4"/>
  <c r="C6" i="4"/>
  <c r="D6" i="4"/>
  <c r="E6" i="4"/>
  <c r="F6" i="4"/>
  <c r="A7" i="4"/>
  <c r="N382" i="3"/>
  <c r="N381" i="3"/>
  <c r="N380" i="3"/>
  <c r="N379" i="3"/>
  <c r="N378" i="3"/>
  <c r="N377" i="3"/>
  <c r="N376" i="3"/>
  <c r="N375" i="3"/>
  <c r="X374" i="3"/>
  <c r="N373" i="3"/>
  <c r="N372" i="3"/>
  <c r="N371" i="3"/>
  <c r="N370" i="3"/>
  <c r="N369" i="3"/>
  <c r="N368" i="3"/>
  <c r="N367" i="3"/>
  <c r="N366" i="3"/>
  <c r="N365" i="3"/>
  <c r="N364" i="3"/>
  <c r="N363" i="3"/>
  <c r="N362" i="3"/>
  <c r="N361" i="3"/>
  <c r="N360" i="3"/>
  <c r="N359" i="3"/>
  <c r="N237" i="3"/>
  <c r="N236" i="3"/>
  <c r="N235" i="3"/>
  <c r="N234" i="3"/>
  <c r="N230" i="3"/>
  <c r="N226" i="3"/>
  <c r="N220" i="3"/>
  <c r="N213" i="3"/>
  <c r="N206" i="3"/>
  <c r="N358" i="3"/>
  <c r="N357" i="3"/>
  <c r="N356" i="3"/>
  <c r="N355" i="3"/>
  <c r="N354" i="3"/>
  <c r="N353" i="3"/>
  <c r="N352" i="3"/>
  <c r="N351" i="3"/>
  <c r="N350" i="3"/>
  <c r="N349" i="3"/>
  <c r="N348" i="3"/>
  <c r="N347" i="3"/>
  <c r="N346" i="3"/>
  <c r="N345" i="3"/>
  <c r="N344" i="3"/>
  <c r="N343" i="3"/>
  <c r="N342" i="3"/>
  <c r="N341" i="3"/>
  <c r="N340" i="3"/>
  <c r="N339" i="3"/>
  <c r="N338" i="3"/>
  <c r="N337" i="3"/>
  <c r="N336" i="3"/>
  <c r="N335" i="3"/>
  <c r="N334" i="3"/>
  <c r="N333" i="3"/>
  <c r="N332" i="3"/>
  <c r="N331" i="3"/>
  <c r="N330" i="3"/>
  <c r="N329" i="3"/>
  <c r="N328" i="3"/>
  <c r="N327" i="3"/>
  <c r="N315" i="3"/>
  <c r="N314" i="3"/>
  <c r="N313" i="3"/>
  <c r="N312" i="3"/>
  <c r="N311" i="3"/>
  <c r="N310" i="3"/>
  <c r="N309" i="3"/>
  <c r="N308" i="3"/>
  <c r="N307" i="3"/>
  <c r="N306" i="3"/>
  <c r="N305" i="3"/>
  <c r="N304" i="3"/>
  <c r="N303" i="3"/>
  <c r="N302" i="3"/>
  <c r="X301" i="3"/>
  <c r="N300" i="3"/>
  <c r="N299" i="3"/>
  <c r="N298" i="3"/>
  <c r="N297" i="3"/>
  <c r="N296" i="3"/>
  <c r="N295" i="3"/>
  <c r="N294" i="3"/>
  <c r="N266" i="3"/>
  <c r="N264" i="3"/>
  <c r="N263" i="3"/>
  <c r="N262" i="3"/>
  <c r="N261" i="3"/>
  <c r="N260" i="3"/>
  <c r="N259" i="3"/>
  <c r="N258" i="3"/>
  <c r="N256" i="3"/>
  <c r="N254" i="3"/>
  <c r="N252" i="3"/>
  <c r="N250" i="3"/>
  <c r="N249" i="3"/>
  <c r="N246" i="3"/>
  <c r="N244" i="3"/>
  <c r="N243" i="3"/>
  <c r="N241" i="3"/>
  <c r="N240" i="3"/>
  <c r="N239" i="3"/>
  <c r="N238" i="3"/>
  <c r="N228" i="3"/>
  <c r="N225" i="3"/>
  <c r="N224" i="3"/>
  <c r="N222" i="3"/>
  <c r="N221" i="3"/>
  <c r="N209" i="3"/>
  <c r="N204" i="3"/>
  <c r="N326" i="3"/>
  <c r="N325" i="3"/>
  <c r="N324" i="3"/>
  <c r="N323" i="3"/>
  <c r="N322" i="3"/>
  <c r="N321" i="3"/>
  <c r="N320" i="3"/>
  <c r="N319" i="3"/>
  <c r="N318" i="3"/>
  <c r="N317" i="3"/>
  <c r="N316" i="3"/>
  <c r="N293" i="3"/>
  <c r="N292" i="3"/>
  <c r="N291" i="3"/>
  <c r="N290" i="3"/>
  <c r="N289" i="3"/>
  <c r="N288" i="3"/>
  <c r="N287" i="3"/>
  <c r="N286" i="3"/>
  <c r="N285" i="3"/>
  <c r="N284" i="3"/>
  <c r="N283" i="3"/>
  <c r="N282" i="3"/>
  <c r="N281" i="3"/>
  <c r="N280" i="3"/>
  <c r="N279" i="3"/>
  <c r="N278" i="3"/>
  <c r="N277" i="3"/>
  <c r="N276" i="3"/>
  <c r="N275" i="3"/>
  <c r="N274" i="3"/>
  <c r="N273" i="3"/>
  <c r="N272" i="3"/>
  <c r="N271" i="3"/>
  <c r="N270" i="3"/>
  <c r="N269" i="3"/>
  <c r="N268" i="3"/>
  <c r="N267" i="3"/>
  <c r="N265" i="3"/>
  <c r="N257" i="3"/>
  <c r="N255" i="3"/>
  <c r="N253" i="3"/>
  <c r="N251" i="3"/>
  <c r="N248" i="3"/>
  <c r="N247" i="3"/>
  <c r="N245" i="3"/>
  <c r="N242" i="3"/>
  <c r="N232" i="3"/>
  <c r="N219" i="3"/>
  <c r="N201" i="3"/>
  <c r="N198" i="3"/>
  <c r="N197" i="3"/>
  <c r="N196" i="3"/>
  <c r="N195" i="3"/>
  <c r="N194" i="3"/>
  <c r="N193" i="3"/>
  <c r="N192" i="3"/>
  <c r="X191" i="3"/>
  <c r="N190" i="3"/>
  <c r="N189" i="3"/>
  <c r="N188" i="3"/>
  <c r="N187" i="3"/>
  <c r="N186" i="3"/>
  <c r="N185" i="3"/>
  <c r="N184" i="3"/>
  <c r="N183" i="3"/>
  <c r="N182" i="3"/>
  <c r="N181" i="3"/>
  <c r="N180" i="3"/>
  <c r="N179" i="3"/>
  <c r="N178" i="3"/>
  <c r="N177" i="3"/>
  <c r="N176" i="3"/>
  <c r="N175" i="3"/>
  <c r="N174" i="3"/>
  <c r="N173" i="3"/>
  <c r="N172" i="3"/>
  <c r="N171" i="3"/>
  <c r="N170" i="3"/>
  <c r="N169" i="3"/>
  <c r="N168" i="3"/>
  <c r="N167" i="3"/>
  <c r="N148" i="3"/>
  <c r="N147" i="3"/>
  <c r="N146" i="3"/>
  <c r="N145" i="3"/>
  <c r="N144" i="3"/>
  <c r="N143" i="3"/>
  <c r="N142" i="3"/>
  <c r="N141" i="3"/>
  <c r="N140" i="3"/>
  <c r="N138" i="3"/>
  <c r="N137" i="3"/>
  <c r="N136" i="3"/>
  <c r="N135" i="3"/>
  <c r="N84" i="3"/>
  <c r="N83" i="3"/>
  <c r="N81" i="3"/>
  <c r="N79" i="3"/>
  <c r="N78" i="3"/>
  <c r="N74" i="3"/>
  <c r="N73" i="3"/>
  <c r="N72" i="3"/>
  <c r="N53" i="3"/>
  <c r="N51" i="3"/>
  <c r="N49" i="3"/>
  <c r="N47" i="3"/>
  <c r="N46" i="3"/>
  <c r="N45" i="3"/>
  <c r="N44" i="3"/>
  <c r="N43" i="3"/>
  <c r="N32" i="3"/>
  <c r="N30" i="3"/>
  <c r="N29" i="3"/>
  <c r="N23" i="3"/>
  <c r="N215" i="3"/>
  <c r="N212" i="3"/>
  <c r="N210" i="3"/>
  <c r="N207" i="3"/>
  <c r="N166" i="3"/>
  <c r="N165" i="3"/>
  <c r="N164" i="3"/>
  <c r="N163" i="3"/>
  <c r="N162" i="3"/>
  <c r="N161" i="3"/>
  <c r="N160" i="3"/>
  <c r="N159" i="3"/>
  <c r="N158" i="3"/>
  <c r="N157" i="3"/>
  <c r="N156" i="3"/>
  <c r="N155" i="3"/>
  <c r="N154" i="3"/>
  <c r="N153" i="3"/>
  <c r="N152" i="3"/>
  <c r="N151" i="3"/>
  <c r="N150" i="3"/>
  <c r="N149" i="3"/>
  <c r="N139" i="3"/>
  <c r="N85" i="3"/>
  <c r="N82" i="3"/>
  <c r="N76" i="3"/>
  <c r="N75" i="3"/>
  <c r="N34" i="3"/>
  <c r="N25" i="3"/>
  <c r="N21" i="3"/>
  <c r="N20" i="3"/>
  <c r="N14" i="3"/>
  <c r="N12" i="3"/>
  <c r="N11" i="3"/>
  <c r="N227" i="3"/>
  <c r="N217" i="3"/>
  <c r="N211" i="3"/>
  <c r="N208" i="3"/>
  <c r="N20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0" i="3"/>
  <c r="N77" i="3"/>
  <c r="N71" i="3"/>
  <c r="N52" i="3"/>
  <c r="N42" i="3"/>
  <c r="N41" i="3"/>
  <c r="N40" i="3"/>
  <c r="N36" i="3"/>
  <c r="N35" i="3"/>
  <c r="N31" i="3"/>
  <c r="N28" i="3"/>
  <c r="N26" i="3"/>
  <c r="N24" i="3"/>
  <c r="N19" i="3"/>
  <c r="N18" i="3"/>
  <c r="N16" i="3"/>
  <c r="N15" i="3"/>
  <c r="N13" i="3"/>
  <c r="N233" i="3"/>
  <c r="N231" i="3"/>
  <c r="N229" i="3"/>
  <c r="N214" i="3"/>
  <c r="N202" i="3"/>
  <c r="N70" i="3"/>
  <c r="N69" i="3"/>
  <c r="N68" i="3"/>
  <c r="N67" i="3"/>
  <c r="N66" i="3"/>
  <c r="N65" i="3"/>
  <c r="N64" i="3"/>
  <c r="N63" i="3"/>
  <c r="N62" i="3"/>
  <c r="N61" i="3"/>
  <c r="N60" i="3"/>
  <c r="N59" i="3"/>
  <c r="N58" i="3"/>
  <c r="N57" i="3"/>
  <c r="N56" i="3"/>
  <c r="N55" i="3"/>
  <c r="N54" i="3"/>
  <c r="N50" i="3"/>
  <c r="N48" i="3"/>
  <c r="N39" i="3"/>
  <c r="N38" i="3"/>
  <c r="N37" i="3"/>
  <c r="N33" i="3"/>
  <c r="N27" i="3"/>
  <c r="N22" i="3"/>
  <c r="N17" i="3"/>
  <c r="N10" i="3"/>
  <c r="N223" i="3"/>
  <c r="N218" i="3"/>
  <c r="N216" i="3"/>
  <c r="N203" i="3"/>
  <c r="D10" i="6" l="1"/>
  <c r="C10" i="6"/>
  <c r="G10" i="6" s="1"/>
  <c r="B10" i="6"/>
  <c r="E10" i="6"/>
  <c r="Z11" i="7"/>
  <c r="AA11" i="7"/>
  <c r="AB11" i="7"/>
  <c r="AC11" i="7" s="1"/>
  <c r="C9" i="6"/>
  <c r="D9" i="6"/>
  <c r="E9" i="6"/>
  <c r="B9" i="6"/>
  <c r="Z10" i="7"/>
  <c r="AB10" i="7"/>
  <c r="AC10" i="7" s="1"/>
  <c r="AA10" i="7"/>
  <c r="B6" i="6"/>
  <c r="C6" i="6"/>
  <c r="D6" i="6"/>
  <c r="E6" i="6"/>
  <c r="Z7" i="7"/>
  <c r="AA7" i="7"/>
  <c r="AB7" i="7"/>
  <c r="AC7" i="7" s="1"/>
  <c r="B7" i="6"/>
  <c r="C7" i="6"/>
  <c r="D7" i="6"/>
  <c r="E7" i="6"/>
  <c r="Z8" i="7"/>
  <c r="AA8" i="7"/>
  <c r="AB8" i="7"/>
  <c r="AC8" i="7" s="1"/>
  <c r="C34" i="8"/>
  <c r="F34" i="8"/>
  <c r="C35" i="8"/>
  <c r="F35" i="8"/>
  <c r="C36" i="8"/>
  <c r="F36" i="8"/>
  <c r="B8" i="6"/>
  <c r="C8" i="6"/>
  <c r="G8" i="6" s="1"/>
  <c r="D8" i="6"/>
  <c r="E8" i="6"/>
  <c r="D9" i="7"/>
  <c r="F9" i="7"/>
  <c r="H9" i="7"/>
  <c r="B9" i="7"/>
  <c r="Z9" i="7"/>
  <c r="AA9" i="7"/>
  <c r="AB9" i="7"/>
  <c r="AC9" i="7" s="1"/>
  <c r="I5" i="3"/>
  <c r="I6" i="3" s="1"/>
  <c r="H5" i="3"/>
  <c r="H6" i="3" s="1"/>
  <c r="G5" i="3"/>
  <c r="G6" i="3" s="1"/>
  <c r="C6" i="5"/>
  <c r="D6" i="5"/>
  <c r="E6" i="5"/>
  <c r="F6" i="5"/>
  <c r="G6" i="5"/>
  <c r="A36" i="6"/>
  <c r="V7" i="7"/>
  <c r="W7" i="7" s="1"/>
  <c r="C7" i="5"/>
  <c r="D7" i="5"/>
  <c r="E7" i="5"/>
  <c r="F7" i="5"/>
  <c r="G7" i="5"/>
  <c r="H7" i="5" s="1"/>
  <c r="A37" i="6"/>
  <c r="V8" i="7"/>
  <c r="W8" i="7" s="1"/>
  <c r="C8" i="5"/>
  <c r="D8" i="5"/>
  <c r="E8" i="5"/>
  <c r="F8" i="5"/>
  <c r="G8" i="5"/>
  <c r="H8" i="5" s="1"/>
  <c r="A38" i="6"/>
  <c r="V9" i="7"/>
  <c r="W9" i="7" s="1"/>
  <c r="C9" i="5"/>
  <c r="D9" i="5"/>
  <c r="E9" i="5"/>
  <c r="F9" i="5"/>
  <c r="G9" i="5"/>
  <c r="H9" i="5" s="1"/>
  <c r="A39" i="6"/>
  <c r="V10" i="7"/>
  <c r="W10" i="7" s="1"/>
  <c r="C10" i="5"/>
  <c r="D10" i="5"/>
  <c r="E10" i="5"/>
  <c r="F10" i="5"/>
  <c r="G10" i="5"/>
  <c r="H10" i="5" s="1"/>
  <c r="A40" i="6"/>
  <c r="V11" i="7"/>
  <c r="W11" i="7" s="1"/>
  <c r="C11" i="5"/>
  <c r="D11" i="5"/>
  <c r="E11" i="5"/>
  <c r="F11" i="5"/>
  <c r="G11" i="5"/>
  <c r="H11" i="5" s="1"/>
  <c r="A41" i="6"/>
  <c r="V12" i="7"/>
  <c r="W12" i="7" s="1"/>
  <c r="C12" i="5"/>
  <c r="D12" i="5"/>
  <c r="E12" i="5"/>
  <c r="F12" i="5"/>
  <c r="G12" i="5"/>
  <c r="H12" i="5" s="1"/>
  <c r="A42" i="6"/>
  <c r="V13" i="7"/>
  <c r="W13" i="7" s="1"/>
  <c r="C13" i="5"/>
  <c r="E13" i="5"/>
  <c r="F13" i="5"/>
  <c r="G13" i="5"/>
  <c r="H13" i="5" s="1"/>
  <c r="A43" i="6"/>
  <c r="V14" i="7"/>
  <c r="W14" i="7" s="1"/>
  <c r="C14" i="5"/>
  <c r="D14" i="5"/>
  <c r="E14" i="5"/>
  <c r="F14" i="5"/>
  <c r="G14" i="5"/>
  <c r="A44" i="6"/>
  <c r="V15" i="7"/>
  <c r="W15" i="7" s="1"/>
  <c r="C15" i="5"/>
  <c r="D15" i="5"/>
  <c r="E15" i="5"/>
  <c r="F15" i="5"/>
  <c r="G15" i="5"/>
  <c r="H15" i="5" s="1"/>
  <c r="A45" i="6"/>
  <c r="V16" i="7"/>
  <c r="W16" i="7" s="1"/>
  <c r="C16" i="5"/>
  <c r="D16" i="5"/>
  <c r="E16" i="5"/>
  <c r="F16" i="5"/>
  <c r="G16" i="5"/>
  <c r="H16" i="5" s="1"/>
  <c r="A46" i="6"/>
  <c r="V17" i="7"/>
  <c r="W17" i="7" s="1"/>
  <c r="C17" i="5"/>
  <c r="D17" i="5"/>
  <c r="E17" i="5"/>
  <c r="F17" i="5"/>
  <c r="G17" i="5"/>
  <c r="H17" i="5" s="1"/>
  <c r="A47" i="6"/>
  <c r="V18" i="7"/>
  <c r="W18" i="7" s="1"/>
  <c r="C18" i="5"/>
  <c r="D18" i="5"/>
  <c r="E18" i="5"/>
  <c r="F18" i="5"/>
  <c r="G18" i="5"/>
  <c r="H18" i="5" s="1"/>
  <c r="A48" i="6"/>
  <c r="V19" i="7"/>
  <c r="W19" i="7" s="1"/>
  <c r="S8" i="7"/>
  <c r="T8" i="7"/>
  <c r="R9" i="7"/>
  <c r="G6" i="4"/>
  <c r="H6" i="4"/>
  <c r="B7" i="4"/>
  <c r="C7" i="4"/>
  <c r="D7" i="4"/>
  <c r="E7" i="4"/>
  <c r="F7" i="4"/>
  <c r="A8" i="4"/>
  <c r="E5" i="3"/>
  <c r="E6" i="3" s="1"/>
  <c r="E30" i="8"/>
  <c r="D30" i="8"/>
  <c r="F30" i="8" s="1"/>
  <c r="B26" i="6"/>
  <c r="C30" i="8"/>
  <c r="G30" i="8" s="1"/>
  <c r="C28" i="8"/>
  <c r="E28" i="8"/>
  <c r="D28" i="8"/>
  <c r="F28" i="8" s="1"/>
  <c r="E27" i="8"/>
  <c r="D27" i="8"/>
  <c r="F27" i="8" s="1"/>
  <c r="C27" i="8"/>
  <c r="G27" i="8" s="1"/>
  <c r="B30" i="6"/>
  <c r="E26" i="8"/>
  <c r="C41" i="8"/>
  <c r="D41" i="8"/>
  <c r="E41" i="8"/>
  <c r="D26" i="8"/>
  <c r="F26" i="8" s="1"/>
  <c r="C26" i="8"/>
  <c r="G26" i="8" s="1"/>
  <c r="C25" i="8"/>
  <c r="D25" i="8"/>
  <c r="E25" i="8"/>
  <c r="C24" i="8"/>
  <c r="D24" i="8"/>
  <c r="F24" i="8" s="1"/>
  <c r="E24" i="8"/>
  <c r="D45" i="8"/>
  <c r="E45" i="8"/>
  <c r="C45" i="8"/>
  <c r="F30" i="6"/>
  <c r="E44" i="8"/>
  <c r="D44" i="8"/>
  <c r="F44" i="8" s="1"/>
  <c r="C44" i="8"/>
  <c r="E30" i="6"/>
  <c r="C23" i="8"/>
  <c r="G23" i="8" s="1"/>
  <c r="D23" i="8"/>
  <c r="E43" i="8"/>
  <c r="D43" i="8"/>
  <c r="F43" i="8" s="1"/>
  <c r="C43" i="8"/>
  <c r="E23" i="8"/>
  <c r="D29" i="8"/>
  <c r="E29" i="8"/>
  <c r="D30" i="6"/>
  <c r="C29" i="8"/>
  <c r="G29" i="8" s="1"/>
  <c r="C30" i="6"/>
  <c r="C22" i="8"/>
  <c r="D22" i="8"/>
  <c r="E22" i="8"/>
  <c r="D42" i="8"/>
  <c r="F42" i="8" s="1"/>
  <c r="E42" i="8"/>
  <c r="C42" i="8"/>
  <c r="N10" i="6" l="1"/>
  <c r="L10" i="6"/>
  <c r="G29" i="6"/>
  <c r="H10" i="6"/>
  <c r="F10" i="6"/>
  <c r="N9" i="6"/>
  <c r="L9" i="6"/>
  <c r="H9" i="6"/>
  <c r="F9" i="6"/>
  <c r="B11" i="6"/>
  <c r="H6" i="6"/>
  <c r="F6" i="6"/>
  <c r="C11" i="6"/>
  <c r="G6" i="6"/>
  <c r="M10" i="6" s="1"/>
  <c r="D11" i="6"/>
  <c r="N6" i="6"/>
  <c r="L6" i="6"/>
  <c r="H7" i="6"/>
  <c r="F7" i="6"/>
  <c r="N7" i="6"/>
  <c r="L7" i="6"/>
  <c r="D34" i="8"/>
  <c r="E34" i="8"/>
  <c r="D35" i="8"/>
  <c r="E35" i="8"/>
  <c r="D36" i="8"/>
  <c r="E36" i="8"/>
  <c r="C11" i="8" s="1"/>
  <c r="H8" i="6"/>
  <c r="F8" i="6"/>
  <c r="G27" i="6"/>
  <c r="M8" i="6"/>
  <c r="O8" i="6" s="1"/>
  <c r="N8" i="6"/>
  <c r="L8" i="6"/>
  <c r="H10" i="7"/>
  <c r="F10" i="7"/>
  <c r="D10" i="7"/>
  <c r="B10" i="7"/>
  <c r="I7" i="5"/>
  <c r="J7" i="5"/>
  <c r="D19" i="5"/>
  <c r="D21" i="5" s="1"/>
  <c r="C48" i="8"/>
  <c r="C51" i="8"/>
  <c r="C52" i="8"/>
  <c r="C53" i="8"/>
  <c r="C54" i="8"/>
  <c r="C55" i="8"/>
  <c r="C56" i="8"/>
  <c r="C58" i="8"/>
  <c r="H6" i="5"/>
  <c r="G19" i="5"/>
  <c r="B36" i="6"/>
  <c r="C36" i="6"/>
  <c r="D36" i="6"/>
  <c r="E36" i="6"/>
  <c r="F36" i="6"/>
  <c r="I8" i="5"/>
  <c r="J8" i="5"/>
  <c r="B37" i="6"/>
  <c r="C37" i="6"/>
  <c r="D37" i="6"/>
  <c r="E37" i="6"/>
  <c r="F37" i="6"/>
  <c r="I9" i="5"/>
  <c r="J9" i="5"/>
  <c r="B38" i="6"/>
  <c r="C38" i="6"/>
  <c r="D38" i="6"/>
  <c r="E38" i="6"/>
  <c r="F38" i="6"/>
  <c r="I10" i="5"/>
  <c r="J10" i="5"/>
  <c r="B39" i="6"/>
  <c r="C39" i="6"/>
  <c r="D39" i="6"/>
  <c r="E39" i="6"/>
  <c r="F39" i="6"/>
  <c r="I11" i="5"/>
  <c r="J11" i="5"/>
  <c r="B40" i="6"/>
  <c r="C40" i="6"/>
  <c r="D40" i="6"/>
  <c r="E40" i="6"/>
  <c r="F40" i="6"/>
  <c r="I12" i="5"/>
  <c r="J12" i="5"/>
  <c r="B41" i="6"/>
  <c r="G41" i="6" s="1"/>
  <c r="C41" i="6"/>
  <c r="D41" i="6"/>
  <c r="E41" i="6"/>
  <c r="F41" i="6"/>
  <c r="I13" i="5"/>
  <c r="J13" i="5"/>
  <c r="B42" i="6"/>
  <c r="C42" i="6"/>
  <c r="D42" i="6"/>
  <c r="E42" i="6"/>
  <c r="F42" i="6"/>
  <c r="I14" i="5"/>
  <c r="J14" i="5"/>
  <c r="B43" i="6"/>
  <c r="G43" i="6" s="1"/>
  <c r="C43" i="6"/>
  <c r="D43" i="6"/>
  <c r="E43" i="6"/>
  <c r="F43" i="6"/>
  <c r="I15" i="5"/>
  <c r="J15" i="5"/>
  <c r="B44" i="6"/>
  <c r="C44" i="6"/>
  <c r="D44" i="6"/>
  <c r="E44" i="6"/>
  <c r="F44" i="6"/>
  <c r="I16" i="5"/>
  <c r="J16" i="5"/>
  <c r="C49" i="8"/>
  <c r="B45" i="6"/>
  <c r="G45" i="6" s="1"/>
  <c r="C45" i="6"/>
  <c r="D45" i="6"/>
  <c r="E45" i="6"/>
  <c r="F45" i="6"/>
  <c r="I17" i="5"/>
  <c r="J17" i="5"/>
  <c r="B46" i="6"/>
  <c r="C46" i="6"/>
  <c r="D46" i="6"/>
  <c r="E46" i="6"/>
  <c r="F46" i="6"/>
  <c r="I18" i="5"/>
  <c r="J18" i="5"/>
  <c r="B47" i="6"/>
  <c r="C47" i="6"/>
  <c r="D47" i="6"/>
  <c r="E47" i="6"/>
  <c r="F47" i="6"/>
  <c r="B48" i="6"/>
  <c r="C48" i="6"/>
  <c r="D48" i="6"/>
  <c r="E48" i="6"/>
  <c r="F48" i="6"/>
  <c r="S9" i="7"/>
  <c r="T9" i="7"/>
  <c r="R10" i="7"/>
  <c r="B8" i="4"/>
  <c r="C8" i="4"/>
  <c r="D8" i="4"/>
  <c r="E8" i="4"/>
  <c r="F8" i="4"/>
  <c r="A9" i="4"/>
  <c r="G9" i="6"/>
  <c r="J9" i="7"/>
  <c r="L9" i="7"/>
  <c r="L10" i="7" s="1"/>
  <c r="F19" i="5"/>
  <c r="F21" i="5" s="1"/>
  <c r="H14" i="5"/>
  <c r="E11" i="6"/>
  <c r="G7" i="6"/>
  <c r="E19" i="5"/>
  <c r="E21" i="5" s="1"/>
  <c r="G7" i="4"/>
  <c r="F25" i="8"/>
  <c r="G24" i="8"/>
  <c r="F45" i="8"/>
  <c r="G28" i="8"/>
  <c r="F41" i="8"/>
  <c r="G25" i="8"/>
  <c r="F23" i="8"/>
  <c r="F29" i="8"/>
  <c r="G22" i="8"/>
  <c r="F22" i="8"/>
  <c r="C10" i="8" s="1"/>
  <c r="H7" i="4"/>
  <c r="H8" i="4"/>
  <c r="C7" i="8" l="1"/>
  <c r="F11" i="6"/>
  <c r="H11" i="6"/>
  <c r="B13" i="6"/>
  <c r="G11" i="6"/>
  <c r="J6" i="6"/>
  <c r="J7" i="6"/>
  <c r="J8" i="6"/>
  <c r="J9" i="6"/>
  <c r="J10" i="6"/>
  <c r="M6" i="6"/>
  <c r="G25" i="6"/>
  <c r="L11" i="6"/>
  <c r="D13" i="6"/>
  <c r="C5" i="8"/>
  <c r="I6" i="6"/>
  <c r="I7" i="6"/>
  <c r="I8" i="6"/>
  <c r="I9" i="6"/>
  <c r="I10" i="6"/>
  <c r="H19" i="5"/>
  <c r="G21" i="5"/>
  <c r="H21" i="5" s="1"/>
  <c r="G36" i="6"/>
  <c r="B49" i="6"/>
  <c r="S10" i="7"/>
  <c r="T10" i="7"/>
  <c r="R11" i="7"/>
  <c r="G8" i="4"/>
  <c r="B9" i="4"/>
  <c r="C9" i="4"/>
  <c r="D9" i="4"/>
  <c r="E9" i="4"/>
  <c r="F9" i="4"/>
  <c r="A10" i="4"/>
  <c r="M9" i="6"/>
  <c r="G28" i="6"/>
  <c r="E13" i="6"/>
  <c r="C9" i="8"/>
  <c r="M7" i="6"/>
  <c r="O7" i="6" s="1"/>
  <c r="G26" i="6"/>
  <c r="C57" i="8"/>
  <c r="C50" i="8"/>
  <c r="C8" i="8" s="1"/>
  <c r="E49" i="6"/>
  <c r="F49" i="6"/>
  <c r="G39" i="6"/>
  <c r="G40" i="6"/>
  <c r="G48" i="6"/>
  <c r="C49" i="6"/>
  <c r="D49" i="6"/>
  <c r="G47" i="6"/>
  <c r="G37" i="6"/>
  <c r="G38" i="6"/>
  <c r="G42" i="6"/>
  <c r="G44" i="6"/>
  <c r="G46" i="6"/>
  <c r="G30" i="6" l="1"/>
  <c r="C6" i="8"/>
  <c r="C12" i="8"/>
  <c r="K6" i="6"/>
  <c r="J11" i="6"/>
  <c r="O10" i="6"/>
  <c r="O6" i="6"/>
  <c r="S11" i="7"/>
  <c r="T11" i="7"/>
  <c r="R12" i="7"/>
  <c r="H9" i="4"/>
  <c r="B10" i="4"/>
  <c r="C10" i="4"/>
  <c r="D10" i="4"/>
  <c r="E10" i="4"/>
  <c r="F10" i="4"/>
  <c r="A11" i="4"/>
  <c r="G13" i="6"/>
  <c r="K7" i="6"/>
  <c r="K8" i="6"/>
  <c r="K9" i="6"/>
  <c r="K10" i="6"/>
  <c r="I11" i="6"/>
  <c r="O9" i="6"/>
  <c r="G49" i="6"/>
  <c r="G50" i="6" s="1"/>
  <c r="H50" i="6" s="1"/>
  <c r="G9" i="4"/>
  <c r="S12" i="7" l="1"/>
  <c r="T12" i="7"/>
  <c r="R13" i="7"/>
  <c r="B11" i="4"/>
  <c r="C11" i="4"/>
  <c r="D11" i="4"/>
  <c r="E11" i="4"/>
  <c r="F11" i="4"/>
  <c r="A12" i="4"/>
  <c r="G10" i="4"/>
  <c r="H10" i="4"/>
  <c r="S13" i="7" l="1"/>
  <c r="T13" i="7"/>
  <c r="R14" i="7"/>
  <c r="B12" i="4"/>
  <c r="C12" i="4"/>
  <c r="D12" i="4"/>
  <c r="E12" i="4"/>
  <c r="F12" i="4"/>
  <c r="A13" i="4"/>
  <c r="G11" i="4"/>
  <c r="S14" i="7" l="1"/>
  <c r="T14" i="7"/>
  <c r="R15" i="7"/>
  <c r="B13" i="4"/>
  <c r="C13" i="4"/>
  <c r="D13" i="4"/>
  <c r="E13" i="4"/>
  <c r="F13" i="4"/>
  <c r="A14" i="4"/>
  <c r="G12" i="4"/>
  <c r="S15" i="7" l="1"/>
  <c r="T15" i="7"/>
  <c r="R16" i="7"/>
  <c r="B14" i="4"/>
  <c r="C14" i="4"/>
  <c r="D14" i="4"/>
  <c r="G14" i="4" s="1"/>
  <c r="E14" i="4"/>
  <c r="F14" i="4"/>
  <c r="A15" i="4"/>
  <c r="G13" i="4"/>
  <c r="S16" i="7" l="1"/>
  <c r="T16" i="7"/>
  <c r="R17" i="7"/>
  <c r="B15" i="4"/>
  <c r="C15" i="4"/>
  <c r="D15" i="4"/>
  <c r="E15" i="4"/>
  <c r="F15" i="4"/>
  <c r="A16" i="4"/>
  <c r="S17" i="7" l="1"/>
  <c r="T17" i="7"/>
  <c r="R18" i="7"/>
  <c r="B16" i="4"/>
  <c r="C16" i="4"/>
  <c r="D16" i="4"/>
  <c r="G16" i="4" s="1"/>
  <c r="E16" i="4"/>
  <c r="F16" i="4"/>
  <c r="A17" i="4"/>
  <c r="G15" i="4"/>
  <c r="S18" i="7" l="1"/>
  <c r="T18" i="7"/>
  <c r="R19" i="7"/>
  <c r="B17" i="4"/>
  <c r="C17" i="4"/>
  <c r="D17" i="4"/>
  <c r="E17" i="4"/>
  <c r="F17" i="4"/>
  <c r="A18" i="4"/>
  <c r="S19" i="7" l="1"/>
  <c r="T19" i="7"/>
  <c r="R20" i="7"/>
  <c r="B18" i="4"/>
  <c r="C18" i="4"/>
  <c r="D18" i="4"/>
  <c r="G18" i="4" s="1"/>
  <c r="E18" i="4"/>
  <c r="F18" i="4"/>
  <c r="A19" i="4"/>
  <c r="G17" i="4"/>
  <c r="S20" i="7" l="1"/>
  <c r="T20" i="7"/>
  <c r="R21" i="7"/>
  <c r="B19" i="4"/>
  <c r="C19" i="4"/>
  <c r="D19" i="4"/>
  <c r="E19" i="4"/>
  <c r="F19" i="4"/>
  <c r="A20" i="4"/>
  <c r="S21" i="7" l="1"/>
  <c r="T21" i="7"/>
  <c r="R22" i="7"/>
  <c r="B20" i="4"/>
  <c r="C20" i="4"/>
  <c r="D20" i="4"/>
  <c r="G20" i="4" s="1"/>
  <c r="E20" i="4"/>
  <c r="F20" i="4"/>
  <c r="A21" i="4"/>
  <c r="G19" i="4"/>
  <c r="S22" i="7" l="1"/>
  <c r="T22" i="7"/>
  <c r="R23" i="7"/>
  <c r="B21" i="4"/>
  <c r="C21" i="4"/>
  <c r="D21" i="4"/>
  <c r="E21" i="4"/>
  <c r="F21" i="4"/>
  <c r="A22" i="4"/>
  <c r="S23" i="7" l="1"/>
  <c r="T23" i="7"/>
  <c r="R24" i="7"/>
  <c r="B22" i="4"/>
  <c r="C22" i="4"/>
  <c r="D22" i="4"/>
  <c r="E22" i="4"/>
  <c r="F22" i="4"/>
  <c r="A23" i="4"/>
  <c r="G21" i="4"/>
  <c r="S24" i="7" l="1"/>
  <c r="T24" i="7"/>
  <c r="R25" i="7"/>
  <c r="B23" i="4"/>
  <c r="C23" i="4"/>
  <c r="D23" i="4"/>
  <c r="E23" i="4"/>
  <c r="F23" i="4"/>
  <c r="A24" i="4"/>
  <c r="G22" i="4"/>
  <c r="S25" i="7" l="1"/>
  <c r="T25" i="7"/>
  <c r="R26" i="7"/>
  <c r="B24" i="4"/>
  <c r="C24" i="4"/>
  <c r="D24" i="4"/>
  <c r="G24" i="4" s="1"/>
  <c r="E24" i="4"/>
  <c r="F24" i="4"/>
  <c r="A25" i="4"/>
  <c r="G23" i="4"/>
  <c r="S26" i="7" l="1"/>
  <c r="T26" i="7"/>
  <c r="R27" i="7"/>
  <c r="B25" i="4"/>
  <c r="C25" i="4"/>
  <c r="D25" i="4"/>
  <c r="E25" i="4"/>
  <c r="F25" i="4"/>
  <c r="A26" i="4"/>
  <c r="S27" i="7" l="1"/>
  <c r="T27" i="7"/>
  <c r="R28" i="7"/>
  <c r="B26" i="4"/>
  <c r="C26" i="4"/>
  <c r="D26" i="4"/>
  <c r="G26" i="4" s="1"/>
  <c r="E26" i="4"/>
  <c r="F26" i="4"/>
  <c r="A27" i="4"/>
  <c r="G25" i="4"/>
  <c r="S28" i="7" l="1"/>
  <c r="T28" i="7"/>
  <c r="R29" i="7"/>
  <c r="B27" i="4"/>
  <c r="C27" i="4"/>
  <c r="D27" i="4"/>
  <c r="E27" i="4"/>
  <c r="F27" i="4"/>
  <c r="A28" i="4"/>
  <c r="S29" i="7" l="1"/>
  <c r="T29" i="7"/>
  <c r="R30" i="7"/>
  <c r="B28" i="4"/>
  <c r="C28" i="4"/>
  <c r="D28" i="4"/>
  <c r="G28" i="4" s="1"/>
  <c r="E28" i="4"/>
  <c r="F28" i="4"/>
  <c r="A29" i="4"/>
  <c r="G27" i="4"/>
  <c r="S30" i="7" l="1"/>
  <c r="T30" i="7"/>
  <c r="R31" i="7"/>
  <c r="B29" i="4"/>
  <c r="C29" i="4"/>
  <c r="D29" i="4"/>
  <c r="G29" i="4" s="1"/>
  <c r="E29" i="4"/>
  <c r="F29" i="4"/>
  <c r="A30" i="4"/>
  <c r="S31" i="7" l="1"/>
  <c r="T31" i="7"/>
  <c r="R32" i="7"/>
  <c r="B30" i="4"/>
  <c r="C30" i="4"/>
  <c r="D30" i="4"/>
  <c r="G30" i="4" s="1"/>
  <c r="E30" i="4"/>
  <c r="F30" i="4"/>
  <c r="A31" i="4"/>
  <c r="S32" i="7" l="1"/>
  <c r="T32" i="7"/>
  <c r="R33" i="7"/>
  <c r="B31" i="4"/>
  <c r="C31" i="4"/>
  <c r="D31" i="4"/>
  <c r="E31" i="4"/>
  <c r="F31" i="4"/>
  <c r="A32" i="4"/>
  <c r="S33" i="7" l="1"/>
  <c r="T33" i="7"/>
  <c r="R34" i="7"/>
  <c r="B32" i="4"/>
  <c r="C32" i="4"/>
  <c r="D32" i="4"/>
  <c r="G32" i="4" s="1"/>
  <c r="E32" i="4"/>
  <c r="F32" i="4"/>
  <c r="A33" i="4"/>
  <c r="G31" i="4"/>
  <c r="S34" i="7" l="1"/>
  <c r="T34" i="7"/>
  <c r="R35" i="7"/>
  <c r="B33" i="4"/>
  <c r="C33" i="4"/>
  <c r="D33" i="4"/>
  <c r="G33" i="4" s="1"/>
  <c r="E33" i="4"/>
  <c r="F33" i="4"/>
  <c r="A34" i="4"/>
  <c r="S35" i="7" l="1"/>
  <c r="T35" i="7"/>
  <c r="R36" i="7"/>
  <c r="B34" i="4"/>
  <c r="C34" i="4"/>
  <c r="D34" i="4"/>
  <c r="E34" i="4"/>
  <c r="F34" i="4"/>
  <c r="A35" i="4"/>
  <c r="S36" i="7" l="1"/>
  <c r="T36" i="7"/>
  <c r="R37" i="7"/>
  <c r="B35" i="4"/>
  <c r="C35" i="4"/>
  <c r="D35" i="4"/>
  <c r="E35" i="4"/>
  <c r="F35" i="4"/>
  <c r="A36" i="4"/>
  <c r="G34" i="4"/>
  <c r="S37" i="7" l="1"/>
  <c r="T37" i="7"/>
  <c r="R38" i="7"/>
  <c r="B36" i="4"/>
  <c r="C36" i="4"/>
  <c r="D36" i="4"/>
  <c r="E36" i="4"/>
  <c r="F36" i="4"/>
  <c r="A37" i="4"/>
  <c r="G35" i="4"/>
  <c r="S38" i="7" l="1"/>
  <c r="T38" i="7"/>
  <c r="R39" i="7"/>
  <c r="B37" i="4"/>
  <c r="C37" i="4"/>
  <c r="D37" i="4"/>
  <c r="E37" i="4"/>
  <c r="F37" i="4"/>
  <c r="A38" i="4"/>
  <c r="G36" i="4"/>
  <c r="S39" i="7" l="1"/>
  <c r="T39" i="7"/>
  <c r="R40" i="7"/>
  <c r="B38" i="4"/>
  <c r="C38" i="4"/>
  <c r="D38" i="4"/>
  <c r="G38" i="4" s="1"/>
  <c r="E38" i="4"/>
  <c r="F38" i="4"/>
  <c r="A39" i="4"/>
  <c r="G37" i="4"/>
  <c r="S40" i="7" l="1"/>
  <c r="T40" i="7"/>
  <c r="R41" i="7"/>
  <c r="B39" i="4"/>
  <c r="C39" i="4"/>
  <c r="D39" i="4"/>
  <c r="E39" i="4"/>
  <c r="F39" i="4"/>
  <c r="A40" i="4"/>
  <c r="S41" i="7" l="1"/>
  <c r="T41" i="7"/>
  <c r="R42" i="7"/>
  <c r="B40" i="4"/>
  <c r="C40" i="4"/>
  <c r="D40" i="4"/>
  <c r="G40" i="4" s="1"/>
  <c r="E40" i="4"/>
  <c r="F40" i="4"/>
  <c r="A41" i="4"/>
  <c r="G39" i="4"/>
  <c r="S42" i="7" l="1"/>
  <c r="T42" i="7"/>
  <c r="R43" i="7"/>
  <c r="B41" i="4"/>
  <c r="C41" i="4"/>
  <c r="D41" i="4"/>
  <c r="E41" i="4"/>
  <c r="F41" i="4"/>
  <c r="A42" i="4"/>
  <c r="S43" i="7" l="1"/>
  <c r="T43" i="7"/>
  <c r="R44" i="7"/>
  <c r="B42" i="4"/>
  <c r="C42" i="4"/>
  <c r="D42" i="4"/>
  <c r="G42" i="4" s="1"/>
  <c r="E42" i="4"/>
  <c r="F42" i="4"/>
  <c r="A43" i="4"/>
  <c r="G41" i="4"/>
  <c r="S44" i="7" l="1"/>
  <c r="T44" i="7"/>
  <c r="R45" i="7"/>
  <c r="B43" i="4"/>
  <c r="C43" i="4"/>
  <c r="D43" i="4"/>
  <c r="E43" i="4"/>
  <c r="F43" i="4"/>
  <c r="A44" i="4"/>
  <c r="S45" i="7" l="1"/>
  <c r="T45" i="7"/>
  <c r="R46" i="7"/>
  <c r="B44" i="4"/>
  <c r="C44" i="4"/>
  <c r="D44" i="4"/>
  <c r="G44" i="4" s="1"/>
  <c r="E44" i="4"/>
  <c r="F44" i="4"/>
  <c r="A45" i="4"/>
  <c r="G43" i="4"/>
  <c r="S46" i="7" l="1"/>
  <c r="T46" i="7"/>
  <c r="R47" i="7"/>
  <c r="B45" i="4"/>
  <c r="C45" i="4"/>
  <c r="D45" i="4"/>
  <c r="E45" i="4"/>
  <c r="F45" i="4"/>
  <c r="A46" i="4"/>
  <c r="S47" i="7" l="1"/>
  <c r="T47" i="7"/>
  <c r="R48" i="7"/>
  <c r="B46" i="4"/>
  <c r="C46" i="4"/>
  <c r="D46" i="4"/>
  <c r="E46" i="4"/>
  <c r="F46" i="4"/>
  <c r="A47" i="4"/>
  <c r="G45" i="4"/>
  <c r="S48" i="7" l="1"/>
  <c r="T48" i="7"/>
  <c r="R49" i="7"/>
  <c r="B47" i="4"/>
  <c r="C47" i="4"/>
  <c r="D47" i="4"/>
  <c r="G47" i="4" s="1"/>
  <c r="E47" i="4"/>
  <c r="F47" i="4"/>
  <c r="A48" i="4"/>
  <c r="G46" i="4"/>
  <c r="S49" i="7" l="1"/>
  <c r="T49" i="7"/>
  <c r="R50" i="7"/>
  <c r="B48" i="4"/>
  <c r="C48" i="4"/>
  <c r="D48" i="4"/>
  <c r="E48" i="4"/>
  <c r="F48" i="4"/>
  <c r="A49" i="4"/>
  <c r="S50" i="7" l="1"/>
  <c r="T50" i="7"/>
  <c r="R51" i="7"/>
  <c r="B49" i="4"/>
  <c r="C49" i="4"/>
  <c r="D49" i="4"/>
  <c r="G49" i="4" s="1"/>
  <c r="E49" i="4"/>
  <c r="F49" i="4"/>
  <c r="A50" i="4"/>
  <c r="G48" i="4"/>
  <c r="S51" i="7" l="1"/>
  <c r="T51" i="7"/>
  <c r="R52" i="7"/>
  <c r="B50" i="4"/>
  <c r="C50" i="4"/>
  <c r="D50" i="4"/>
  <c r="E50" i="4"/>
  <c r="F50" i="4"/>
  <c r="A51" i="4"/>
  <c r="S52" i="7" l="1"/>
  <c r="T52" i="7"/>
  <c r="R53" i="7"/>
  <c r="B51" i="4"/>
  <c r="C51" i="4"/>
  <c r="D51" i="4"/>
  <c r="G51" i="4" s="1"/>
  <c r="E51" i="4"/>
  <c r="F51" i="4"/>
  <c r="A52" i="4"/>
  <c r="G50" i="4"/>
  <c r="S53" i="7" l="1"/>
  <c r="T53" i="7"/>
  <c r="R54" i="7"/>
  <c r="B52" i="4"/>
  <c r="C52" i="4"/>
  <c r="D52" i="4"/>
  <c r="E52" i="4"/>
  <c r="F52" i="4"/>
  <c r="A53" i="4"/>
  <c r="S54" i="7" l="1"/>
  <c r="T54" i="7"/>
  <c r="R55" i="7"/>
  <c r="B53" i="4"/>
  <c r="C53" i="4"/>
  <c r="D53" i="4"/>
  <c r="E53" i="4"/>
  <c r="F53" i="4"/>
  <c r="A54" i="4"/>
  <c r="G52" i="4"/>
  <c r="S55" i="7" l="1"/>
  <c r="T55" i="7"/>
  <c r="R56" i="7"/>
  <c r="B54" i="4"/>
  <c r="C54" i="4"/>
  <c r="D54" i="4"/>
  <c r="E54" i="4"/>
  <c r="F54" i="4"/>
  <c r="A55" i="4"/>
  <c r="G53" i="4"/>
  <c r="S56" i="7" l="1"/>
  <c r="T56" i="7"/>
  <c r="R57" i="7"/>
  <c r="B55" i="4"/>
  <c r="C55" i="4"/>
  <c r="D55" i="4"/>
  <c r="G55" i="4" s="1"/>
  <c r="E55" i="4"/>
  <c r="F55" i="4"/>
  <c r="A56" i="4"/>
  <c r="G54" i="4"/>
  <c r="S57" i="7" l="1"/>
  <c r="T57" i="7"/>
  <c r="R58" i="7"/>
  <c r="B56" i="4"/>
  <c r="C56" i="4"/>
  <c r="D56" i="4"/>
  <c r="G56" i="4" s="1"/>
  <c r="E56" i="4"/>
  <c r="F56" i="4"/>
  <c r="A57" i="4"/>
  <c r="S58" i="7" l="1"/>
  <c r="T58" i="7"/>
  <c r="R59" i="7"/>
  <c r="B57" i="4"/>
  <c r="C57" i="4"/>
  <c r="D57" i="4"/>
  <c r="G57" i="4" s="1"/>
  <c r="E57" i="4"/>
  <c r="F57" i="4"/>
  <c r="A58" i="4"/>
  <c r="S59" i="7" l="1"/>
  <c r="T59" i="7"/>
  <c r="R60" i="7"/>
  <c r="B58" i="4"/>
  <c r="C58" i="4"/>
  <c r="D58" i="4"/>
  <c r="G58" i="4" s="1"/>
  <c r="E58" i="4"/>
  <c r="F58" i="4"/>
  <c r="A59" i="4"/>
  <c r="S60" i="7" l="1"/>
  <c r="T60" i="7"/>
  <c r="R61" i="7"/>
  <c r="B59" i="4"/>
  <c r="C59" i="4"/>
  <c r="D59" i="4"/>
  <c r="E59" i="4"/>
  <c r="F59" i="4"/>
  <c r="A60" i="4"/>
  <c r="S61" i="7" l="1"/>
  <c r="T61" i="7"/>
  <c r="R62" i="7"/>
  <c r="B60" i="4"/>
  <c r="C60" i="4"/>
  <c r="D60" i="4"/>
  <c r="G60" i="4" s="1"/>
  <c r="E60" i="4"/>
  <c r="F60" i="4"/>
  <c r="A61" i="4"/>
  <c r="G59" i="4"/>
  <c r="S62" i="7" l="1"/>
  <c r="T62" i="7"/>
  <c r="R63" i="7"/>
  <c r="B61" i="4"/>
  <c r="C61" i="4"/>
  <c r="D61" i="4"/>
  <c r="E61" i="4"/>
  <c r="F61" i="4"/>
  <c r="A62" i="4"/>
  <c r="S63" i="7" l="1"/>
  <c r="T63" i="7"/>
  <c r="R64" i="7"/>
  <c r="B62" i="4"/>
  <c r="C62" i="4"/>
  <c r="D62" i="4"/>
  <c r="G62" i="4" s="1"/>
  <c r="E62" i="4"/>
  <c r="F62" i="4"/>
  <c r="A63" i="4"/>
  <c r="G61" i="4"/>
  <c r="S64" i="7" l="1"/>
  <c r="T64" i="7"/>
  <c r="R65" i="7"/>
  <c r="B63" i="4"/>
  <c r="C63" i="4"/>
  <c r="D63" i="4"/>
  <c r="G63" i="4" s="1"/>
  <c r="E63" i="4"/>
  <c r="F63" i="4"/>
  <c r="A64" i="4"/>
  <c r="S65" i="7" l="1"/>
  <c r="T65" i="7"/>
  <c r="R66" i="7"/>
  <c r="B64" i="4"/>
  <c r="C64" i="4"/>
  <c r="D64" i="4"/>
  <c r="E64" i="4"/>
  <c r="F64" i="4"/>
  <c r="A65" i="4"/>
  <c r="S66" i="7" l="1"/>
  <c r="T66" i="7"/>
  <c r="R67" i="7"/>
  <c r="B65" i="4"/>
  <c r="C65" i="4"/>
  <c r="D65" i="4"/>
  <c r="G65" i="4" s="1"/>
  <c r="E65" i="4"/>
  <c r="F65" i="4"/>
  <c r="A66" i="4"/>
  <c r="G64" i="4"/>
  <c r="S67" i="7" l="1"/>
  <c r="T67" i="7"/>
  <c r="R68" i="7"/>
  <c r="B66" i="4"/>
  <c r="C66" i="4"/>
  <c r="D66" i="4"/>
  <c r="G66" i="4" s="1"/>
  <c r="E66" i="4"/>
  <c r="F66" i="4"/>
  <c r="A67" i="4"/>
  <c r="S68" i="7" l="1"/>
  <c r="T68" i="7"/>
  <c r="R69" i="7"/>
  <c r="B67" i="4"/>
  <c r="C67" i="4"/>
  <c r="D67" i="4"/>
  <c r="G67" i="4" s="1"/>
  <c r="E67" i="4"/>
  <c r="F67" i="4"/>
  <c r="A68" i="4"/>
  <c r="S69" i="7" l="1"/>
  <c r="T69" i="7"/>
  <c r="R70" i="7"/>
  <c r="B68" i="4"/>
  <c r="C68" i="4"/>
  <c r="D68" i="4"/>
  <c r="G68" i="4" s="1"/>
  <c r="E68" i="4"/>
  <c r="F68" i="4"/>
  <c r="A69" i="4"/>
  <c r="S70" i="7" l="1"/>
  <c r="T70" i="7"/>
  <c r="R71" i="7"/>
  <c r="B69" i="4"/>
  <c r="C69" i="4"/>
  <c r="D69" i="4"/>
  <c r="E69" i="4"/>
  <c r="F69" i="4"/>
  <c r="A70" i="4"/>
  <c r="S71" i="7" l="1"/>
  <c r="T71" i="7"/>
  <c r="R72" i="7"/>
  <c r="B70" i="4"/>
  <c r="C70" i="4"/>
  <c r="D70" i="4"/>
  <c r="E70" i="4"/>
  <c r="F70" i="4"/>
  <c r="A71" i="4"/>
  <c r="G69" i="4"/>
  <c r="S72" i="7" l="1"/>
  <c r="T72" i="7"/>
  <c r="R73" i="7"/>
  <c r="B71" i="4"/>
  <c r="C71" i="4"/>
  <c r="D71" i="4"/>
  <c r="G71" i="4" s="1"/>
  <c r="E71" i="4"/>
  <c r="F71" i="4"/>
  <c r="A72" i="4"/>
  <c r="G70" i="4"/>
  <c r="S73" i="7" l="1"/>
  <c r="T73" i="7"/>
  <c r="R74" i="7"/>
  <c r="B72" i="4"/>
  <c r="C72" i="4"/>
  <c r="D72" i="4"/>
  <c r="E72" i="4"/>
  <c r="F72" i="4"/>
  <c r="A73" i="4"/>
  <c r="S74" i="7" l="1"/>
  <c r="T74" i="7"/>
  <c r="R75" i="7"/>
  <c r="B73" i="4"/>
  <c r="C73" i="4"/>
  <c r="D73" i="4"/>
  <c r="E73" i="4"/>
  <c r="F73" i="4"/>
  <c r="A74" i="4"/>
  <c r="G72" i="4"/>
  <c r="S75" i="7" l="1"/>
  <c r="T75" i="7"/>
  <c r="R76" i="7"/>
  <c r="B74" i="4"/>
  <c r="C74" i="4"/>
  <c r="D74" i="4"/>
  <c r="E74" i="4"/>
  <c r="F74" i="4"/>
  <c r="A75" i="4"/>
  <c r="G73" i="4"/>
  <c r="S76" i="7" l="1"/>
  <c r="T76" i="7"/>
  <c r="R77" i="7"/>
  <c r="B75" i="4"/>
  <c r="C75" i="4"/>
  <c r="D75" i="4"/>
  <c r="E75" i="4"/>
  <c r="F75" i="4"/>
  <c r="A76" i="4"/>
  <c r="G74" i="4"/>
  <c r="S77" i="7" l="1"/>
  <c r="T77" i="7"/>
  <c r="R78" i="7"/>
  <c r="B76" i="4"/>
  <c r="C76" i="4"/>
  <c r="D76" i="4"/>
  <c r="G76" i="4" s="1"/>
  <c r="E76" i="4"/>
  <c r="F76" i="4"/>
  <c r="A77" i="4"/>
  <c r="G75" i="4"/>
  <c r="S78" i="7" l="1"/>
  <c r="T78" i="7"/>
  <c r="R79" i="7"/>
  <c r="B77" i="4"/>
  <c r="C77" i="4"/>
  <c r="D77" i="4"/>
  <c r="G77" i="4" s="1"/>
  <c r="E77" i="4"/>
  <c r="F77" i="4"/>
  <c r="A78" i="4"/>
  <c r="S79" i="7" l="1"/>
  <c r="T79" i="7"/>
  <c r="R80" i="7"/>
  <c r="B78" i="4"/>
  <c r="C78" i="4"/>
  <c r="D78" i="4"/>
  <c r="E78" i="4"/>
  <c r="F78" i="4"/>
  <c r="A79" i="4"/>
  <c r="S80" i="7" l="1"/>
  <c r="T80" i="7"/>
  <c r="R81" i="7"/>
  <c r="B79" i="4"/>
  <c r="C79" i="4"/>
  <c r="D79" i="4"/>
  <c r="E79" i="4"/>
  <c r="F79" i="4"/>
  <c r="A80" i="4"/>
  <c r="G78" i="4"/>
  <c r="S81" i="7" l="1"/>
  <c r="T81" i="7"/>
  <c r="R82" i="7"/>
  <c r="B80" i="4"/>
  <c r="C80" i="4"/>
  <c r="D80" i="4"/>
  <c r="G80" i="4" s="1"/>
  <c r="E80" i="4"/>
  <c r="F80" i="4"/>
  <c r="A81" i="4"/>
  <c r="G79" i="4"/>
  <c r="S82" i="7" l="1"/>
  <c r="T82" i="7"/>
  <c r="R83" i="7"/>
  <c r="B81" i="4"/>
  <c r="C81" i="4"/>
  <c r="D81" i="4"/>
  <c r="G81" i="4" s="1"/>
  <c r="E81" i="4"/>
  <c r="F81" i="4"/>
  <c r="A82" i="4"/>
  <c r="S83" i="7" l="1"/>
  <c r="T83" i="7"/>
  <c r="R84" i="7"/>
  <c r="B82" i="4"/>
  <c r="C82" i="4"/>
  <c r="D82" i="4"/>
  <c r="E82" i="4"/>
  <c r="F82" i="4"/>
  <c r="A83" i="4"/>
  <c r="S84" i="7" l="1"/>
  <c r="T84" i="7"/>
  <c r="R85" i="7"/>
  <c r="B83" i="4"/>
  <c r="C83" i="4"/>
  <c r="D83" i="4"/>
  <c r="E83" i="4"/>
  <c r="F83" i="4"/>
  <c r="A84" i="4"/>
  <c r="G82" i="4"/>
  <c r="S85" i="7" l="1"/>
  <c r="T85" i="7"/>
  <c r="R86" i="7"/>
  <c r="B84" i="4"/>
  <c r="C84" i="4"/>
  <c r="D84" i="4"/>
  <c r="E84" i="4"/>
  <c r="F84" i="4"/>
  <c r="A85" i="4"/>
  <c r="G83" i="4"/>
  <c r="S86" i="7" l="1"/>
  <c r="T86" i="7"/>
  <c r="R87" i="7"/>
  <c r="B85" i="4"/>
  <c r="C85" i="4"/>
  <c r="D85" i="4"/>
  <c r="E85" i="4"/>
  <c r="F85" i="4"/>
  <c r="A86" i="4"/>
  <c r="G84" i="4"/>
  <c r="S87" i="7" l="1"/>
  <c r="T87" i="7"/>
  <c r="R88" i="7"/>
  <c r="B86" i="4"/>
  <c r="C86" i="4"/>
  <c r="D86" i="4"/>
  <c r="G86" i="4" s="1"/>
  <c r="E86" i="4"/>
  <c r="F86" i="4"/>
  <c r="A87" i="4"/>
  <c r="G85" i="4"/>
  <c r="S88" i="7" l="1"/>
  <c r="T88" i="7"/>
  <c r="R89" i="7"/>
  <c r="B87" i="4"/>
  <c r="C87" i="4"/>
  <c r="D87" i="4"/>
  <c r="G87" i="4" s="1"/>
  <c r="E87" i="4"/>
  <c r="F87" i="4"/>
  <c r="A88" i="4"/>
  <c r="S89" i="7" l="1"/>
  <c r="T89" i="7"/>
  <c r="R90" i="7"/>
  <c r="B88" i="4"/>
  <c r="C88" i="4"/>
  <c r="D88" i="4"/>
  <c r="G88" i="4" s="1"/>
  <c r="E88" i="4"/>
  <c r="F88" i="4"/>
  <c r="A89" i="4"/>
  <c r="S90" i="7" l="1"/>
  <c r="T90" i="7"/>
  <c r="R91" i="7"/>
  <c r="B89" i="4"/>
  <c r="C89" i="4"/>
  <c r="D89" i="4"/>
  <c r="G89" i="4" s="1"/>
  <c r="E89" i="4"/>
  <c r="F89" i="4"/>
  <c r="A90" i="4"/>
  <c r="S91" i="7" l="1"/>
  <c r="T91" i="7"/>
  <c r="R92" i="7"/>
  <c r="B90" i="4"/>
  <c r="C90" i="4"/>
  <c r="D90" i="4"/>
  <c r="E90" i="4"/>
  <c r="F90" i="4"/>
  <c r="A91" i="4"/>
  <c r="S92" i="7" l="1"/>
  <c r="T92" i="7"/>
  <c r="R93" i="7"/>
  <c r="B91" i="4"/>
  <c r="C91" i="4"/>
  <c r="D91" i="4"/>
  <c r="E91" i="4"/>
  <c r="F91" i="4"/>
  <c r="A92" i="4"/>
  <c r="G90" i="4"/>
  <c r="S93" i="7" l="1"/>
  <c r="T93" i="7"/>
  <c r="R94" i="7"/>
  <c r="B92" i="4"/>
  <c r="C92" i="4"/>
  <c r="D92" i="4"/>
  <c r="G92" i="4" s="1"/>
  <c r="E92" i="4"/>
  <c r="F92" i="4"/>
  <c r="A93" i="4"/>
  <c r="G91" i="4"/>
  <c r="S94" i="7" l="1"/>
  <c r="T94" i="7"/>
  <c r="R95" i="7"/>
  <c r="B93" i="4"/>
  <c r="C93" i="4"/>
  <c r="D93" i="4"/>
  <c r="E93" i="4"/>
  <c r="F93" i="4"/>
  <c r="A94" i="4"/>
  <c r="S95" i="7" l="1"/>
  <c r="T95" i="7"/>
  <c r="R96" i="7"/>
  <c r="B94" i="4"/>
  <c r="C94" i="4"/>
  <c r="D94" i="4"/>
  <c r="G94" i="4" s="1"/>
  <c r="E94" i="4"/>
  <c r="F94" i="4"/>
  <c r="A95" i="4"/>
  <c r="G93" i="4"/>
  <c r="S96" i="7" l="1"/>
  <c r="T96" i="7"/>
  <c r="R97" i="7"/>
  <c r="B95" i="4"/>
  <c r="C95" i="4"/>
  <c r="D95" i="4"/>
  <c r="G95" i="4" s="1"/>
  <c r="E95" i="4"/>
  <c r="F95" i="4"/>
  <c r="A96" i="4"/>
  <c r="S97" i="7" l="1"/>
  <c r="T97" i="7"/>
  <c r="B96" i="4"/>
  <c r="C96" i="4"/>
  <c r="C97" i="4" s="1"/>
  <c r="C99" i="4" s="1"/>
  <c r="D96" i="4"/>
  <c r="E96" i="4"/>
  <c r="F96" i="4"/>
  <c r="F97" i="4" s="1"/>
  <c r="F99" i="4" s="1"/>
  <c r="D97" i="4" l="1"/>
  <c r="G96"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3" i="4"/>
  <c r="H34" i="4"/>
  <c r="H32" i="4"/>
  <c r="H31" i="4"/>
  <c r="H30" i="4"/>
  <c r="H29" i="4"/>
  <c r="H28" i="4"/>
  <c r="H27" i="4"/>
  <c r="H26" i="4"/>
  <c r="H25" i="4"/>
  <c r="H24" i="4"/>
  <c r="H23" i="4"/>
  <c r="H22" i="4"/>
  <c r="H21" i="4"/>
  <c r="H20" i="4"/>
  <c r="H19" i="4"/>
  <c r="H18" i="4"/>
  <c r="H17" i="4"/>
  <c r="H16" i="4"/>
  <c r="H15" i="4"/>
  <c r="H14" i="4"/>
  <c r="H12" i="4"/>
  <c r="H13" i="4"/>
  <c r="H11" i="4"/>
  <c r="E97" i="4"/>
  <c r="E99" i="4" s="1"/>
  <c r="D99" i="4" l="1"/>
  <c r="G99" i="4" s="1"/>
  <c r="G97" i="4"/>
</calcChain>
</file>

<file path=xl/sharedStrings.xml><?xml version="1.0" encoding="utf-8"?>
<sst xmlns="http://schemas.openxmlformats.org/spreadsheetml/2006/main" count="1195" uniqueCount="677">
  <si>
    <t>LIVE COMMERCE SALES PERFORMANCE ANALYSIS</t>
  </si>
  <si>
    <t>Excel-Based GMV Tracking, Host Performance Reporting, and Sales Analytics</t>
  </si>
  <si>
    <t>Prepared by John Paulo Lumagbas  |  Self-directed portfolio project  |  Entry-level Data Analyst portfolio</t>
  </si>
  <si>
    <t>⚠  Portfolio project using synthetic data. Figures, hosts, and business information are fictional and do not represent any actual company's performance.</t>
  </si>
  <si>
    <t>PROJECT PURPOSE &amp; BUSINESS SCENARIO</t>
  </si>
  <si>
    <t>Purpose: demonstrate practical, entry-level data analysis in Excel — organising business data, validating it, building accurate formulas, summarising results, and communicating insights through a dashboard. The project is inspired by my experience recording livestream sales and GMV in spreadsheets as a Livestream Assistant; it is a self-directed portfolio piece, not work product from a data analyst role.</t>
  </si>
  <si>
    <t>Scenario: “Sample Live Commerce Store” (fictional) runs livestream shopping sessions with five fictional hosts. Management wants to know how much GMV the sessions generate, how performance changes week to week, which hosts contribute and which are most efficient, and when sessions perform best. The dataset covers 374 synthetic sessions across 13 full weeks (Mon 02 Jun 2025 – Sun 31 Aug 2025).</t>
  </si>
  <si>
    <t>Tools &amp; techniques: Microsoft Excel — Excel Tables and structured references, SUMIFS / COUNTIFS / INDEX-MATCH / RANK / CORREL / SLOPE, date and time functions, named ranges, data validation, conditional formatting, formula-driven dashboard filters, native charts. No macros, no dynamic-array functions and no add-ins are required (works in Excel 2010 or later).</t>
  </si>
  <si>
    <t>WORKBOOK GUIDE (click a sheet name)</t>
  </si>
  <si>
    <t>Raw Data</t>
  </si>
  <si>
    <t>Source layer: 374 synthetic session records in Excel Table tblRaw. Values only; no calculations.</t>
  </si>
  <si>
    <t>Cleaned Data</t>
  </si>
  <si>
    <t>Formula layer tblClean: standardises each raw row, derives duration, GMV per hour, week, month, slot; runs live data-quality checks and sets an Include flag.</t>
  </si>
  <si>
    <t>Daily Sales</t>
  </si>
  <si>
    <t>91-day report: sessions, hours, GMV, items, GMV per hour, 7-day average, reconciliation to raw data, chart.</t>
  </si>
  <si>
    <t>Weekly Summary</t>
  </si>
  <si>
    <t>13 weekly rows with week-over-week change and %, reconciliation, weekly GMV chart.</t>
  </si>
  <si>
    <t>Host Performance</t>
  </si>
  <si>
    <t>Host scorecard, documented ranking rule, host × time-slot efficiency table, weekly GMV heat-map by host.</t>
  </si>
  <si>
    <t>Dashboard</t>
  </si>
  <si>
    <t>Executive view: six KPI cards, five charts, date-range and host filters (yellow cells).</t>
  </si>
  <si>
    <t>Insights</t>
  </si>
  <si>
    <t>Eight calculated findings with why-it-matters and next steps, plus supporting tables.</t>
  </si>
  <si>
    <t>Flow: Raw Data → Cleaned Data (tblClean) → Daily / Weekly / Host summaries → Dashboard → Insights. Every summary reads from tblClean and counts only rows with Include = 1; each summary sheet reconciles back to Raw Data.</t>
  </si>
  <si>
    <t>HOW TO USE THE DASHBOARD</t>
  </si>
  <si>
    <t>Change the yellow cells on the Dashboard: From Date, To Date (dates between 02-Jun-2025 and 31-Aug-2025) and Host (dropdown). KPI cards, the daily trend and the weekly trend recalculate for the selected dates and host. The three host-comparison charts respond to the date range only, so all hosts stay visible for comparison. Limitation: this uses formula-driven filters rather than PivotTable slicers, so it works in any desktop Excel version without setup; weeks at the edge of a custom date range show partial totals, and charts skip days/weeks outside the range (helper cells use NA() placeholders by design).</t>
  </si>
  <si>
    <t>METRIC DEFINITIONS</t>
  </si>
  <si>
    <t>GMV</t>
  </si>
  <si>
    <t>Gross Merchandise Value: total value of goods sold through livestream sessions (here, “Attributed GMV”, in Philippine pesos). GMV is NOT net revenue, profit or cash received; returns, cancellations, discounts, fees and costs are not modelled.</t>
  </si>
  <si>
    <t>Items Sold</t>
  </si>
  <si>
    <t>Total units sold in a session (sum of item quantities).</t>
  </si>
  <si>
    <t>Livestream Duration</t>
  </si>
  <si>
    <t>Hours on air = (End Time − Start Time) × 24, using MOD(…,1) so sessions that cross midnight are handled.</t>
  </si>
  <si>
    <t>GMV per Hour</t>
  </si>
  <si>
    <t>Total GMV ÷ total livestream hours. Overall and per-host rates are weighted (sum ÷ sum), never an average of session-level rates, because session lengths differ.</t>
  </si>
  <si>
    <t>Views</t>
  </si>
  <si>
    <t>Number of livestream views recorded for a session.</t>
  </si>
  <si>
    <t>GMV per 1K Views</t>
  </si>
  <si>
    <t>Total GMV ÷ total views × 1,000. A sales-yield measure per 1,000 views; it is not a conversion rate.</t>
  </si>
  <si>
    <t>Average Order Value</t>
  </si>
  <si>
    <t>NOT calculated: the dataset has no order count, so AOV cannot be derived honestly.</t>
  </si>
  <si>
    <t>Conversion Rate</t>
  </si>
  <si>
    <t>NOT calculated: the dataset has no clicks, visitors or orders to use as a denominator.</t>
  </si>
  <si>
    <t>Weekly GMV</t>
  </si>
  <si>
    <t>GMV summed over a Monday–Sunday reporting week (Week Start = date − WEEKDAY(date,2) + 1).</t>
  </si>
  <si>
    <t>WoW Change / %</t>
  </si>
  <si>
    <t>Current-week GMV − previous-week GMV; % = change ÷ previous week. Shown as n/a for week 1 or when the prior week is zero/missing.</t>
  </si>
  <si>
    <t>Host results measured together: total GMV (contribution), GMV per hour (efficiency), average GMV and items per session, share of GMV, and Efficiency Index (share of GMV ÷ share of hours).</t>
  </si>
  <si>
    <t>Time Slot</t>
  </si>
  <si>
    <t>Based on session start time: Morning 06–12h, Afternoon 12–16h, Early Evening 16–19h, Prime Time 19–22h, Late Night 22–06h.</t>
  </si>
  <si>
    <t>DATA QUALITY &amp; DESIGN DECISIONS</t>
  </si>
  <si>
    <t>• Single dataset: all months live in one table instead of separate monthly tabs, so every report reads the same source.</t>
  </si>
  <si>
    <t>• Typed-in inputs only on Raw Data; all totals, rates and rankings are formulas (no hardcoded totals). Reports reconcile to Raw Data and show ✔ Reconciled / PASS checks.</t>
  </si>
  <si>
    <t>• Cleaning layer handles issues common in manual trackers: text-formatted numbers, times typed as text, inconsistent host spelling/spacing, duplicate IDs, negative or missing values, impossible durations. The synthetic sample is clean, so all checks currently read PASS; the checks are live and would flag problems in newly pasted data.</t>
  </si>
  <si>
    <t>• Excel functions only (no Google-Sheets-only formulas, no spill arrays). Data validation on Raw Data restricts GMV/items/views/followers to non-negative values and hosts to the roster.</t>
  </si>
  <si>
    <t>• Power Query alternative: Data → From Table/Range on tblRaw → Transform: trim/capitalise Host Name; set Date, Time and number types; add custom columns Duration = Duration.TotalHours(End − Start) with +1 day when End &lt; Start, Week Start = Date.StartOfWeek(Date, Day.Monday); remove duplicates on Session ID; filter negatives → Close &amp; Load to a table. The formula version above is used so the workbook works without any setup.</t>
  </si>
  <si>
    <t>DATA DICTIONARY</t>
  </si>
  <si>
    <t>Sheet</t>
  </si>
  <si>
    <t>Field</t>
  </si>
  <si>
    <t>Type</t>
  </si>
  <si>
    <t>Description</t>
  </si>
  <si>
    <t>How it is derived</t>
  </si>
  <si>
    <t>Session ID</t>
  </si>
  <si>
    <t>Text</t>
  </si>
  <si>
    <t>Unique identifier of a livestream session (LS-0001…).</t>
  </si>
  <si>
    <t>Input</t>
  </si>
  <si>
    <t>Date</t>
  </si>
  <si>
    <t>Calendar date the session started.</t>
  </si>
  <si>
    <t>Host Name</t>
  </si>
  <si>
    <t>Fictional host who ran the session (five hosts).</t>
  </si>
  <si>
    <t>Input (dropdown validated against roster)</t>
  </si>
  <si>
    <t>Start Time</t>
  </si>
  <si>
    <t>Time</t>
  </si>
  <si>
    <t>Time the session went live.</t>
  </si>
  <si>
    <t>End Time</t>
  </si>
  <si>
    <t>Time the session ended; may be after midnight.</t>
  </si>
  <si>
    <t>Attributed GMV PHP</t>
  </si>
  <si>
    <t>Currency (PHP)</t>
  </si>
  <si>
    <t>GMV attributed to the session, in pesos.</t>
  </si>
  <si>
    <t>Input (≥ 0)</t>
  </si>
  <si>
    <t>Whole number</t>
  </si>
  <si>
    <t>Units sold in the session.</t>
  </si>
  <si>
    <t>Livestream Views</t>
  </si>
  <si>
    <t>Views recorded for the session.</t>
  </si>
  <si>
    <t>New Followers</t>
  </si>
  <si>
    <t>Followers gained during the session.</t>
  </si>
  <si>
    <t>Session ID … New Followers (A–I)</t>
  </si>
  <si>
    <t>As raw</t>
  </si>
  <si>
    <t>Standardised copies of the nine raw fields.</t>
  </si>
  <si>
    <t>Linked to Raw Data row; TRIM/PROPER for text, INT/MOD for dates and times, VALUE for numbers stored as text</t>
  </si>
  <si>
    <t>Duration Hours</t>
  </si>
  <si>
    <t>Number</t>
  </si>
  <si>
    <t>Hours on air.</t>
  </si>
  <si>
    <t>ROUND(MOD(End − Start, 1) × 24, 2)</t>
  </si>
  <si>
    <t>Session GMV ÷ session hours (session-level, for review only).</t>
  </si>
  <si>
    <t>Attributed GMV ÷ Duration Hours</t>
  </si>
  <si>
    <t>Month</t>
  </si>
  <si>
    <t>First day of the session's month.</t>
  </si>
  <si>
    <t>DATE(YEAR, MONTH, 1)</t>
  </si>
  <si>
    <t>Week Start</t>
  </si>
  <si>
    <t>Monday of the session's week.</t>
  </si>
  <si>
    <t>Date − WEEKDAY(Date, 2) + 1</t>
  </si>
  <si>
    <t>Week Number</t>
  </si>
  <si>
    <t>Reporting week, 1 = first week of data.</t>
  </si>
  <si>
    <t>(Week Start − earliest Week Start) ÷ 7 + 1</t>
  </si>
  <si>
    <t>Day of Week</t>
  </si>
  <si>
    <t>Mon–Sun.</t>
  </si>
  <si>
    <t>CHOOSE(WEEKDAY(Date, 2), …)</t>
  </si>
  <si>
    <t>Day Type</t>
  </si>
  <si>
    <t>Weekday or Weekend.</t>
  </si>
  <si>
    <t>WEEKDAY(Date, 2) ≥ 6 → Weekend</t>
  </si>
  <si>
    <t>Morning / Afternoon / Early Evening / Prime Time / Late Night.</t>
  </si>
  <si>
    <t>Nested IF on Start Time</t>
  </si>
  <si>
    <t>Duration Band</t>
  </si>
  <si>
    <t>Short (&lt;2h), Standard (2h to &lt;3h), Long (3h+).</t>
  </si>
  <si>
    <t>Nested IF on Duration Hours</t>
  </si>
  <si>
    <t>Missing Flag</t>
  </si>
  <si>
    <t>0/1</t>
  </si>
  <si>
    <t>1 if any required field is blank or not numeric.</t>
  </si>
  <si>
    <t>OR(NOT(ISNUMBER(…)), blanks)</t>
  </si>
  <si>
    <t>Duplicate Flag</t>
  </si>
  <si>
    <t>1 if the Session ID appears more than once.</t>
  </si>
  <si>
    <t>COUNTIF(Session ID) &gt; 1</t>
  </si>
  <si>
    <t>Negative Flag</t>
  </si>
  <si>
    <t>1 if GMV, items, views or followers is negative.</t>
  </si>
  <si>
    <t>OR(value &lt; 0, …)</t>
  </si>
  <si>
    <t>Duration Flag</t>
  </si>
  <si>
    <t>1 if duration is missing, ≤ 0 or &gt; 12 hours.</t>
  </si>
  <si>
    <t>IF(ISNUMBER, OR(≤0, &gt;12), 1)</t>
  </si>
  <si>
    <t>Host Flag</t>
  </si>
  <si>
    <t>1 if the host is not on the roster.</t>
  </si>
  <si>
    <t>COUNTIF(HostRoster, Host) = 0</t>
  </si>
  <si>
    <t>Include</t>
  </si>
  <si>
    <t>1 if no flag is raised; only these rows feed the reports.</t>
  </si>
  <si>
    <t>Sum of the five flags = 0</t>
  </si>
  <si>
    <t>All columns</t>
  </si>
  <si>
    <t>Mixed</t>
  </si>
  <si>
    <t>Per-day sessions, hours, GMV, items, GMV per hour, 7-day average GMV.</t>
  </si>
  <si>
    <t>COUNTIFS / SUMIFS on tblClean by Date</t>
  </si>
  <si>
    <t>Per-week totals, GMV per hour, WoW change and %.</t>
  </si>
  <si>
    <t>SUMIFS / COUNTIFS on tblClean by Week Start</t>
  </si>
  <si>
    <t>Host totals, averages, shares, Efficiency Index, ranks, profile label.</t>
  </si>
  <si>
    <t>SUMIFS / COUNTIFS by Host Name; RANK</t>
  </si>
  <si>
    <t>Color key: blue text = typed input (host roster, dashboard filters); black = formula. Yellow cells on the Dashboard are filters.</t>
  </si>
  <si>
    <t>RAW DATA  |  Synthetic Livestream Session Log</t>
  </si>
  <si>
    <t>Source layer: values as recorded, one row per livestream session. All figures are fictional (synthetic). Add new sessions directly beneath the last row; the table expands automatically.</t>
  </si>
  <si>
    <t>LS-0001</t>
  </si>
  <si>
    <t>Carlo Mendoza</t>
  </si>
  <si>
    <t>LS-0002</t>
  </si>
  <si>
    <t>Bianca Reyes</t>
  </si>
  <si>
    <t>LS-0003</t>
  </si>
  <si>
    <t>Aira Valdez</t>
  </si>
  <si>
    <t>LS-0004</t>
  </si>
  <si>
    <t>LS-0005</t>
  </si>
  <si>
    <t>LS-0006</t>
  </si>
  <si>
    <t>LS-0007</t>
  </si>
  <si>
    <t>LS-0008</t>
  </si>
  <si>
    <t>LS-0009</t>
  </si>
  <si>
    <t>LS-0010</t>
  </si>
  <si>
    <t>LS-0011</t>
  </si>
  <si>
    <t>Dani Villanueva</t>
  </si>
  <si>
    <t>LS-0012</t>
  </si>
  <si>
    <t>LS-0013</t>
  </si>
  <si>
    <t>LS-0014</t>
  </si>
  <si>
    <t>LS-0015</t>
  </si>
  <si>
    <t>LS-0016</t>
  </si>
  <si>
    <t>LS-0017</t>
  </si>
  <si>
    <t>LS-0018</t>
  </si>
  <si>
    <t>LS-0019</t>
  </si>
  <si>
    <t>LS-0020</t>
  </si>
  <si>
    <t>LS-0021</t>
  </si>
  <si>
    <t>LS-0022</t>
  </si>
  <si>
    <t>LS-0023</t>
  </si>
  <si>
    <t>LS-0024</t>
  </si>
  <si>
    <t>LS-0025</t>
  </si>
  <si>
    <t>LS-0026</t>
  </si>
  <si>
    <t>LS-0027</t>
  </si>
  <si>
    <t>LS-0028</t>
  </si>
  <si>
    <t>LS-0029</t>
  </si>
  <si>
    <t>LS-0030</t>
  </si>
  <si>
    <t>LS-0031</t>
  </si>
  <si>
    <t>LS-0032</t>
  </si>
  <si>
    <t>LS-0033</t>
  </si>
  <si>
    <t>LS-0034</t>
  </si>
  <si>
    <t>LS-0035</t>
  </si>
  <si>
    <t>LS-0036</t>
  </si>
  <si>
    <t>LS-0037</t>
  </si>
  <si>
    <t>LS-0038</t>
  </si>
  <si>
    <t>LS-0039</t>
  </si>
  <si>
    <t>LS-0040</t>
  </si>
  <si>
    <t>LS-0041</t>
  </si>
  <si>
    <t>LS-0042</t>
  </si>
  <si>
    <t>LS-0043</t>
  </si>
  <si>
    <t>LS-0044</t>
  </si>
  <si>
    <t>LS-0045</t>
  </si>
  <si>
    <t>LS-0046</t>
  </si>
  <si>
    <t>LS-0047</t>
  </si>
  <si>
    <t>LS-0048</t>
  </si>
  <si>
    <t>LS-0049</t>
  </si>
  <si>
    <t>LS-0050</t>
  </si>
  <si>
    <t>LS-0051</t>
  </si>
  <si>
    <t>LS-0052</t>
  </si>
  <si>
    <t>LS-0053</t>
  </si>
  <si>
    <t>LS-0054</t>
  </si>
  <si>
    <t>LS-0055</t>
  </si>
  <si>
    <t>LS-0056</t>
  </si>
  <si>
    <t>LS-0057</t>
  </si>
  <si>
    <t>LS-0058</t>
  </si>
  <si>
    <t>LS-0059</t>
  </si>
  <si>
    <t>LS-0060</t>
  </si>
  <si>
    <t>LS-0061</t>
  </si>
  <si>
    <t>LS-0062</t>
  </si>
  <si>
    <t>LS-0063</t>
  </si>
  <si>
    <t>LS-0064</t>
  </si>
  <si>
    <t>LS-0065</t>
  </si>
  <si>
    <t>LS-0066</t>
  </si>
  <si>
    <t>LS-0067</t>
  </si>
  <si>
    <t>LS-0068</t>
  </si>
  <si>
    <t>LS-0069</t>
  </si>
  <si>
    <t>Elise Navarro</t>
  </si>
  <si>
    <t>LS-0070</t>
  </si>
  <si>
    <t>LS-0071</t>
  </si>
  <si>
    <t>LS-0072</t>
  </si>
  <si>
    <t>LS-0073</t>
  </si>
  <si>
    <t>LS-0074</t>
  </si>
  <si>
    <t>LS-0075</t>
  </si>
  <si>
    <t>LS-0076</t>
  </si>
  <si>
    <t>LS-0077</t>
  </si>
  <si>
    <t>LS-0078</t>
  </si>
  <si>
    <t>LS-0079</t>
  </si>
  <si>
    <t>LS-0080</t>
  </si>
  <si>
    <t>LS-0081</t>
  </si>
  <si>
    <t>LS-0082</t>
  </si>
  <si>
    <t>LS-0083</t>
  </si>
  <si>
    <t>LS-0084</t>
  </si>
  <si>
    <t>LS-0085</t>
  </si>
  <si>
    <t>LS-0086</t>
  </si>
  <si>
    <t>LS-0087</t>
  </si>
  <si>
    <t>LS-0088</t>
  </si>
  <si>
    <t>LS-0089</t>
  </si>
  <si>
    <t>LS-0090</t>
  </si>
  <si>
    <t>LS-0091</t>
  </si>
  <si>
    <t>LS-0092</t>
  </si>
  <si>
    <t>LS-0093</t>
  </si>
  <si>
    <t>LS-0094</t>
  </si>
  <si>
    <t>LS-0095</t>
  </si>
  <si>
    <t>LS-0096</t>
  </si>
  <si>
    <t>LS-0097</t>
  </si>
  <si>
    <t>LS-0098</t>
  </si>
  <si>
    <t>LS-0099</t>
  </si>
  <si>
    <t>LS-0100</t>
  </si>
  <si>
    <t>LS-0101</t>
  </si>
  <si>
    <t>LS-0102</t>
  </si>
  <si>
    <t>LS-0103</t>
  </si>
  <si>
    <t>LS-0104</t>
  </si>
  <si>
    <t>LS-0105</t>
  </si>
  <si>
    <t>LS-0106</t>
  </si>
  <si>
    <t>LS-0107</t>
  </si>
  <si>
    <t>LS-0108</t>
  </si>
  <si>
    <t>LS-0109</t>
  </si>
  <si>
    <t>LS-0110</t>
  </si>
  <si>
    <t>LS-0111</t>
  </si>
  <si>
    <t>LS-0112</t>
  </si>
  <si>
    <t>LS-0113</t>
  </si>
  <si>
    <t>LS-0114</t>
  </si>
  <si>
    <t>LS-0115</t>
  </si>
  <si>
    <t>LS-0116</t>
  </si>
  <si>
    <t>LS-0117</t>
  </si>
  <si>
    <t>LS-0118</t>
  </si>
  <si>
    <t>LS-0119</t>
  </si>
  <si>
    <t>LS-0120</t>
  </si>
  <si>
    <t>LS-0121</t>
  </si>
  <si>
    <t>LS-0122</t>
  </si>
  <si>
    <t>LS-0123</t>
  </si>
  <si>
    <t>LS-0124</t>
  </si>
  <si>
    <t>LS-0125</t>
  </si>
  <si>
    <t>LS-0126</t>
  </si>
  <si>
    <t>LS-0127</t>
  </si>
  <si>
    <t>LS-0128</t>
  </si>
  <si>
    <t>LS-0129</t>
  </si>
  <si>
    <t>LS-0130</t>
  </si>
  <si>
    <t>LS-0131</t>
  </si>
  <si>
    <t>LS-0132</t>
  </si>
  <si>
    <t>LS-0133</t>
  </si>
  <si>
    <t>LS-0134</t>
  </si>
  <si>
    <t>LS-0135</t>
  </si>
  <si>
    <t>LS-0136</t>
  </si>
  <si>
    <t>LS-0137</t>
  </si>
  <si>
    <t>LS-0138</t>
  </si>
  <si>
    <t>LS-0139</t>
  </si>
  <si>
    <t>LS-0140</t>
  </si>
  <si>
    <t>LS-0141</t>
  </si>
  <si>
    <t>LS-0142</t>
  </si>
  <si>
    <t>LS-0143</t>
  </si>
  <si>
    <t>LS-0144</t>
  </si>
  <si>
    <t>LS-0145</t>
  </si>
  <si>
    <t>LS-0146</t>
  </si>
  <si>
    <t>LS-0147</t>
  </si>
  <si>
    <t>LS-0148</t>
  </si>
  <si>
    <t>LS-0149</t>
  </si>
  <si>
    <t>LS-0150</t>
  </si>
  <si>
    <t>LS-0151</t>
  </si>
  <si>
    <t>LS-0152</t>
  </si>
  <si>
    <t>LS-0153</t>
  </si>
  <si>
    <t>LS-0154</t>
  </si>
  <si>
    <t>LS-0155</t>
  </si>
  <si>
    <t>LS-0156</t>
  </si>
  <si>
    <t>LS-0157</t>
  </si>
  <si>
    <t>LS-0158</t>
  </si>
  <si>
    <t>LS-0159</t>
  </si>
  <si>
    <t>LS-0160</t>
  </si>
  <si>
    <t>LS-0161</t>
  </si>
  <si>
    <t>LS-0162</t>
  </si>
  <si>
    <t>LS-0163</t>
  </si>
  <si>
    <t>LS-0164</t>
  </si>
  <si>
    <t>LS-0165</t>
  </si>
  <si>
    <t>LS-0166</t>
  </si>
  <si>
    <t>LS-0167</t>
  </si>
  <si>
    <t>LS-0168</t>
  </si>
  <si>
    <t>LS-0169</t>
  </si>
  <si>
    <t>LS-0170</t>
  </si>
  <si>
    <t>LS-0171</t>
  </si>
  <si>
    <t>LS-0172</t>
  </si>
  <si>
    <t>LS-0173</t>
  </si>
  <si>
    <t>LS-0174</t>
  </si>
  <si>
    <t>LS-0175</t>
  </si>
  <si>
    <t>LS-0176</t>
  </si>
  <si>
    <t>LS-0177</t>
  </si>
  <si>
    <t>LS-0178</t>
  </si>
  <si>
    <t>LS-0179</t>
  </si>
  <si>
    <t>LS-0180</t>
  </si>
  <si>
    <t>LS-0181</t>
  </si>
  <si>
    <t>LS-0182</t>
  </si>
  <si>
    <t>LS-0183</t>
  </si>
  <si>
    <t>LS-0184</t>
  </si>
  <si>
    <t>LS-0185</t>
  </si>
  <si>
    <t>LS-0186</t>
  </si>
  <si>
    <t>LS-0187</t>
  </si>
  <si>
    <t>LS-0188</t>
  </si>
  <si>
    <t>LS-0189</t>
  </si>
  <si>
    <t>LS-0190</t>
  </si>
  <si>
    <t>LS-0191</t>
  </si>
  <si>
    <t>LS-0192</t>
  </si>
  <si>
    <t>LS-0193</t>
  </si>
  <si>
    <t>LS-0194</t>
  </si>
  <si>
    <t>LS-0195</t>
  </si>
  <si>
    <t>LS-0196</t>
  </si>
  <si>
    <t>LS-0197</t>
  </si>
  <si>
    <t>LS-0198</t>
  </si>
  <si>
    <t>LS-0199</t>
  </si>
  <si>
    <t>LS-0200</t>
  </si>
  <si>
    <t>LS-0201</t>
  </si>
  <si>
    <t>LS-0202</t>
  </si>
  <si>
    <t>LS-0203</t>
  </si>
  <si>
    <t>LS-0204</t>
  </si>
  <si>
    <t>LS-0205</t>
  </si>
  <si>
    <t>LS-0206</t>
  </si>
  <si>
    <t>LS-0207</t>
  </si>
  <si>
    <t>LS-0208</t>
  </si>
  <si>
    <t>LS-0209</t>
  </si>
  <si>
    <t>LS-0210</t>
  </si>
  <si>
    <t>LS-0211</t>
  </si>
  <si>
    <t>LS-0212</t>
  </si>
  <si>
    <t>LS-0213</t>
  </si>
  <si>
    <t>LS-0214</t>
  </si>
  <si>
    <t>LS-0215</t>
  </si>
  <si>
    <t>LS-0216</t>
  </si>
  <si>
    <t>LS-0217</t>
  </si>
  <si>
    <t>LS-0218</t>
  </si>
  <si>
    <t>LS-0219</t>
  </si>
  <si>
    <t>LS-0220</t>
  </si>
  <si>
    <t>LS-0221</t>
  </si>
  <si>
    <t>LS-0222</t>
  </si>
  <si>
    <t>LS-0223</t>
  </si>
  <si>
    <t>LS-0224</t>
  </si>
  <si>
    <t>LS-0225</t>
  </si>
  <si>
    <t>LS-0226</t>
  </si>
  <si>
    <t>LS-0227</t>
  </si>
  <si>
    <t>LS-0228</t>
  </si>
  <si>
    <t>LS-0229</t>
  </si>
  <si>
    <t>LS-0230</t>
  </si>
  <si>
    <t>LS-0231</t>
  </si>
  <si>
    <t>LS-0232</t>
  </si>
  <si>
    <t>LS-0233</t>
  </si>
  <si>
    <t>LS-0234</t>
  </si>
  <si>
    <t>LS-0235</t>
  </si>
  <si>
    <t>LS-0236</t>
  </si>
  <si>
    <t>LS-0237</t>
  </si>
  <si>
    <t>LS-0238</t>
  </si>
  <si>
    <t>LS-0239</t>
  </si>
  <si>
    <t>LS-0240</t>
  </si>
  <si>
    <t>LS-0241</t>
  </si>
  <si>
    <t>LS-0242</t>
  </si>
  <si>
    <t>LS-0243</t>
  </si>
  <si>
    <t>LS-0244</t>
  </si>
  <si>
    <t>LS-0245</t>
  </si>
  <si>
    <t>LS-0246</t>
  </si>
  <si>
    <t>LS-0247</t>
  </si>
  <si>
    <t>LS-0248</t>
  </si>
  <si>
    <t>LS-0249</t>
  </si>
  <si>
    <t>LS-0250</t>
  </si>
  <si>
    <t>LS-0251</t>
  </si>
  <si>
    <t>LS-0252</t>
  </si>
  <si>
    <t>LS-0253</t>
  </si>
  <si>
    <t>LS-0254</t>
  </si>
  <si>
    <t>LS-0255</t>
  </si>
  <si>
    <t>LS-0256</t>
  </si>
  <si>
    <t>LS-0257</t>
  </si>
  <si>
    <t>LS-0258</t>
  </si>
  <si>
    <t>LS-0259</t>
  </si>
  <si>
    <t>LS-0260</t>
  </si>
  <si>
    <t>LS-0261</t>
  </si>
  <si>
    <t>LS-0262</t>
  </si>
  <si>
    <t>LS-0263</t>
  </si>
  <si>
    <t>LS-0264</t>
  </si>
  <si>
    <t>LS-0265</t>
  </si>
  <si>
    <t>LS-0266</t>
  </si>
  <si>
    <t>LS-0267</t>
  </si>
  <si>
    <t>LS-0268</t>
  </si>
  <si>
    <t>LS-0269</t>
  </si>
  <si>
    <t>LS-0270</t>
  </si>
  <si>
    <t>LS-0271</t>
  </si>
  <si>
    <t>LS-0272</t>
  </si>
  <si>
    <t>LS-0273</t>
  </si>
  <si>
    <t>LS-0274</t>
  </si>
  <si>
    <t>LS-0275</t>
  </si>
  <si>
    <t>LS-0276</t>
  </si>
  <si>
    <t>LS-0277</t>
  </si>
  <si>
    <t>LS-0278</t>
  </si>
  <si>
    <t>LS-0279</t>
  </si>
  <si>
    <t>LS-0280</t>
  </si>
  <si>
    <t>LS-0281</t>
  </si>
  <si>
    <t>LS-0282</t>
  </si>
  <si>
    <t>LS-0283</t>
  </si>
  <si>
    <t>LS-0284</t>
  </si>
  <si>
    <t>LS-0285</t>
  </si>
  <si>
    <t>LS-0286</t>
  </si>
  <si>
    <t>LS-0287</t>
  </si>
  <si>
    <t>LS-0288</t>
  </si>
  <si>
    <t>LS-0289</t>
  </si>
  <si>
    <t>LS-0290</t>
  </si>
  <si>
    <t>LS-0291</t>
  </si>
  <si>
    <t>LS-0292</t>
  </si>
  <si>
    <t>LS-0293</t>
  </si>
  <si>
    <t>LS-0294</t>
  </si>
  <si>
    <t>LS-0295</t>
  </si>
  <si>
    <t>LS-0296</t>
  </si>
  <si>
    <t>LS-0297</t>
  </si>
  <si>
    <t>LS-0298</t>
  </si>
  <si>
    <t>LS-0299</t>
  </si>
  <si>
    <t>LS-0300</t>
  </si>
  <si>
    <t>LS-0301</t>
  </si>
  <si>
    <t>LS-0302</t>
  </si>
  <si>
    <t>LS-0303</t>
  </si>
  <si>
    <t>LS-0304</t>
  </si>
  <si>
    <t>LS-0305</t>
  </si>
  <si>
    <t>LS-0306</t>
  </si>
  <si>
    <t>LS-0307</t>
  </si>
  <si>
    <t>LS-0308</t>
  </si>
  <si>
    <t>LS-0309</t>
  </si>
  <si>
    <t>LS-0310</t>
  </si>
  <si>
    <t>LS-0311</t>
  </si>
  <si>
    <t>LS-0312</t>
  </si>
  <si>
    <t>LS-0313</t>
  </si>
  <si>
    <t>LS-0314</t>
  </si>
  <si>
    <t>LS-0315</t>
  </si>
  <si>
    <t>LS-0316</t>
  </si>
  <si>
    <t>LS-0317</t>
  </si>
  <si>
    <t>LS-0318</t>
  </si>
  <si>
    <t>LS-0319</t>
  </si>
  <si>
    <t>LS-0320</t>
  </si>
  <si>
    <t>LS-0321</t>
  </si>
  <si>
    <t>LS-0322</t>
  </si>
  <si>
    <t>LS-0323</t>
  </si>
  <si>
    <t>LS-0324</t>
  </si>
  <si>
    <t>LS-0325</t>
  </si>
  <si>
    <t>LS-0326</t>
  </si>
  <si>
    <t>LS-0327</t>
  </si>
  <si>
    <t>LS-0328</t>
  </si>
  <si>
    <t>LS-0329</t>
  </si>
  <si>
    <t>LS-0330</t>
  </si>
  <si>
    <t>LS-0331</t>
  </si>
  <si>
    <t>LS-0332</t>
  </si>
  <si>
    <t>LS-0333</t>
  </si>
  <si>
    <t>LS-0334</t>
  </si>
  <si>
    <t>LS-0335</t>
  </si>
  <si>
    <t>LS-0336</t>
  </si>
  <si>
    <t>LS-0337</t>
  </si>
  <si>
    <t>LS-0338</t>
  </si>
  <si>
    <t>LS-0339</t>
  </si>
  <si>
    <t>LS-0340</t>
  </si>
  <si>
    <t>LS-0341</t>
  </si>
  <si>
    <t>LS-0342</t>
  </si>
  <si>
    <t>LS-0343</t>
  </si>
  <si>
    <t>LS-0344</t>
  </si>
  <si>
    <t>LS-0345</t>
  </si>
  <si>
    <t>LS-0346</t>
  </si>
  <si>
    <t>LS-0347</t>
  </si>
  <si>
    <t>LS-0348</t>
  </si>
  <si>
    <t>LS-0349</t>
  </si>
  <si>
    <t>LS-0350</t>
  </si>
  <si>
    <t>LS-0351</t>
  </si>
  <si>
    <t>LS-0352</t>
  </si>
  <si>
    <t>LS-0353</t>
  </si>
  <si>
    <t>LS-0354</t>
  </si>
  <si>
    <t>LS-0355</t>
  </si>
  <si>
    <t>LS-0356</t>
  </si>
  <si>
    <t>LS-0357</t>
  </si>
  <si>
    <t>LS-0358</t>
  </si>
  <si>
    <t>LS-0359</t>
  </si>
  <si>
    <t>LS-0360</t>
  </si>
  <si>
    <t>LS-0361</t>
  </si>
  <si>
    <t>LS-0362</t>
  </si>
  <si>
    <t>LS-0363</t>
  </si>
  <si>
    <t>LS-0364</t>
  </si>
  <si>
    <t>LS-0365</t>
  </si>
  <si>
    <t>LS-0366</t>
  </si>
  <si>
    <t>LS-0367</t>
  </si>
  <si>
    <t>LS-0368</t>
  </si>
  <si>
    <t>LS-0369</t>
  </si>
  <si>
    <t>LS-0370</t>
  </si>
  <si>
    <t>LS-0371</t>
  </si>
  <si>
    <t>LS-0372</t>
  </si>
  <si>
    <t>LS-0373</t>
  </si>
  <si>
    <t>LS-0374</t>
  </si>
  <si>
    <t>CLEANED DATA &amp; CALCULATIONS  |  Formula-Driven Transformation Layer</t>
  </si>
  <si>
    <t>Each row links to the same row on 'Raw Data' and standardizes, derives and validates it. Every summary sheet reads from this table (tblClean), counting only rows where Include = 1.</t>
  </si>
  <si>
    <t>DATA QUALITY CHECKS (live formulas — all should read PASS)</t>
  </si>
  <si>
    <t>Raw rows vs cleaned rows</t>
  </si>
  <si>
    <t>Missing or non-numeric values</t>
  </si>
  <si>
    <t>Duplicate Session IDs</t>
  </si>
  <si>
    <t>Negative GMV / items / views / followers</t>
  </si>
  <si>
    <t>Invalid durations (≤0h or &gt;12h)</t>
  </si>
  <si>
    <t>Host names not on roster</t>
  </si>
  <si>
    <t>Rows included in analysis</t>
  </si>
  <si>
    <t>GMV: raw minus included (PHP)</t>
  </si>
  <si>
    <t>Items: raw minus included</t>
  </si>
  <si>
    <t>Rule: a row counts toward analysis only if none of the five flag columns (S–W) equals 1. If duplicate IDs exist, every row sharing the ID is held out for review.</t>
  </si>
  <si>
    <t>Host Roster</t>
  </si>
  <si>
    <t>Master list (input). Named range: HostRoster</t>
  </si>
  <si>
    <t>DAILY SALES PERFORMANCE</t>
  </si>
  <si>
    <t>One row per calendar day, calculated from Cleaned Data (SUMIFS / COUNTIFS). Synthetic data — portfolio demonstration.</t>
  </si>
  <si>
    <t>Highlights: green = top 10% GMV per Hour, red = bottom 10%. 7-Day Avg GMV = trailing average (fewer days at the start of the period). GMV per Hour = GMV ÷ hours (weighted).</t>
  </si>
  <si>
    <t>Day</t>
  </si>
  <si>
    <t>Sessions</t>
  </si>
  <si>
    <t>Livestream Hours</t>
  </si>
  <si>
    <t>Total GMV</t>
  </si>
  <si>
    <t>7-Day Avg GMV</t>
  </si>
  <si>
    <t>TOTAL</t>
  </si>
  <si>
    <t>Raw Data total</t>
  </si>
  <si>
    <t>Difference</t>
  </si>
  <si>
    <t>WEEKLY SALES SUMMARY</t>
  </si>
  <si>
    <t>Weeks run Monday–Sunday and are derived from Cleaned Data. Synthetic data — portfolio demonstration.</t>
  </si>
  <si>
    <t>Week-over-week (WoW) % = (current − previous) ÷ previous. Shown as n/a for the first week or when the previous week's GMV is zero or missing.</t>
  </si>
  <si>
    <t>Week #</t>
  </si>
  <si>
    <t>Week End</t>
  </si>
  <si>
    <t>WoW GMV Change</t>
  </si>
  <si>
    <t>WoW GMV Change %</t>
  </si>
  <si>
    <t>Green row = highest-GMV week. Weekly GMV is volatile: promotions, paydays and a few unusually strong sessions can move a single week.</t>
  </si>
  <si>
    <t>HOST PERFORMANCE ANALYSIS</t>
  </si>
  <si>
    <t>Calculated from Cleaned Data. Synthetic hosts — portfolio demonstration.</t>
  </si>
  <si>
    <t>Avg GMV per Session</t>
  </si>
  <si>
    <t>Avg Items per Session</t>
  </si>
  <si>
    <t>% of Total GMV</t>
  </si>
  <si>
    <t>% of Total Hours</t>
  </si>
  <si>
    <t>Efficiency Index</t>
  </si>
  <si>
    <t>Performance Rank (GMV per Hour)</t>
  </si>
  <si>
    <t>Total GMV Rank</t>
  </si>
  <si>
    <t>Profile</t>
  </si>
  <si>
    <t>ALL HOSTS</t>
  </si>
  <si>
    <t>HOW HOSTS ARE RANKED</t>
  </si>
  <si>
    <t>Ranking rule: hosts are ranked by GMV per Hour (host total GMV ÷ host total livestream hours — a weighted rate, not an average of session rates). Ties would be broken by Total GMV. The Total GMV rank is shown beside it for scale.</t>
  </si>
  <si>
    <t>Why the two ranks can differ: Total GMV rewards time on air — a host who streams more hours can lead on volume without being the most productive per hour. GMV per Hour removes the effect of schedule length and shows selling efficiency.</t>
  </si>
  <si>
    <t>Efficiency Index = % of Total GMV ÷ % of Total Hours. Above 1.00 means the host produces a larger share of GMV than the share of airtime used; below 1.00 means the opposite.</t>
  </si>
  <si>
    <t>Interpret with care: time slot, day of week, product mix and promotion dates differ across sessions, so the table describes observed results and does not prove that one host is better. See the Host × Time Slot table below.</t>
  </si>
  <si>
    <t>GMV PER HOUR BY HOST AND TIME SLOT (PHP)</t>
  </si>
  <si>
    <t>Slot by session start: Morning 06–12h, Afternoon 12–16h, Early Evening 16–19h, Prime Time 19–22h, Late Night 22–06h. Blank = no sessions.</t>
  </si>
  <si>
    <t>Morning</t>
  </si>
  <si>
    <t>Afternoon</t>
  </si>
  <si>
    <t>Early Evening</t>
  </si>
  <si>
    <t>Prime Time</t>
  </si>
  <si>
    <t>Late Night</t>
  </si>
  <si>
    <t>All Slots</t>
  </si>
  <si>
    <t>All hosts</t>
  </si>
  <si>
    <t>WEEKLY GMV BY HOST (PHP)</t>
  </si>
  <si>
    <t>Heat-map view of consistency across the 13 reporting weeks. Row totals reconcile to the Weekly Summary.</t>
  </si>
  <si>
    <t>All Hosts</t>
  </si>
  <si>
    <t>Check vs summary</t>
  </si>
  <si>
    <t>Excel-Based GMV Tracking, Host Performance Reporting, and Sales Analytics  |  Sample Live Commerce Store (fictional)</t>
  </si>
  <si>
    <t>Reporting period: 02 Jun 2025 – 31 Aug 2025  |  Currency: Philippine peso (PHP)  |  GMV = gross merchandise value, not net revenue or profit</t>
  </si>
  <si>
    <t>CHART DATA — helper ranges (formula-driven, do not edit). NA() placeholders mark days/weeks outside the selected filters (intentionally skipped by the charts).</t>
  </si>
  <si>
    <t>Host criterion:</t>
  </si>
  <si>
    <t>FROM DATE</t>
  </si>
  <si>
    <t>TO DATE</t>
  </si>
  <si>
    <t>HOST</t>
  </si>
  <si>
    <t>◄ Change the yellow filter cells. KPI cards, the daily trend and the weekly trend respond to date range and host. Host charts always show every host for the selected dates so hosts can be compared.</t>
  </si>
  <si>
    <t>Daily GMV</t>
  </si>
  <si>
    <t>Host</t>
  </si>
  <si>
    <t>Items</t>
  </si>
  <si>
    <t>Hours</t>
  </si>
  <si>
    <t>Host list</t>
  </si>
  <si>
    <t>TOTAL GMV</t>
  </si>
  <si>
    <t>TOTAL ITEMS SOLD</t>
  </si>
  <si>
    <t>LIVESTREAM SESSIONS</t>
  </si>
  <si>
    <t>LIVESTREAM HOURS</t>
  </si>
  <si>
    <t>AVG GMV PER HOUR</t>
  </si>
  <si>
    <t>TOP HOST BY TOTAL GMV</t>
  </si>
  <si>
    <t>Total GMV ÷ total hours (weighted)</t>
  </si>
  <si>
    <t>Portfolio project using synthetic data. Figures, hosts, and business information are fictional and do not represent any actual company's performance.  GMV (gross merchandise value) is a sales-volume measure and is not net revenue, profit or cash received. Conversion rate and average order value are not shown because order and click counts are not in the dataset.</t>
  </si>
  <si>
    <t>BUSINESS INSIGHTS</t>
  </si>
  <si>
    <t>Findings are formulas (they recalculate with the data). Interpretation and next steps describe observed results and possible explanations, not proven causes.</t>
  </si>
  <si>
    <t>#</t>
  </si>
  <si>
    <t>Business question</t>
  </si>
  <si>
    <t>Finding (calculated)</t>
  </si>
  <si>
    <t>Why it might matter</t>
  </si>
  <si>
    <t>Suggested next step</t>
  </si>
  <si>
    <t>Which host generated the highest total GMV?</t>
  </si>
  <si>
    <t>Total GMV shows who contributes most to overall sales, but it also reflects how many hours and which time slots a host is scheduled for, so it measures contribution rather than skill.</t>
  </si>
  <si>
    <t>Read together with Insight 2 before calling this host the top performer; check how their hours are split across time slots.</t>
  </si>
  <si>
    <t>Which host had the highest GMV per hour?</t>
  </si>
  <si>
    <t>GMV per hour adjusts for time on air, so it is a fairer comparison of selling efficiency when hosts stream different amounts. Differences between the two rankings show where volume and efficiency diverge.</t>
  </si>
  <si>
    <t>Test giving the efficiency leader additional prime slots, then check whether GMV per hour holds as hours increase.</t>
  </si>
  <si>
    <t>Which week recorded the highest GMV?</t>
  </si>
  <si>
    <t>Peak and low weeks show how volatile sales are. Promotions, paydays or a handful of unusually strong sessions can lift a single week, so the peak may not be repeatable.</t>
  </si>
  <si>
    <t>Filter Cleaned Data to that week and review the top sessions to see if the peak was broad-based or driven by a few sessions; tag campaign dates in future data.</t>
  </si>
  <si>
    <t>Is GMV increasing or decreasing across the period?</t>
  </si>
  <si>
    <t>Direction over 13 weeks hints at whether the channel is growing, but weekly GMV is noisy and 13 data points are too few to call a sustained trend.</t>
  </si>
  <si>
    <t>Extend the tracker with more weeks and compare against promotion dates before drawing a conclusion about growth.</t>
  </si>
  <si>
    <t>Which hosts sold the most items?</t>
  </si>
  <si>
    <t>Units sold reflect throughput and can rank hosts differently from GMV because of product mix and price points. Observed differences are not proof of better selling.</t>
  </si>
  <si>
    <t>Add product category or SKU fields to separate price-mix effects from sales volume.</t>
  </si>
  <si>
    <t>How does performance vary by day of the week?</t>
  </si>
  <si>
    <t>Day-of-week patterns inform scheduling and staffing. Hosts are not scheduled evenly across days, so part of the pattern may come from who streams when.</t>
  </si>
  <si>
    <t>Prioritise key launches on the strongest days and test shifting weaker days only after confirming the pattern persists with more weeks.</t>
  </si>
  <si>
    <t>Are longer livestreams associated with higher GMV?</t>
  </si>
  <si>
    <t>This tests whether extra airtime tends to pay off. A weak correlation suggests duration alone explains little of session GMV; longer shows may also earn less per hour.</t>
  </si>
  <si>
    <t>Compare sessions of different lengths within the same host and time slot before changing schedule length. Correlation does not show that longer streams cause higher GMV.</t>
  </si>
  <si>
    <t>Which host may warrant further investigation?</t>
  </si>
  <si>
    <t>A host whose share of GMV is below their share of airtime is using hours less productively. Possible causes (slot mix, product assortment, session length, experience) cannot be separated with this data.</t>
  </si>
  <si>
    <t>Compare this host with others within the same time slots (Host × Time Slot table on Host Performance), review their best and worst sessions, then consider coaching or schedule changes.</t>
  </si>
  <si>
    <t>Reading notes</t>
  </si>
  <si>
    <t>• All figures are synthetic and come from the 374-row sample dataset; they illustrate method, not a real business.</t>
  </si>
  <si>
    <t>• GMV is gross merchandise value attributed to livestream sessions. It is not revenue, profit or cash received, and returns/cancellations are not modelled.</t>
  </si>
  <si>
    <t>• Overall and host-level GMV per hour = total GMV ÷ total hours (weighted), never an average of session rates.</t>
  </si>
  <si>
    <t>• Findings describe what happened in the data. Explanations are hypotheses that would need further data or testing.</t>
  </si>
  <si>
    <t>SUPPORTING ANALYSIS (feeds the findings above)</t>
  </si>
  <si>
    <t>A. Performance by day of week</t>
  </si>
  <si>
    <t>Mon</t>
  </si>
  <si>
    <t>Tue</t>
  </si>
  <si>
    <t>Wed</t>
  </si>
  <si>
    <t>Thu</t>
  </si>
  <si>
    <t>Fri</t>
  </si>
  <si>
    <t>Sat</t>
  </si>
  <si>
    <t>Sun</t>
  </si>
  <si>
    <t>Weekday</t>
  </si>
  <si>
    <t>Weekend</t>
  </si>
  <si>
    <t>B. Performance by livestream duration band</t>
  </si>
  <si>
    <t>Duration band</t>
  </si>
  <si>
    <t>Avg Duration (h)</t>
  </si>
  <si>
    <t>Short (under 2h)</t>
  </si>
  <si>
    <t>Standard (2h to under 3h)</t>
  </si>
  <si>
    <t>Long (3h or more)</t>
  </si>
  <si>
    <t>Correlation r: duration vs session GMV</t>
  </si>
  <si>
    <t>C. Performance by time slot (session start)</t>
  </si>
  <si>
    <t>Time slot</t>
  </si>
  <si>
    <t>D. Trend and peak-week statistics</t>
  </si>
  <si>
    <t>Avg weekly GMV, weeks 1–4</t>
  </si>
  <si>
    <t>Avg weekly GMV, weeks 10–13</t>
  </si>
  <si>
    <t>Change, weeks 10–13 vs 1–4</t>
  </si>
  <si>
    <t>Linear trend (PHP per week)</t>
  </si>
  <si>
    <t>Peak week #</t>
  </si>
  <si>
    <t>Peak week GMV</t>
  </si>
  <si>
    <t>Lowest week #</t>
  </si>
  <si>
    <t>Lowest week GMV</t>
  </si>
  <si>
    <t>Average weekly GMV</t>
  </si>
  <si>
    <t>Weeks with WoW GMV decline</t>
  </si>
  <si>
    <t>Week-over-week comparisons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</si>
</sst>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dd\-mmm\-yyyy"/>
    <numFmt numFmtId="165" formatCode="&quot;₱&quot;#,##0"/>
    <numFmt numFmtId="166" formatCode="mmm\ yyyy"/>
    <numFmt numFmtId="167" formatCode="#,##0.0"/>
    <numFmt numFmtId="168" formatCode="\+&quot;₱&quot;#,##0;\-&quot;₱&quot;#,##0;&quot;₱&quot;0"/>
    <numFmt numFmtId="169" formatCode="\+0.0%;\-0.0%;0.0%"/>
    <numFmt numFmtId="170" formatCode="0.0"/>
    <numFmt numFmtId="171" formatCode="0.0%"/>
    <numFmt numFmtId="172" formatCode="\+0.0%;\-0.0%"/>
    <numFmt numFmtId="173" formatCode="\+&quot;₱&quot;#,##0;\-&quot;₱&quot;#,##0"/>
  </numFmts>
  <fonts count="31" x14ac:knownFonts="1">
    <font>
      <sz val="11"/>
      <color theme="1"/>
      <name val="Calibri"/>
      <family val="2"/>
      <scheme val="minor"/>
    </font>
    <font>
      <b/>
      <sz val="16"/>
      <color rgb="FFFFFFFF"/>
      <name val="Arial"/>
    </font>
    <font>
      <i/>
      <sz val="9"/>
      <color rgb="FFC9D6E8"/>
      <name val="Arial"/>
    </font>
    <font>
      <b/>
      <sz val="10"/>
      <color rgb="FFFFFFFF"/>
      <name val="Arial"/>
    </font>
    <font>
      <sz val="10"/>
      <color rgb="FF1F2937"/>
      <name val="Arial"/>
    </font>
    <font>
      <sz val="10"/>
      <color rgb="FF0000FF"/>
      <name val="Arial"/>
    </font>
    <font>
      <i/>
      <sz val="8"/>
      <color rgb="FF6B7280"/>
      <name val="Arial"/>
    </font>
    <font>
      <b/>
      <sz val="10"/>
      <color rgb="FF0B2545"/>
      <name val="Arial"/>
    </font>
    <font>
      <b/>
      <sz val="8"/>
      <color rgb="FF4B5563"/>
      <name val="Arial"/>
    </font>
    <font>
      <b/>
      <sz val="13"/>
      <color rgb="FF0B2545"/>
      <name val="Arial"/>
    </font>
    <font>
      <b/>
      <sz val="9"/>
      <color rgb="FF1F2937"/>
      <name val="Arial"/>
    </font>
    <font>
      <i/>
      <sz val="9"/>
      <color rgb="FF6B7280"/>
      <name val="Arial"/>
    </font>
    <font>
      <b/>
      <sz val="10"/>
      <color rgb="FF1F2937"/>
      <name val="Arial"/>
    </font>
    <font>
      <b/>
      <sz val="11"/>
      <color rgb="FF0B2545"/>
      <name val="Arial"/>
    </font>
    <font>
      <b/>
      <sz val="20"/>
      <color rgb="FFFFFFFF"/>
      <name val="Arial"/>
    </font>
    <font>
      <sz val="10"/>
      <color rgb="FFC9D6E8"/>
      <name val="Arial"/>
    </font>
    <font>
      <i/>
      <sz val="9"/>
      <color rgb="FF9FB3CC"/>
      <name val="Arial"/>
    </font>
    <font>
      <b/>
      <sz val="11"/>
      <color rgb="FF0000FF"/>
      <name val="Arial"/>
    </font>
    <font>
      <i/>
      <sz val="8"/>
      <color rgb="FF4B5563"/>
      <name val="Arial"/>
    </font>
    <font>
      <b/>
      <sz val="8"/>
      <color rgb="FF6B7280"/>
      <name val="Arial"/>
    </font>
    <font>
      <sz val="8"/>
      <color rgb="FF6B7280"/>
      <name val="Arial"/>
    </font>
    <font>
      <b/>
      <sz val="8"/>
      <color rgb="FFFFFFFF"/>
      <name val="Arial"/>
    </font>
    <font>
      <b/>
      <sz val="18"/>
      <color rgb="FF0B2545"/>
      <name val="Arial"/>
    </font>
    <font>
      <i/>
      <sz val="8"/>
      <color rgb="FF1B998B"/>
      <name val="Arial"/>
    </font>
    <font>
      <b/>
      <sz val="12"/>
      <color rgb="FF0B2545"/>
      <name val="Arial"/>
    </font>
    <font>
      <sz val="9"/>
      <color rgb="FF1F2937"/>
      <name val="Arial"/>
    </font>
    <font>
      <sz val="9"/>
      <color rgb="FF4B5563"/>
      <name val="Arial"/>
    </font>
    <font>
      <sz val="11"/>
      <color rgb="FFC9D6E8"/>
      <name val="Arial"/>
    </font>
    <font>
      <b/>
      <sz val="11"/>
      <color rgb="FF7A2E0E"/>
      <name val="Arial"/>
    </font>
    <font>
      <b/>
      <sz val="11"/>
      <color rgb="FFFFFFFF"/>
      <name val="Arial"/>
    </font>
    <font>
      <b/>
      <u/>
      <sz val="10"/>
      <color rgb="FF0563C1"/>
      <name val="Arial"/>
    </font>
  </fonts>
  <fills count="9">
    <fill>
      <patternFill patternType="none"/>
    </fill>
    <fill>
      <patternFill patternType="gray125"/>
    </fill>
    <fill>
      <patternFill patternType="solid">
        <fgColor rgb="FF0B2545"/>
        <bgColor rgb="FF0B2545"/>
      </patternFill>
    </fill>
    <fill>
      <patternFill patternType="solid">
        <fgColor rgb="FF1B998B"/>
        <bgColor rgb="FF1B998B"/>
      </patternFill>
    </fill>
    <fill>
      <patternFill patternType="solid">
        <fgColor rgb="FFF2F4F7"/>
        <bgColor rgb="FFF2F4F7"/>
      </patternFill>
    </fill>
    <fill>
      <patternFill patternType="solid">
        <fgColor rgb="FFFFF8D6"/>
        <bgColor rgb="FFFFF8D6"/>
      </patternFill>
    </fill>
    <fill>
      <patternFill patternType="solid">
        <fgColor rgb="FF5B7DB1"/>
        <bgColor rgb="FF5B7DB1"/>
      </patternFill>
    </fill>
    <fill>
      <patternFill patternType="solid">
        <fgColor rgb="FFFFFFFF"/>
        <bgColor rgb="FFFFFFFF"/>
      </patternFill>
    </fill>
    <fill>
      <patternFill patternType="solid">
        <fgColor rgb="FFFFF1D6"/>
        <bgColor rgb="FFFFF1D6"/>
      </patternFill>
    </fill>
  </fills>
  <borders count="10">
    <border>
      <left/>
      <right/>
      <top/>
      <bottom/>
      <diagonal/>
    </border>
    <border>
      <left style="thin">
        <color rgb="FFD9DEE5"/>
      </left>
      <right style="thin">
        <color rgb="FFD9DEE5"/>
      </right>
      <top style="thin">
        <color rgb="FFD9DEE5"/>
      </top>
      <bottom style="thin">
        <color rgb="FFD9DEE5"/>
      </bottom>
      <diagonal/>
    </border>
    <border>
      <left style="thin">
        <color rgb="FFD9DEE5"/>
      </left>
      <right/>
      <top style="thick">
        <color rgb="FF1B998B"/>
      </top>
      <bottom/>
      <diagonal/>
    </border>
    <border>
      <left/>
      <right style="thin">
        <color rgb="FFD9DEE5"/>
      </right>
      <top style="thick">
        <color rgb="FF1B998B"/>
      </top>
      <bottom/>
      <diagonal/>
    </border>
    <border>
      <left style="thin">
        <color rgb="FFD9DEE5"/>
      </left>
      <right/>
      <top/>
      <bottom/>
      <diagonal/>
    </border>
    <border>
      <left/>
      <right style="thin">
        <color rgb="FFD9DEE5"/>
      </right>
      <top/>
      <bottom/>
      <diagonal/>
    </border>
    <border>
      <left style="thin">
        <color rgb="FFD9DEE5"/>
      </left>
      <right/>
      <top/>
      <bottom style="thin">
        <color rgb="FFD9DEE5"/>
      </bottom>
      <diagonal/>
    </border>
    <border>
      <left/>
      <right style="thin">
        <color rgb="FFD9DEE5"/>
      </right>
      <top/>
      <bottom style="thin">
        <color rgb="FFD9DEE5"/>
      </bottom>
      <diagonal/>
    </border>
    <border>
      <left/>
      <right/>
      <top style="thin">
        <color rgb="FFD9DEE5"/>
      </top>
      <bottom style="thin">
        <color rgb="FFD9DEE5"/>
      </bottom>
      <diagonal/>
    </border>
    <border>
      <left/>
      <right style="thin">
        <color rgb="FFD9DEE5"/>
      </right>
      <top style="thin">
        <color rgb="FFD9DEE5"/>
      </top>
      <bottom style="thin">
        <color rgb="FFD9DEE5"/>
      </bottom>
      <diagonal/>
    </border>
  </borders>
  <cellStyleXfs count="1">
    <xf numFmtId="0" fontId="0" fillId="0" borderId="0"/>
  </cellStyleXfs>
  <cellXfs count="104">
    <xf numFmtId="0" fontId="0" fillId="0" borderId="0" xfId="0"/>
    <xf numFmtId="0" fontId="0" fillId="2" borderId="0" xfId="0" applyFill="1"/>
    <xf numFmtId="0" fontId="29" fillId="2" borderId="0" xfId="0" applyFont="1" applyFill="1" applyAlignment="1">
      <alignment vertical="center"/>
    </xf>
    <xf numFmtId="0" fontId="30" fillId="0" borderId="1" xfId="0" applyFont="1" applyBorder="1" applyAlignment="1">
      <alignment vertical="center"/>
    </xf>
    <xf numFmtId="0" fontId="7" fillId="0" borderId="1" xfId="0" applyFont="1" applyBorder="1" applyAlignment="1">
      <alignment vertical="top"/>
    </xf>
    <xf numFmtId="0" fontId="3" fillId="2" borderId="1" xfId="0" applyFont="1" applyFill="1" applyBorder="1" applyAlignment="1">
      <alignment horizontal="center" vertical="center" wrapText="1"/>
    </xf>
    <xf numFmtId="0" fontId="25" fillId="0" borderId="1" xfId="0" applyFont="1" applyBorder="1" applyAlignment="1">
      <alignment vertical="top" wrapText="1"/>
    </xf>
    <xf numFmtId="0" fontId="1" fillId="2" borderId="0" xfId="0" applyFont="1" applyFill="1" applyAlignment="1">
      <alignment vertical="center"/>
    </xf>
    <xf numFmtId="0" fontId="2" fillId="2" borderId="0" xfId="0" applyFont="1" applyFill="1" applyAlignment="1">
      <alignment vertical="center"/>
    </xf>
    <xf numFmtId="0" fontId="4" fillId="0" borderId="0" xfId="0" applyFont="1" applyAlignment="1">
      <alignment horizontal="left"/>
    </xf>
    <xf numFmtId="164" fontId="4" fillId="0" borderId="0" xfId="0" applyNumberFormat="1" applyFont="1" applyAlignment="1">
      <alignment horizontal="center"/>
    </xf>
    <xf numFmtId="18" fontId="4" fillId="0" borderId="0" xfId="0" applyNumberFormat="1" applyFont="1" applyAlignment="1">
      <alignment horizontal="center"/>
    </xf>
    <xf numFmtId="165" fontId="4" fillId="0" borderId="0" xfId="0" applyNumberFormat="1" applyFont="1" applyAlignment="1">
      <alignment horizontal="right"/>
    </xf>
    <xf numFmtId="3" fontId="4" fillId="0" borderId="0" xfId="0" applyNumberFormat="1" applyFont="1" applyAlignment="1">
      <alignment horizontal="right"/>
    </xf>
    <xf numFmtId="0" fontId="7" fillId="0" borderId="0" xfId="0" applyFont="1" applyAlignment="1">
      <alignment vertical="center"/>
    </xf>
    <xf numFmtId="0" fontId="8" fillId="4" borderId="1" xfId="0" applyFont="1" applyFill="1" applyBorder="1" applyAlignment="1">
      <alignment horizontal="center" vertical="center" wrapText="1"/>
    </xf>
    <xf numFmtId="3" fontId="9" fillId="0" borderId="1" xfId="0" applyNumberFormat="1" applyFont="1" applyBorder="1" applyAlignment="1">
      <alignment horizontal="center" vertical="center"/>
    </xf>
    <xf numFmtId="165" fontId="9" fillId="0" borderId="1" xfId="0" applyNumberFormat="1" applyFont="1" applyBorder="1" applyAlignment="1">
      <alignment horizontal="center" vertical="center"/>
    </xf>
    <xf numFmtId="0" fontId="10" fillId="0" borderId="1" xfId="0" applyFont="1" applyBorder="1" applyAlignment="1">
      <alignment horizontal="center" vertical="center"/>
    </xf>
    <xf numFmtId="0" fontId="6" fillId="0" borderId="0" xfId="0" applyFont="1" applyAlignment="1">
      <alignment vertical="center"/>
    </xf>
    <xf numFmtId="0" fontId="3" fillId="3" borderId="0" xfId="0" applyFont="1" applyFill="1" applyAlignment="1">
      <alignment horizontal="center" vertical="center"/>
    </xf>
    <xf numFmtId="2" fontId="4" fillId="0" borderId="0" xfId="0" applyNumberFormat="1" applyFont="1" applyAlignment="1">
      <alignment horizontal="right"/>
    </xf>
    <xf numFmtId="166" fontId="4" fillId="0" borderId="0" xfId="0" applyNumberFormat="1" applyFont="1" applyAlignment="1">
      <alignment horizontal="center"/>
    </xf>
    <xf numFmtId="1" fontId="4" fillId="0" borderId="0" xfId="0" applyNumberFormat="1" applyFont="1" applyAlignment="1">
      <alignment horizontal="center"/>
    </xf>
    <xf numFmtId="0" fontId="4" fillId="0" borderId="0" xfId="0" applyFont="1" applyAlignment="1">
      <alignment horizontal="center"/>
    </xf>
    <xf numFmtId="0" fontId="5" fillId="0" borderId="1" xfId="0" applyFont="1" applyBorder="1" applyAlignment="1">
      <alignment vertical="center"/>
    </xf>
    <xf numFmtId="0" fontId="6" fillId="0" borderId="0" xfId="0" applyFont="1" applyAlignment="1">
      <alignment vertical="center" wrapText="1"/>
    </xf>
    <xf numFmtId="0" fontId="11" fillId="0" borderId="0" xfId="0" applyFont="1" applyAlignment="1">
      <alignment vertical="center"/>
    </xf>
    <xf numFmtId="164" fontId="4" fillId="0" borderId="1" xfId="0" applyNumberFormat="1" applyFont="1" applyBorder="1" applyAlignment="1">
      <alignment horizontal="center"/>
    </xf>
    <xf numFmtId="0" fontId="4" fillId="0" borderId="1" xfId="0" applyFont="1" applyBorder="1" applyAlignment="1">
      <alignment horizontal="center"/>
    </xf>
    <xf numFmtId="3" fontId="4" fillId="0" borderId="1" xfId="0" applyNumberFormat="1" applyFont="1" applyBorder="1" applyAlignment="1">
      <alignment horizontal="right"/>
    </xf>
    <xf numFmtId="167" fontId="4" fillId="0" borderId="1" xfId="0" applyNumberFormat="1" applyFont="1" applyBorder="1" applyAlignment="1">
      <alignment horizontal="right"/>
    </xf>
    <xf numFmtId="165" fontId="4" fillId="0" borderId="1" xfId="0" applyNumberFormat="1" applyFont="1" applyBorder="1" applyAlignment="1">
      <alignment horizontal="right"/>
    </xf>
    <xf numFmtId="0" fontId="3" fillId="2" borderId="1" xfId="0" applyFont="1" applyFill="1" applyBorder="1" applyAlignment="1">
      <alignment vertical="center"/>
    </xf>
    <xf numFmtId="0" fontId="4" fillId="2" borderId="1" xfId="0" applyFont="1" applyFill="1" applyBorder="1" applyAlignment="1">
      <alignment vertical="center"/>
    </xf>
    <xf numFmtId="3" fontId="3" fillId="2" borderId="1" xfId="0" applyNumberFormat="1" applyFont="1" applyFill="1" applyBorder="1" applyAlignment="1">
      <alignment horizontal="right" vertical="center"/>
    </xf>
    <xf numFmtId="167" fontId="3" fillId="2" borderId="1" xfId="0" applyNumberFormat="1" applyFont="1" applyFill="1" applyBorder="1" applyAlignment="1">
      <alignment horizontal="right" vertical="center"/>
    </xf>
    <xf numFmtId="165" fontId="3" fillId="2" borderId="1" xfId="0" applyNumberFormat="1" applyFont="1" applyFill="1" applyBorder="1" applyAlignment="1">
      <alignment horizontal="right" vertical="center"/>
    </xf>
    <xf numFmtId="0" fontId="12" fillId="4" borderId="1" xfId="0" applyFont="1" applyFill="1" applyBorder="1" applyAlignment="1">
      <alignment vertical="center"/>
    </xf>
    <xf numFmtId="3" fontId="4" fillId="4" borderId="1" xfId="0" applyNumberFormat="1" applyFont="1" applyFill="1" applyBorder="1" applyAlignment="1">
      <alignment horizontal="right" vertical="center"/>
    </xf>
    <xf numFmtId="167" fontId="4" fillId="4" borderId="1" xfId="0" applyNumberFormat="1" applyFont="1" applyFill="1" applyBorder="1" applyAlignment="1">
      <alignment horizontal="right" vertical="center"/>
    </xf>
    <xf numFmtId="165" fontId="4" fillId="4" borderId="1" xfId="0" applyNumberFormat="1" applyFont="1" applyFill="1" applyBorder="1" applyAlignment="1">
      <alignment horizontal="right" vertical="center"/>
    </xf>
    <xf numFmtId="0" fontId="12" fillId="4" borderId="1" xfId="0" applyFont="1" applyFill="1" applyBorder="1" applyAlignment="1">
      <alignment horizontal="center" vertical="center"/>
    </xf>
    <xf numFmtId="1" fontId="4" fillId="0" borderId="1" xfId="0" applyNumberFormat="1" applyFont="1" applyBorder="1" applyAlignment="1">
      <alignment horizontal="center"/>
    </xf>
    <xf numFmtId="168" fontId="4" fillId="0" borderId="1" xfId="0" applyNumberFormat="1" applyFont="1" applyBorder="1" applyAlignment="1">
      <alignment horizontal="right"/>
    </xf>
    <xf numFmtId="169" fontId="4" fillId="0" borderId="1" xfId="0" applyNumberFormat="1" applyFont="1" applyBorder="1" applyAlignment="1">
      <alignment horizontal="right"/>
    </xf>
    <xf numFmtId="0" fontId="4" fillId="0" borderId="1" xfId="0" applyFont="1" applyBorder="1" applyAlignment="1">
      <alignment horizontal="left"/>
    </xf>
    <xf numFmtId="170" fontId="4" fillId="0" borderId="1" xfId="0" applyNumberFormat="1" applyFont="1" applyBorder="1" applyAlignment="1">
      <alignment horizontal="right"/>
    </xf>
    <xf numFmtId="171" fontId="4" fillId="0" borderId="1" xfId="0" applyNumberFormat="1" applyFont="1" applyBorder="1" applyAlignment="1">
      <alignment horizontal="right"/>
    </xf>
    <xf numFmtId="2" fontId="4" fillId="0" borderId="1" xfId="0" applyNumberFormat="1" applyFont="1" applyBorder="1" applyAlignment="1">
      <alignment horizontal="right"/>
    </xf>
    <xf numFmtId="170" fontId="3" fillId="2" borderId="1" xfId="0" applyNumberFormat="1" applyFont="1" applyFill="1" applyBorder="1" applyAlignment="1">
      <alignment horizontal="right" vertical="center"/>
    </xf>
    <xf numFmtId="171" fontId="3" fillId="2" borderId="1" xfId="0" applyNumberFormat="1" applyFont="1" applyFill="1" applyBorder="1" applyAlignment="1">
      <alignment horizontal="right" vertical="center"/>
    </xf>
    <xf numFmtId="0" fontId="3" fillId="2" borderId="1" xfId="0" applyFont="1" applyFill="1" applyBorder="1" applyAlignment="1">
      <alignment horizontal="right" vertical="center"/>
    </xf>
    <xf numFmtId="0" fontId="13" fillId="0" borderId="0" xfId="0" applyFont="1" applyAlignment="1">
      <alignment vertical="center"/>
    </xf>
    <xf numFmtId="0" fontId="4" fillId="0" borderId="1" xfId="0" applyFont="1" applyBorder="1"/>
    <xf numFmtId="165" fontId="12" fillId="0" borderId="1" xfId="0" applyNumberFormat="1" applyFont="1" applyBorder="1" applyAlignment="1">
      <alignment horizontal="right"/>
    </xf>
    <xf numFmtId="0" fontId="12" fillId="0" borderId="0" xfId="0" applyFont="1" applyAlignment="1">
      <alignment horizontal="left" vertical="center"/>
    </xf>
    <xf numFmtId="0" fontId="0" fillId="4" borderId="0" xfId="0" applyFill="1"/>
    <xf numFmtId="0" fontId="19" fillId="0" borderId="0" xfId="0" applyFont="1" applyAlignment="1">
      <alignment vertical="center"/>
    </xf>
    <xf numFmtId="0" fontId="20" fillId="0" borderId="0" xfId="0" applyFont="1" applyAlignment="1">
      <alignment vertical="center"/>
    </xf>
    <xf numFmtId="0" fontId="21" fillId="6" borderId="0" xfId="0" applyFont="1" applyFill="1" applyAlignment="1">
      <alignment horizontal="center" vertical="center"/>
    </xf>
    <xf numFmtId="16" fontId="20" fillId="0" borderId="0" xfId="0" applyNumberFormat="1" applyFont="1" applyAlignment="1">
      <alignment vertical="center"/>
    </xf>
    <xf numFmtId="3" fontId="20" fillId="0" borderId="0" xfId="0" applyNumberFormat="1" applyFont="1" applyAlignment="1">
      <alignment vertical="center"/>
    </xf>
    <xf numFmtId="170" fontId="20" fillId="0" borderId="0" xfId="0" applyNumberFormat="1" applyFont="1" applyAlignment="1">
      <alignment vertical="center"/>
    </xf>
    <xf numFmtId="0" fontId="3" fillId="3" borderId="1" xfId="0" applyFont="1" applyFill="1" applyBorder="1" applyAlignment="1">
      <alignment horizontal="center" vertical="center"/>
    </xf>
    <xf numFmtId="0" fontId="7" fillId="0" borderId="1" xfId="0" applyFont="1" applyBorder="1" applyAlignment="1">
      <alignment vertical="top" wrapText="1"/>
    </xf>
    <xf numFmtId="0" fontId="26" fillId="0" borderId="0" xfId="0" applyFont="1" applyAlignment="1">
      <alignment vertical="center"/>
    </xf>
    <xf numFmtId="0" fontId="24" fillId="0" borderId="0" xfId="0" applyFont="1" applyAlignment="1">
      <alignment vertical="center"/>
    </xf>
    <xf numFmtId="0" fontId="3" fillId="6" borderId="1" xfId="0" applyFont="1" applyFill="1" applyBorder="1" applyAlignment="1">
      <alignment horizontal="center" vertical="center" wrapText="1"/>
    </xf>
    <xf numFmtId="172" fontId="4" fillId="0" borderId="1" xfId="0" applyNumberFormat="1" applyFont="1" applyBorder="1" applyAlignment="1">
      <alignment horizontal="right"/>
    </xf>
    <xf numFmtId="173" fontId="4" fillId="0" borderId="1" xfId="0" applyNumberFormat="1" applyFont="1" applyBorder="1" applyAlignment="1">
      <alignment horizontal="right"/>
    </xf>
    <xf numFmtId="1" fontId="4" fillId="0" borderId="1" xfId="0" applyNumberFormat="1" applyFont="1" applyBorder="1" applyAlignment="1">
      <alignment horizontal="right"/>
    </xf>
    <xf numFmtId="0" fontId="4" fillId="0" borderId="0" xfId="0" applyFont="1" applyAlignment="1">
      <alignment vertical="top" wrapText="1"/>
    </xf>
    <xf numFmtId="0" fontId="0" fillId="0" borderId="0" xfId="0"/>
    <xf numFmtId="0" fontId="4" fillId="0" borderId="1" xfId="0" applyFont="1" applyBorder="1" applyAlignment="1">
      <alignment vertical="top" wrapText="1"/>
    </xf>
    <xf numFmtId="0" fontId="0" fillId="0" borderId="1" xfId="0" applyBorder="1"/>
    <xf numFmtId="0" fontId="28" fillId="8" borderId="1" xfId="0" applyFont="1" applyFill="1" applyBorder="1" applyAlignment="1">
      <alignment vertical="center" wrapText="1"/>
    </xf>
    <xf numFmtId="0" fontId="0" fillId="8" borderId="0" xfId="0" applyFill="1"/>
    <xf numFmtId="0" fontId="4" fillId="0" borderId="1" xfId="0" applyFont="1" applyBorder="1" applyAlignment="1">
      <alignment vertical="center" wrapText="1"/>
    </xf>
    <xf numFmtId="164" fontId="17" fillId="5" borderId="1" xfId="0" applyNumberFormat="1" applyFont="1" applyFill="1" applyBorder="1" applyAlignment="1">
      <alignment horizontal="center" vertical="center"/>
    </xf>
    <xf numFmtId="0" fontId="0" fillId="5" borderId="1" xfId="0" applyFill="1" applyBorder="1"/>
    <xf numFmtId="0" fontId="17" fillId="5" borderId="1" xfId="0" applyFont="1" applyFill="1" applyBorder="1" applyAlignment="1">
      <alignment horizontal="center" vertical="center"/>
    </xf>
    <xf numFmtId="0" fontId="8" fillId="4" borderId="0" xfId="0" applyFont="1" applyFill="1" applyAlignment="1">
      <alignment vertical="center"/>
    </xf>
    <xf numFmtId="0" fontId="19" fillId="7" borderId="2" xfId="0" applyFont="1" applyFill="1" applyBorder="1" applyAlignment="1">
      <alignment horizontal="center" vertical="center"/>
    </xf>
    <xf numFmtId="0" fontId="0" fillId="7" borderId="3" xfId="0" applyFill="1" applyBorder="1"/>
    <xf numFmtId="0" fontId="18" fillId="4" borderId="0" xfId="0" applyFont="1" applyFill="1" applyAlignment="1">
      <alignment vertical="top" wrapText="1"/>
    </xf>
    <xf numFmtId="0" fontId="23" fillId="7" borderId="6" xfId="0" applyFont="1" applyFill="1" applyBorder="1" applyAlignment="1">
      <alignment horizontal="center" vertical="center"/>
    </xf>
    <xf numFmtId="0" fontId="0" fillId="7" borderId="7" xfId="0" applyFill="1" applyBorder="1"/>
    <xf numFmtId="165" fontId="22" fillId="7" borderId="4" xfId="0" applyNumberFormat="1" applyFont="1" applyFill="1" applyBorder="1" applyAlignment="1">
      <alignment horizontal="center" vertical="center"/>
    </xf>
    <xf numFmtId="0" fontId="0" fillId="7" borderId="5" xfId="0" applyFill="1" applyBorder="1"/>
    <xf numFmtId="3" fontId="22" fillId="7" borderId="4" xfId="0" applyNumberFormat="1" applyFont="1" applyFill="1" applyBorder="1" applyAlignment="1">
      <alignment horizontal="center" vertical="center"/>
    </xf>
    <xf numFmtId="0" fontId="9" fillId="7" borderId="4" xfId="0" applyFont="1" applyFill="1" applyBorder="1" applyAlignment="1">
      <alignment horizontal="center" vertical="center"/>
    </xf>
    <xf numFmtId="0" fontId="18" fillId="4" borderId="0" xfId="0" applyFont="1" applyFill="1" applyAlignment="1">
      <alignment vertical="center" wrapText="1"/>
    </xf>
    <xf numFmtId="167" fontId="22" fillId="7" borderId="4" xfId="0" applyNumberFormat="1" applyFont="1" applyFill="1" applyBorder="1" applyAlignment="1">
      <alignment horizontal="center" vertical="center"/>
    </xf>
    <xf numFmtId="0" fontId="25" fillId="0" borderId="1" xfId="0" applyFont="1" applyBorder="1" applyAlignment="1">
      <alignment vertical="top" wrapText="1"/>
    </xf>
    <xf numFmtId="0" fontId="3" fillId="2" borderId="1" xfId="0" applyFont="1" applyFill="1" applyBorder="1" applyAlignment="1">
      <alignment horizontal="center" vertical="center" wrapText="1"/>
    </xf>
    <xf numFmtId="0" fontId="0" fillId="0" borderId="8" xfId="0" applyBorder="1"/>
    <xf numFmtId="0" fontId="0" fillId="0" borderId="9" xfId="0" applyBorder="1"/>
    <xf numFmtId="0" fontId="14" fillId="2" borderId="0" xfId="0" applyFont="1" applyFill="1" applyAlignment="1">
      <alignment horizontal="center" vertical="center"/>
    </xf>
    <xf numFmtId="0" fontId="27" fillId="2" borderId="0" xfId="0" applyFont="1" applyFill="1" applyAlignment="1">
      <alignment horizontal="center" vertical="center"/>
    </xf>
    <xf numFmtId="0" fontId="16" fillId="2" borderId="0" xfId="0" applyFont="1" applyFill="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15" fillId="2" borderId="0" xfId="0" applyFont="1" applyFill="1" applyAlignment="1">
      <alignment horizontal="center" vertical="center"/>
    </xf>
  </cellXfs>
  <cellStyles count="1">
    <cellStyle name="Normal" xfId="0" builtinId="0"/>
  </cellStyles>
  <dxfs count="8">
    <dxf>
      <font>
        <b/>
        <color rgb="FF9B1C1C"/>
      </font>
      <fill>
        <patternFill patternType="solid">
          <fgColor rgb="FFFADBD8"/>
          <bgColor rgb="FFFADBD8"/>
        </patternFill>
      </fill>
    </dxf>
    <dxf>
      <font>
        <color rgb="FF0F6B3E"/>
      </font>
    </dxf>
    <dxf>
      <font>
        <color rgb="FFB42318"/>
      </font>
    </dxf>
    <dxf>
      <font>
        <b/>
      </font>
      <fill>
        <patternFill patternType="solid">
          <fgColor rgb="FFD5F0E0"/>
          <bgColor rgb="FFD5F0E0"/>
        </patternFill>
      </fill>
    </dxf>
    <dxf>
      <font>
        <b/>
        <color rgb="FF9B1C1C"/>
      </font>
      <fill>
        <patternFill patternType="solid">
          <fgColor rgb="FFFADBD8"/>
          <bgColor rgb="FFFADBD8"/>
        </patternFill>
      </fill>
    </dxf>
    <dxf>
      <font>
        <b/>
        <color rgb="FF0F6B3E"/>
      </font>
      <fill>
        <patternFill patternType="solid">
          <fgColor rgb="FFD5F0E0"/>
          <bgColor rgb="FFD5F0E0"/>
        </patternFill>
      </fill>
    </dxf>
    <dxf>
      <font>
        <b/>
        <color rgb="FF9B1C1C"/>
      </font>
      <fill>
        <patternFill patternType="solid">
          <fgColor rgb="FFFADBD8"/>
          <bgColor rgb="FFFADBD8"/>
        </patternFill>
      </fill>
    </dxf>
    <dxf>
      <font>
        <b/>
        <color rgb="FF0F6B3E"/>
      </font>
      <fill>
        <patternFill patternType="solid">
          <fgColor rgb="FFD5F0E0"/>
          <bgColor rgb="FFD5F0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B2545"/>
                </a:solidFill>
                <a:latin typeface="Arial"/>
              </a:defRPr>
            </a:pPr>
            <a:r>
              <a:rPr lang="en-PH" sz="1200" b="1">
                <a:solidFill>
                  <a:srgbClr val="0B2545"/>
                </a:solidFill>
                <a:latin typeface="Arial"/>
              </a:rPr>
              <a:t>Daily GMV and 7-Day Average (PHP)</a:t>
            </a:r>
          </a:p>
        </c:rich>
      </c:tx>
      <c:overlay val="0"/>
    </c:title>
    <c:autoTitleDeleted val="0"/>
    <c:plotArea>
      <c:layout/>
      <c:lineChart>
        <c:grouping val="standard"/>
        <c:varyColors val="1"/>
        <c:ser>
          <c:idx val="0"/>
          <c:order val="0"/>
          <c:tx>
            <c:v>Daily GMV</c:v>
          </c:tx>
          <c:spPr>
            <a:ln w="12000">
              <a:solidFill>
                <a:srgbClr val="8DA9C4"/>
              </a:solidFill>
              <a:prstDash val="solid"/>
            </a:ln>
          </c:spPr>
          <c:marker>
            <c:symbol val="none"/>
          </c:marker>
          <c:cat>
            <c:numRef>
              <c:f>'Daily Sales'!$A$6:$A$96</c:f>
              <c:numCache>
                <c:formatCode>dd\-mmm\-yyyy</c:formatCode>
                <c:ptCount val="91"/>
                <c:pt idx="0">
                  <c:v>45810</c:v>
                </c:pt>
                <c:pt idx="1">
                  <c:v>45811</c:v>
                </c:pt>
                <c:pt idx="2">
                  <c:v>45812</c:v>
                </c:pt>
                <c:pt idx="3">
                  <c:v>45813</c:v>
                </c:pt>
                <c:pt idx="4">
                  <c:v>45814</c:v>
                </c:pt>
                <c:pt idx="5">
                  <c:v>45815</c:v>
                </c:pt>
                <c:pt idx="6">
                  <c:v>45816</c:v>
                </c:pt>
                <c:pt idx="7">
                  <c:v>45817</c:v>
                </c:pt>
                <c:pt idx="8">
                  <c:v>45818</c:v>
                </c:pt>
                <c:pt idx="9">
                  <c:v>45819</c:v>
                </c:pt>
                <c:pt idx="10">
                  <c:v>45820</c:v>
                </c:pt>
                <c:pt idx="11">
                  <c:v>45821</c:v>
                </c:pt>
                <c:pt idx="12">
                  <c:v>45822</c:v>
                </c:pt>
                <c:pt idx="13">
                  <c:v>45823</c:v>
                </c:pt>
                <c:pt idx="14">
                  <c:v>45824</c:v>
                </c:pt>
                <c:pt idx="15">
                  <c:v>45825</c:v>
                </c:pt>
                <c:pt idx="16">
                  <c:v>45826</c:v>
                </c:pt>
                <c:pt idx="17">
                  <c:v>45827</c:v>
                </c:pt>
                <c:pt idx="18">
                  <c:v>45828</c:v>
                </c:pt>
                <c:pt idx="19">
                  <c:v>45829</c:v>
                </c:pt>
                <c:pt idx="20">
                  <c:v>45830</c:v>
                </c:pt>
                <c:pt idx="21">
                  <c:v>45831</c:v>
                </c:pt>
                <c:pt idx="22">
                  <c:v>45832</c:v>
                </c:pt>
                <c:pt idx="23">
                  <c:v>45833</c:v>
                </c:pt>
                <c:pt idx="24">
                  <c:v>45834</c:v>
                </c:pt>
                <c:pt idx="25">
                  <c:v>45835</c:v>
                </c:pt>
                <c:pt idx="26">
                  <c:v>45836</c:v>
                </c:pt>
                <c:pt idx="27">
                  <c:v>45837</c:v>
                </c:pt>
                <c:pt idx="28">
                  <c:v>45838</c:v>
                </c:pt>
                <c:pt idx="29">
                  <c:v>45839</c:v>
                </c:pt>
                <c:pt idx="30">
                  <c:v>45840</c:v>
                </c:pt>
                <c:pt idx="31">
                  <c:v>45841</c:v>
                </c:pt>
                <c:pt idx="32">
                  <c:v>45842</c:v>
                </c:pt>
                <c:pt idx="33">
                  <c:v>45843</c:v>
                </c:pt>
                <c:pt idx="34">
                  <c:v>45844</c:v>
                </c:pt>
                <c:pt idx="35">
                  <c:v>45845</c:v>
                </c:pt>
                <c:pt idx="36">
                  <c:v>45846</c:v>
                </c:pt>
                <c:pt idx="37">
                  <c:v>45847</c:v>
                </c:pt>
                <c:pt idx="38">
                  <c:v>45848</c:v>
                </c:pt>
                <c:pt idx="39">
                  <c:v>45849</c:v>
                </c:pt>
                <c:pt idx="40">
                  <c:v>45850</c:v>
                </c:pt>
                <c:pt idx="41">
                  <c:v>45851</c:v>
                </c:pt>
                <c:pt idx="42">
                  <c:v>45852</c:v>
                </c:pt>
                <c:pt idx="43">
                  <c:v>45853</c:v>
                </c:pt>
                <c:pt idx="44">
                  <c:v>45854</c:v>
                </c:pt>
                <c:pt idx="45">
                  <c:v>45855</c:v>
                </c:pt>
                <c:pt idx="46">
                  <c:v>45856</c:v>
                </c:pt>
                <c:pt idx="47">
                  <c:v>45857</c:v>
                </c:pt>
                <c:pt idx="48">
                  <c:v>45858</c:v>
                </c:pt>
                <c:pt idx="49">
                  <c:v>45859</c:v>
                </c:pt>
                <c:pt idx="50">
                  <c:v>45860</c:v>
                </c:pt>
                <c:pt idx="51">
                  <c:v>45861</c:v>
                </c:pt>
                <c:pt idx="52">
                  <c:v>45862</c:v>
                </c:pt>
                <c:pt idx="53">
                  <c:v>45863</c:v>
                </c:pt>
                <c:pt idx="54">
                  <c:v>45864</c:v>
                </c:pt>
                <c:pt idx="55">
                  <c:v>45865</c:v>
                </c:pt>
                <c:pt idx="56">
                  <c:v>45866</c:v>
                </c:pt>
                <c:pt idx="57">
                  <c:v>45867</c:v>
                </c:pt>
                <c:pt idx="58">
                  <c:v>45868</c:v>
                </c:pt>
                <c:pt idx="59">
                  <c:v>45869</c:v>
                </c:pt>
                <c:pt idx="60">
                  <c:v>45870</c:v>
                </c:pt>
                <c:pt idx="61">
                  <c:v>45871</c:v>
                </c:pt>
                <c:pt idx="62">
                  <c:v>45872</c:v>
                </c:pt>
                <c:pt idx="63">
                  <c:v>45873</c:v>
                </c:pt>
                <c:pt idx="64">
                  <c:v>45874</c:v>
                </c:pt>
                <c:pt idx="65">
                  <c:v>45875</c:v>
                </c:pt>
                <c:pt idx="66">
                  <c:v>45876</c:v>
                </c:pt>
                <c:pt idx="67">
                  <c:v>45877</c:v>
                </c:pt>
                <c:pt idx="68">
                  <c:v>45878</c:v>
                </c:pt>
                <c:pt idx="69">
                  <c:v>45879</c:v>
                </c:pt>
                <c:pt idx="70">
                  <c:v>45880</c:v>
                </c:pt>
                <c:pt idx="71">
                  <c:v>45881</c:v>
                </c:pt>
                <c:pt idx="72">
                  <c:v>45882</c:v>
                </c:pt>
                <c:pt idx="73">
                  <c:v>45883</c:v>
                </c:pt>
                <c:pt idx="74">
                  <c:v>45884</c:v>
                </c:pt>
                <c:pt idx="75">
                  <c:v>45885</c:v>
                </c:pt>
                <c:pt idx="76">
                  <c:v>45886</c:v>
                </c:pt>
                <c:pt idx="77">
                  <c:v>45887</c:v>
                </c:pt>
                <c:pt idx="78">
                  <c:v>45888</c:v>
                </c:pt>
                <c:pt idx="79">
                  <c:v>45889</c:v>
                </c:pt>
                <c:pt idx="80">
                  <c:v>45890</c:v>
                </c:pt>
                <c:pt idx="81">
                  <c:v>45891</c:v>
                </c:pt>
                <c:pt idx="82">
                  <c:v>45892</c:v>
                </c:pt>
                <c:pt idx="83">
                  <c:v>45893</c:v>
                </c:pt>
                <c:pt idx="84">
                  <c:v>45894</c:v>
                </c:pt>
                <c:pt idx="85">
                  <c:v>45895</c:v>
                </c:pt>
                <c:pt idx="86">
                  <c:v>45896</c:v>
                </c:pt>
                <c:pt idx="87">
                  <c:v>45897</c:v>
                </c:pt>
                <c:pt idx="88">
                  <c:v>45898</c:v>
                </c:pt>
                <c:pt idx="89">
                  <c:v>45899</c:v>
                </c:pt>
                <c:pt idx="90">
                  <c:v>45900</c:v>
                </c:pt>
              </c:numCache>
            </c:numRef>
          </c:cat>
          <c:val>
            <c:numRef>
              <c:f>'Daily Sales'!$E$6:$E$96</c:f>
              <c:numCache>
                <c:formatCode>"₱"#,##0</c:formatCode>
                <c:ptCount val="91"/>
                <c:pt idx="0">
                  <c:v>85426</c:v>
                </c:pt>
                <c:pt idx="1">
                  <c:v>177219</c:v>
                </c:pt>
                <c:pt idx="2">
                  <c:v>59562</c:v>
                </c:pt>
                <c:pt idx="3">
                  <c:v>84165</c:v>
                </c:pt>
                <c:pt idx="4">
                  <c:v>176989</c:v>
                </c:pt>
                <c:pt idx="5">
                  <c:v>116380</c:v>
                </c:pt>
                <c:pt idx="6">
                  <c:v>68562</c:v>
                </c:pt>
                <c:pt idx="7">
                  <c:v>92331</c:v>
                </c:pt>
                <c:pt idx="8">
                  <c:v>111327</c:v>
                </c:pt>
                <c:pt idx="9">
                  <c:v>93704</c:v>
                </c:pt>
                <c:pt idx="10">
                  <c:v>36562</c:v>
                </c:pt>
                <c:pt idx="11">
                  <c:v>123902</c:v>
                </c:pt>
                <c:pt idx="12">
                  <c:v>134548</c:v>
                </c:pt>
                <c:pt idx="13">
                  <c:v>106367</c:v>
                </c:pt>
                <c:pt idx="14">
                  <c:v>70318</c:v>
                </c:pt>
                <c:pt idx="15">
                  <c:v>86201</c:v>
                </c:pt>
                <c:pt idx="16">
                  <c:v>89868</c:v>
                </c:pt>
                <c:pt idx="17">
                  <c:v>49961</c:v>
                </c:pt>
                <c:pt idx="18">
                  <c:v>125088</c:v>
                </c:pt>
                <c:pt idx="19">
                  <c:v>137301</c:v>
                </c:pt>
                <c:pt idx="20">
                  <c:v>119977</c:v>
                </c:pt>
                <c:pt idx="21">
                  <c:v>97093</c:v>
                </c:pt>
                <c:pt idx="22">
                  <c:v>82009</c:v>
                </c:pt>
                <c:pt idx="23">
                  <c:v>70932</c:v>
                </c:pt>
                <c:pt idx="24">
                  <c:v>135191</c:v>
                </c:pt>
                <c:pt idx="25">
                  <c:v>93123</c:v>
                </c:pt>
                <c:pt idx="26">
                  <c:v>123110</c:v>
                </c:pt>
                <c:pt idx="27">
                  <c:v>144839</c:v>
                </c:pt>
                <c:pt idx="28">
                  <c:v>109326</c:v>
                </c:pt>
                <c:pt idx="29">
                  <c:v>98862</c:v>
                </c:pt>
                <c:pt idx="30">
                  <c:v>184090</c:v>
                </c:pt>
                <c:pt idx="31">
                  <c:v>80679</c:v>
                </c:pt>
                <c:pt idx="32">
                  <c:v>179125</c:v>
                </c:pt>
                <c:pt idx="33">
                  <c:v>91802</c:v>
                </c:pt>
                <c:pt idx="34">
                  <c:v>164266</c:v>
                </c:pt>
                <c:pt idx="35">
                  <c:v>109870</c:v>
                </c:pt>
                <c:pt idx="36">
                  <c:v>119919</c:v>
                </c:pt>
                <c:pt idx="37">
                  <c:v>88477</c:v>
                </c:pt>
                <c:pt idx="38">
                  <c:v>124376</c:v>
                </c:pt>
                <c:pt idx="39">
                  <c:v>113912</c:v>
                </c:pt>
                <c:pt idx="40">
                  <c:v>168737</c:v>
                </c:pt>
                <c:pt idx="41">
                  <c:v>195264</c:v>
                </c:pt>
                <c:pt idx="42">
                  <c:v>65085</c:v>
                </c:pt>
                <c:pt idx="43">
                  <c:v>83715</c:v>
                </c:pt>
                <c:pt idx="44">
                  <c:v>80220</c:v>
                </c:pt>
                <c:pt idx="45">
                  <c:v>145945</c:v>
                </c:pt>
                <c:pt idx="46">
                  <c:v>147369</c:v>
                </c:pt>
                <c:pt idx="47">
                  <c:v>111755</c:v>
                </c:pt>
                <c:pt idx="48">
                  <c:v>210982</c:v>
                </c:pt>
                <c:pt idx="49">
                  <c:v>89982</c:v>
                </c:pt>
                <c:pt idx="50">
                  <c:v>56763</c:v>
                </c:pt>
                <c:pt idx="51">
                  <c:v>101745</c:v>
                </c:pt>
                <c:pt idx="52">
                  <c:v>163106</c:v>
                </c:pt>
                <c:pt idx="53">
                  <c:v>149585</c:v>
                </c:pt>
                <c:pt idx="54">
                  <c:v>106730</c:v>
                </c:pt>
                <c:pt idx="55">
                  <c:v>122907</c:v>
                </c:pt>
                <c:pt idx="56">
                  <c:v>105663</c:v>
                </c:pt>
                <c:pt idx="57">
                  <c:v>149525</c:v>
                </c:pt>
                <c:pt idx="58">
                  <c:v>197202</c:v>
                </c:pt>
                <c:pt idx="59">
                  <c:v>146612</c:v>
                </c:pt>
                <c:pt idx="60">
                  <c:v>184262</c:v>
                </c:pt>
                <c:pt idx="61">
                  <c:v>212937</c:v>
                </c:pt>
                <c:pt idx="62">
                  <c:v>174060</c:v>
                </c:pt>
                <c:pt idx="63">
                  <c:v>87593</c:v>
                </c:pt>
                <c:pt idx="64">
                  <c:v>82980</c:v>
                </c:pt>
                <c:pt idx="65">
                  <c:v>99313</c:v>
                </c:pt>
                <c:pt idx="66">
                  <c:v>148221</c:v>
                </c:pt>
                <c:pt idx="67">
                  <c:v>240536</c:v>
                </c:pt>
                <c:pt idx="68">
                  <c:v>174011</c:v>
                </c:pt>
                <c:pt idx="69">
                  <c:v>205814</c:v>
                </c:pt>
                <c:pt idx="70">
                  <c:v>128187</c:v>
                </c:pt>
                <c:pt idx="71">
                  <c:v>86030</c:v>
                </c:pt>
                <c:pt idx="72">
                  <c:v>77906</c:v>
                </c:pt>
                <c:pt idx="73">
                  <c:v>122524</c:v>
                </c:pt>
                <c:pt idx="74">
                  <c:v>126546</c:v>
                </c:pt>
                <c:pt idx="75">
                  <c:v>158336</c:v>
                </c:pt>
                <c:pt idx="76">
                  <c:v>188551</c:v>
                </c:pt>
                <c:pt idx="77">
                  <c:v>187282</c:v>
                </c:pt>
                <c:pt idx="78">
                  <c:v>99355</c:v>
                </c:pt>
                <c:pt idx="79">
                  <c:v>128168</c:v>
                </c:pt>
                <c:pt idx="80">
                  <c:v>94537</c:v>
                </c:pt>
                <c:pt idx="81">
                  <c:v>81192</c:v>
                </c:pt>
                <c:pt idx="82">
                  <c:v>146446</c:v>
                </c:pt>
                <c:pt idx="83">
                  <c:v>169651</c:v>
                </c:pt>
                <c:pt idx="84">
                  <c:v>87031</c:v>
                </c:pt>
                <c:pt idx="85">
                  <c:v>73533</c:v>
                </c:pt>
                <c:pt idx="86">
                  <c:v>135645</c:v>
                </c:pt>
                <c:pt idx="87">
                  <c:v>116034</c:v>
                </c:pt>
                <c:pt idx="88">
                  <c:v>112947</c:v>
                </c:pt>
                <c:pt idx="89">
                  <c:v>132835</c:v>
                </c:pt>
                <c:pt idx="90">
                  <c:v>134981</c:v>
                </c:pt>
              </c:numCache>
            </c:numRef>
          </c:val>
          <c:smooth val="0"/>
          <c:extLst>
            <c:ext xmlns:c16="http://schemas.microsoft.com/office/drawing/2014/chart" uri="{C3380CC4-5D6E-409C-BE32-E72D297353CC}">
              <c16:uniqueId val="{00000000-4E85-42DE-89A4-3FA4BF0D5EE3}"/>
            </c:ext>
          </c:extLst>
        </c:ser>
        <c:ser>
          <c:idx val="1"/>
          <c:order val="1"/>
          <c:tx>
            <c:v>7-Day Avg GMV</c:v>
          </c:tx>
          <c:spPr>
            <a:ln w="28000">
              <a:solidFill>
                <a:srgbClr val="1B998B"/>
              </a:solidFill>
              <a:prstDash val="solid"/>
            </a:ln>
          </c:spPr>
          <c:marker>
            <c:symbol val="none"/>
          </c:marker>
          <c:cat>
            <c:numRef>
              <c:f>'Daily Sales'!$A$6:$A$96</c:f>
              <c:numCache>
                <c:formatCode>dd\-mmm\-yyyy</c:formatCode>
                <c:ptCount val="91"/>
                <c:pt idx="0">
                  <c:v>45810</c:v>
                </c:pt>
                <c:pt idx="1">
                  <c:v>45811</c:v>
                </c:pt>
                <c:pt idx="2">
                  <c:v>45812</c:v>
                </c:pt>
                <c:pt idx="3">
                  <c:v>45813</c:v>
                </c:pt>
                <c:pt idx="4">
                  <c:v>45814</c:v>
                </c:pt>
                <c:pt idx="5">
                  <c:v>45815</c:v>
                </c:pt>
                <c:pt idx="6">
                  <c:v>45816</c:v>
                </c:pt>
                <c:pt idx="7">
                  <c:v>45817</c:v>
                </c:pt>
                <c:pt idx="8">
                  <c:v>45818</c:v>
                </c:pt>
                <c:pt idx="9">
                  <c:v>45819</c:v>
                </c:pt>
                <c:pt idx="10">
                  <c:v>45820</c:v>
                </c:pt>
                <c:pt idx="11">
                  <c:v>45821</c:v>
                </c:pt>
                <c:pt idx="12">
                  <c:v>45822</c:v>
                </c:pt>
                <c:pt idx="13">
                  <c:v>45823</c:v>
                </c:pt>
                <c:pt idx="14">
                  <c:v>45824</c:v>
                </c:pt>
                <c:pt idx="15">
                  <c:v>45825</c:v>
                </c:pt>
                <c:pt idx="16">
                  <c:v>45826</c:v>
                </c:pt>
                <c:pt idx="17">
                  <c:v>45827</c:v>
                </c:pt>
                <c:pt idx="18">
                  <c:v>45828</c:v>
                </c:pt>
                <c:pt idx="19">
                  <c:v>45829</c:v>
                </c:pt>
                <c:pt idx="20">
                  <c:v>45830</c:v>
                </c:pt>
                <c:pt idx="21">
                  <c:v>45831</c:v>
                </c:pt>
                <c:pt idx="22">
                  <c:v>45832</c:v>
                </c:pt>
                <c:pt idx="23">
                  <c:v>45833</c:v>
                </c:pt>
                <c:pt idx="24">
                  <c:v>45834</c:v>
                </c:pt>
                <c:pt idx="25">
                  <c:v>45835</c:v>
                </c:pt>
                <c:pt idx="26">
                  <c:v>45836</c:v>
                </c:pt>
                <c:pt idx="27">
                  <c:v>45837</c:v>
                </c:pt>
                <c:pt idx="28">
                  <c:v>45838</c:v>
                </c:pt>
                <c:pt idx="29">
                  <c:v>45839</c:v>
                </c:pt>
                <c:pt idx="30">
                  <c:v>45840</c:v>
                </c:pt>
                <c:pt idx="31">
                  <c:v>45841</c:v>
                </c:pt>
                <c:pt idx="32">
                  <c:v>45842</c:v>
                </c:pt>
                <c:pt idx="33">
                  <c:v>45843</c:v>
                </c:pt>
                <c:pt idx="34">
                  <c:v>45844</c:v>
                </c:pt>
                <c:pt idx="35">
                  <c:v>45845</c:v>
                </c:pt>
                <c:pt idx="36">
                  <c:v>45846</c:v>
                </c:pt>
                <c:pt idx="37">
                  <c:v>45847</c:v>
                </c:pt>
                <c:pt idx="38">
                  <c:v>45848</c:v>
                </c:pt>
                <c:pt idx="39">
                  <c:v>45849</c:v>
                </c:pt>
                <c:pt idx="40">
                  <c:v>45850</c:v>
                </c:pt>
                <c:pt idx="41">
                  <c:v>45851</c:v>
                </c:pt>
                <c:pt idx="42">
                  <c:v>45852</c:v>
                </c:pt>
                <c:pt idx="43">
                  <c:v>45853</c:v>
                </c:pt>
                <c:pt idx="44">
                  <c:v>45854</c:v>
                </c:pt>
                <c:pt idx="45">
                  <c:v>45855</c:v>
                </c:pt>
                <c:pt idx="46">
                  <c:v>45856</c:v>
                </c:pt>
                <c:pt idx="47">
                  <c:v>45857</c:v>
                </c:pt>
                <c:pt idx="48">
                  <c:v>45858</c:v>
                </c:pt>
                <c:pt idx="49">
                  <c:v>45859</c:v>
                </c:pt>
                <c:pt idx="50">
                  <c:v>45860</c:v>
                </c:pt>
                <c:pt idx="51">
                  <c:v>45861</c:v>
                </c:pt>
                <c:pt idx="52">
                  <c:v>45862</c:v>
                </c:pt>
                <c:pt idx="53">
                  <c:v>45863</c:v>
                </c:pt>
                <c:pt idx="54">
                  <c:v>45864</c:v>
                </c:pt>
                <c:pt idx="55">
                  <c:v>45865</c:v>
                </c:pt>
                <c:pt idx="56">
                  <c:v>45866</c:v>
                </c:pt>
                <c:pt idx="57">
                  <c:v>45867</c:v>
                </c:pt>
                <c:pt idx="58">
                  <c:v>45868</c:v>
                </c:pt>
                <c:pt idx="59">
                  <c:v>45869</c:v>
                </c:pt>
                <c:pt idx="60">
                  <c:v>45870</c:v>
                </c:pt>
                <c:pt idx="61">
                  <c:v>45871</c:v>
                </c:pt>
                <c:pt idx="62">
                  <c:v>45872</c:v>
                </c:pt>
                <c:pt idx="63">
                  <c:v>45873</c:v>
                </c:pt>
                <c:pt idx="64">
                  <c:v>45874</c:v>
                </c:pt>
                <c:pt idx="65">
                  <c:v>45875</c:v>
                </c:pt>
                <c:pt idx="66">
                  <c:v>45876</c:v>
                </c:pt>
                <c:pt idx="67">
                  <c:v>45877</c:v>
                </c:pt>
                <c:pt idx="68">
                  <c:v>45878</c:v>
                </c:pt>
                <c:pt idx="69">
                  <c:v>45879</c:v>
                </c:pt>
                <c:pt idx="70">
                  <c:v>45880</c:v>
                </c:pt>
                <c:pt idx="71">
                  <c:v>45881</c:v>
                </c:pt>
                <c:pt idx="72">
                  <c:v>45882</c:v>
                </c:pt>
                <c:pt idx="73">
                  <c:v>45883</c:v>
                </c:pt>
                <c:pt idx="74">
                  <c:v>45884</c:v>
                </c:pt>
                <c:pt idx="75">
                  <c:v>45885</c:v>
                </c:pt>
                <c:pt idx="76">
                  <c:v>45886</c:v>
                </c:pt>
                <c:pt idx="77">
                  <c:v>45887</c:v>
                </c:pt>
                <c:pt idx="78">
                  <c:v>45888</c:v>
                </c:pt>
                <c:pt idx="79">
                  <c:v>45889</c:v>
                </c:pt>
                <c:pt idx="80">
                  <c:v>45890</c:v>
                </c:pt>
                <c:pt idx="81">
                  <c:v>45891</c:v>
                </c:pt>
                <c:pt idx="82">
                  <c:v>45892</c:v>
                </c:pt>
                <c:pt idx="83">
                  <c:v>45893</c:v>
                </c:pt>
                <c:pt idx="84">
                  <c:v>45894</c:v>
                </c:pt>
                <c:pt idx="85">
                  <c:v>45895</c:v>
                </c:pt>
                <c:pt idx="86">
                  <c:v>45896</c:v>
                </c:pt>
                <c:pt idx="87">
                  <c:v>45897</c:v>
                </c:pt>
                <c:pt idx="88">
                  <c:v>45898</c:v>
                </c:pt>
                <c:pt idx="89">
                  <c:v>45899</c:v>
                </c:pt>
                <c:pt idx="90">
                  <c:v>45900</c:v>
                </c:pt>
              </c:numCache>
            </c:numRef>
          </c:cat>
          <c:val>
            <c:numRef>
              <c:f>'Daily Sales'!$H$6:$H$96</c:f>
              <c:numCache>
                <c:formatCode>"₱"#,##0</c:formatCode>
                <c:ptCount val="91"/>
                <c:pt idx="0">
                  <c:v>85426</c:v>
                </c:pt>
                <c:pt idx="1">
                  <c:v>131322.5</c:v>
                </c:pt>
                <c:pt idx="2">
                  <c:v>107402.33333333333</c:v>
                </c:pt>
                <c:pt idx="3">
                  <c:v>101593</c:v>
                </c:pt>
                <c:pt idx="4">
                  <c:v>116672.2</c:v>
                </c:pt>
                <c:pt idx="5">
                  <c:v>116623.5</c:v>
                </c:pt>
                <c:pt idx="6">
                  <c:v>109757.57142857143</c:v>
                </c:pt>
                <c:pt idx="7">
                  <c:v>110744</c:v>
                </c:pt>
                <c:pt idx="8">
                  <c:v>101330.85714285714</c:v>
                </c:pt>
                <c:pt idx="9">
                  <c:v>106208.28571428571</c:v>
                </c:pt>
                <c:pt idx="10">
                  <c:v>99407.857142857145</c:v>
                </c:pt>
                <c:pt idx="11">
                  <c:v>91824</c:v>
                </c:pt>
                <c:pt idx="12">
                  <c:v>94419.428571428565</c:v>
                </c:pt>
                <c:pt idx="13">
                  <c:v>99820.142857142855</c:v>
                </c:pt>
                <c:pt idx="14">
                  <c:v>96675.428571428565</c:v>
                </c:pt>
                <c:pt idx="15">
                  <c:v>93086</c:v>
                </c:pt>
                <c:pt idx="16">
                  <c:v>92538</c:v>
                </c:pt>
                <c:pt idx="17">
                  <c:v>94452.142857142855</c:v>
                </c:pt>
                <c:pt idx="18">
                  <c:v>94621.571428571435</c:v>
                </c:pt>
                <c:pt idx="19">
                  <c:v>95014.857142857145</c:v>
                </c:pt>
                <c:pt idx="20">
                  <c:v>96959.142857142855</c:v>
                </c:pt>
                <c:pt idx="21">
                  <c:v>100784.14285714286</c:v>
                </c:pt>
                <c:pt idx="22">
                  <c:v>100185.28571428571</c:v>
                </c:pt>
                <c:pt idx="23">
                  <c:v>97480.142857142855</c:v>
                </c:pt>
                <c:pt idx="24">
                  <c:v>109655.85714285714</c:v>
                </c:pt>
                <c:pt idx="25">
                  <c:v>105089.42857142857</c:v>
                </c:pt>
                <c:pt idx="26">
                  <c:v>103062.14285714286</c:v>
                </c:pt>
                <c:pt idx="27">
                  <c:v>106613.85714285714</c:v>
                </c:pt>
                <c:pt idx="28">
                  <c:v>108361.42857142857</c:v>
                </c:pt>
                <c:pt idx="29">
                  <c:v>110769</c:v>
                </c:pt>
                <c:pt idx="30">
                  <c:v>126934.42857142857</c:v>
                </c:pt>
                <c:pt idx="31">
                  <c:v>119147</c:v>
                </c:pt>
                <c:pt idx="32">
                  <c:v>131433</c:v>
                </c:pt>
                <c:pt idx="33">
                  <c:v>126960.42857142857</c:v>
                </c:pt>
                <c:pt idx="34">
                  <c:v>129735.71428571429</c:v>
                </c:pt>
                <c:pt idx="35">
                  <c:v>129813.42857142857</c:v>
                </c:pt>
                <c:pt idx="36">
                  <c:v>132821.57142857142</c:v>
                </c:pt>
                <c:pt idx="37">
                  <c:v>119162.57142857143</c:v>
                </c:pt>
                <c:pt idx="38">
                  <c:v>125405</c:v>
                </c:pt>
                <c:pt idx="39">
                  <c:v>116088.85714285714</c:v>
                </c:pt>
                <c:pt idx="40">
                  <c:v>127079.57142857143</c:v>
                </c:pt>
                <c:pt idx="41">
                  <c:v>131507.85714285713</c:v>
                </c:pt>
                <c:pt idx="42">
                  <c:v>125110</c:v>
                </c:pt>
                <c:pt idx="43">
                  <c:v>119938</c:v>
                </c:pt>
                <c:pt idx="44">
                  <c:v>118758.42857142857</c:v>
                </c:pt>
                <c:pt idx="45">
                  <c:v>121839.71428571429</c:v>
                </c:pt>
                <c:pt idx="46">
                  <c:v>126619.28571428571</c:v>
                </c:pt>
                <c:pt idx="47">
                  <c:v>118479</c:v>
                </c:pt>
                <c:pt idx="48">
                  <c:v>120724.42857142857</c:v>
                </c:pt>
                <c:pt idx="49">
                  <c:v>124281.14285714286</c:v>
                </c:pt>
                <c:pt idx="50">
                  <c:v>120430.85714285714</c:v>
                </c:pt>
                <c:pt idx="51">
                  <c:v>123505.85714285714</c:v>
                </c:pt>
                <c:pt idx="52">
                  <c:v>125957.42857142857</c:v>
                </c:pt>
                <c:pt idx="53">
                  <c:v>126274</c:v>
                </c:pt>
                <c:pt idx="54">
                  <c:v>125556.14285714286</c:v>
                </c:pt>
                <c:pt idx="55">
                  <c:v>112974</c:v>
                </c:pt>
                <c:pt idx="56">
                  <c:v>115214.14285714286</c:v>
                </c:pt>
                <c:pt idx="57">
                  <c:v>128465.85714285714</c:v>
                </c:pt>
                <c:pt idx="58">
                  <c:v>142102.57142857142</c:v>
                </c:pt>
                <c:pt idx="59">
                  <c:v>139746.28571428571</c:v>
                </c:pt>
                <c:pt idx="60">
                  <c:v>144700.14285714287</c:v>
                </c:pt>
                <c:pt idx="61">
                  <c:v>159872.57142857142</c:v>
                </c:pt>
                <c:pt idx="62">
                  <c:v>167180.14285714287</c:v>
                </c:pt>
                <c:pt idx="63">
                  <c:v>164598.71428571429</c:v>
                </c:pt>
                <c:pt idx="64">
                  <c:v>155092.28571428571</c:v>
                </c:pt>
                <c:pt idx="65">
                  <c:v>141108.14285714287</c:v>
                </c:pt>
                <c:pt idx="66">
                  <c:v>141338</c:v>
                </c:pt>
                <c:pt idx="67">
                  <c:v>149377.14285714287</c:v>
                </c:pt>
                <c:pt idx="68">
                  <c:v>143816.28571428571</c:v>
                </c:pt>
                <c:pt idx="69">
                  <c:v>148352.57142857142</c:v>
                </c:pt>
                <c:pt idx="70">
                  <c:v>154151.71428571429</c:v>
                </c:pt>
                <c:pt idx="71">
                  <c:v>154587.42857142858</c:v>
                </c:pt>
                <c:pt idx="72">
                  <c:v>151529.28571428571</c:v>
                </c:pt>
                <c:pt idx="73">
                  <c:v>147858.28571428571</c:v>
                </c:pt>
                <c:pt idx="74">
                  <c:v>131574</c:v>
                </c:pt>
                <c:pt idx="75">
                  <c:v>129334.71428571429</c:v>
                </c:pt>
                <c:pt idx="76">
                  <c:v>126868.57142857143</c:v>
                </c:pt>
                <c:pt idx="77">
                  <c:v>135310.71428571429</c:v>
                </c:pt>
                <c:pt idx="78">
                  <c:v>137214.28571428571</c:v>
                </c:pt>
                <c:pt idx="79">
                  <c:v>144394.57142857142</c:v>
                </c:pt>
                <c:pt idx="80">
                  <c:v>140396.42857142858</c:v>
                </c:pt>
                <c:pt idx="81">
                  <c:v>133917.28571428571</c:v>
                </c:pt>
                <c:pt idx="82">
                  <c:v>132218.71428571429</c:v>
                </c:pt>
                <c:pt idx="83">
                  <c:v>129518.71428571429</c:v>
                </c:pt>
                <c:pt idx="84">
                  <c:v>115197.14285714286</c:v>
                </c:pt>
                <c:pt idx="85">
                  <c:v>111508.28571428571</c:v>
                </c:pt>
                <c:pt idx="86">
                  <c:v>112576.42857142857</c:v>
                </c:pt>
                <c:pt idx="87">
                  <c:v>115647.42857142857</c:v>
                </c:pt>
                <c:pt idx="88">
                  <c:v>120183.85714285714</c:v>
                </c:pt>
                <c:pt idx="89">
                  <c:v>118239.42857142857</c:v>
                </c:pt>
                <c:pt idx="90">
                  <c:v>113286.57142857143</c:v>
                </c:pt>
              </c:numCache>
            </c:numRef>
          </c:val>
          <c:smooth val="0"/>
          <c:extLst>
            <c:ext xmlns:c16="http://schemas.microsoft.com/office/drawing/2014/chart" uri="{C3380CC4-5D6E-409C-BE32-E72D297353CC}">
              <c16:uniqueId val="{00000001-4E85-42DE-89A4-3FA4BF0D5EE3}"/>
            </c:ext>
          </c:extLst>
        </c:ser>
        <c:dLbls>
          <c:showLegendKey val="0"/>
          <c:showVal val="0"/>
          <c:showCatName val="0"/>
          <c:showSerName val="0"/>
          <c:showPercent val="0"/>
          <c:showBubbleSize val="0"/>
        </c:dLbls>
        <c:smooth val="0"/>
        <c:axId val="10"/>
        <c:axId val="100"/>
      </c:lineChart>
      <c:dateAx>
        <c:axId val="10"/>
        <c:scaling>
          <c:orientation val="minMax"/>
        </c:scaling>
        <c:delete val="0"/>
        <c:axPos val="b"/>
        <c:title>
          <c:tx>
            <c:rich>
              <a:bodyPr/>
              <a:lstStyle/>
              <a:p>
                <a:pPr>
                  <a:defRPr sz="900" b="0">
                    <a:solidFill>
                      <a:srgbClr val="4B5563"/>
                    </a:solidFill>
                    <a:latin typeface="Arial"/>
                  </a:defRPr>
                </a:pPr>
                <a:r>
                  <a:rPr lang="en-PH" sz="900" b="0">
                    <a:solidFill>
                      <a:srgbClr val="4B5563"/>
                    </a:solidFill>
                    <a:latin typeface="Arial"/>
                  </a:rPr>
                  <a:t>Date</a:t>
                </a:r>
              </a:p>
            </c:rich>
          </c:tx>
          <c:overlay val="0"/>
        </c:title>
        <c:numFmt formatCode="d\ mmm" sourceLinked="0"/>
        <c:majorTickMark val="none"/>
        <c:minorTickMark val="none"/>
        <c:tickLblPos val="nextTo"/>
        <c:spPr>
          <a:ln>
            <a:solidFill>
              <a:srgbClr val="9CA3AF"/>
            </a:solidFill>
            <a:prstDash val="solid"/>
          </a:ln>
        </c:spPr>
        <c:txPr>
          <a:bodyPr/>
          <a:lstStyle/>
          <a:p>
            <a:pPr>
              <a:defRPr sz="900">
                <a:solidFill>
                  <a:srgbClr val="4B5563"/>
                </a:solidFill>
                <a:latin typeface="Arial"/>
              </a:defRPr>
            </a:pPr>
            <a:endParaRPr lang="en-US"/>
          </a:p>
        </c:txPr>
        <c:crossAx val="100"/>
        <c:crosses val="autoZero"/>
        <c:auto val="1"/>
        <c:lblOffset val="100"/>
        <c:baseTimeUnit val="days"/>
        <c:majorUnit val="7"/>
        <c:minorUnit val="7"/>
      </c:dateAx>
      <c:valAx>
        <c:axId val="100"/>
        <c:scaling>
          <c:orientation val="minMax"/>
        </c:scaling>
        <c:delete val="0"/>
        <c:axPos val="l"/>
        <c:majorGridlines>
          <c:spPr>
            <a:ln>
              <a:solidFill>
                <a:srgbClr val="E5E7EB"/>
              </a:solidFill>
              <a:prstDash val="solid"/>
            </a:ln>
          </c:spPr>
        </c:majorGridlines>
        <c:title>
          <c:tx>
            <c:rich>
              <a:bodyPr/>
              <a:lstStyle/>
              <a:p>
                <a:pPr>
                  <a:defRPr sz="900" b="0">
                    <a:solidFill>
                      <a:srgbClr val="4B5563"/>
                    </a:solidFill>
                    <a:latin typeface="Arial"/>
                  </a:defRPr>
                </a:pPr>
                <a:r>
                  <a:rPr lang="en-PH" sz="900" b="0">
                    <a:solidFill>
                      <a:srgbClr val="4B5563"/>
                    </a:solidFill>
                    <a:latin typeface="Arial"/>
                  </a:rPr>
                  <a:t>GMV (PHP)</a:t>
                </a:r>
              </a:p>
            </c:rich>
          </c:tx>
          <c:overlay val="0"/>
        </c:title>
        <c:numFmt formatCode="&quot;₱&quot;#,##0,&quot;K&quot;" sourceLinked="0"/>
        <c:majorTickMark val="none"/>
        <c:minorTickMark val="none"/>
        <c:tickLblPos val="nextTo"/>
        <c:spPr>
          <a:ln>
            <a:noFill/>
            <a:prstDash val="solid"/>
          </a:ln>
        </c:spPr>
        <c:txPr>
          <a:bodyPr/>
          <a:lstStyle/>
          <a:p>
            <a:pPr>
              <a:defRPr sz="900">
                <a:solidFill>
                  <a:srgbClr val="4B5563"/>
                </a:solidFill>
                <a:latin typeface="Arial"/>
              </a:defRPr>
            </a:pPr>
            <a:endParaRPr lang="en-US"/>
          </a:p>
        </c:txPr>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B2545"/>
                </a:solidFill>
                <a:latin typeface="Arial"/>
              </a:defRPr>
            </a:pPr>
            <a:r>
              <a:rPr lang="en-PH" sz="1200" b="1">
                <a:solidFill>
                  <a:srgbClr val="0B2545"/>
                </a:solidFill>
                <a:latin typeface="Arial"/>
              </a:rPr>
              <a:t>Weekly Total GMV (PHP)</a:t>
            </a:r>
          </a:p>
        </c:rich>
      </c:tx>
      <c:overlay val="0"/>
    </c:title>
    <c:autoTitleDeleted val="0"/>
    <c:plotArea>
      <c:layout/>
      <c:barChart>
        <c:barDir val="col"/>
        <c:grouping val="clustered"/>
        <c:varyColors val="1"/>
        <c:ser>
          <c:idx val="0"/>
          <c:order val="0"/>
          <c:tx>
            <c:v>Total GMV</c:v>
          </c:tx>
          <c:spPr>
            <a:solidFill>
              <a:srgbClr val="0B2545"/>
            </a:solidFill>
            <a:ln>
              <a:noFill/>
              <a:prstDash val="solid"/>
            </a:ln>
          </c:spPr>
          <c:invertIfNegative val="1"/>
          <c:dLbls>
            <c:spPr>
              <a:noFill/>
              <a:ln>
                <a:noFill/>
              </a:ln>
              <a:effectLst/>
            </c:spPr>
            <c:txPr>
              <a:bodyPr/>
              <a:lstStyle/>
              <a:p>
                <a:pPr>
                  <a:defRPr sz="800">
                    <a:solidFill>
                      <a:srgbClr val="1F2937"/>
                    </a:solidFill>
                    <a:latin typeface="Arial"/>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'Weekly Summary'!$B$6:$B$18</c:f>
              <c:numCache>
                <c:formatCode>dd\-mmm\-yyyy</c:formatCode>
                <c:ptCount val="13"/>
                <c:pt idx="0">
                  <c:v>45810</c:v>
                </c:pt>
                <c:pt idx="1">
                  <c:v>45817</c:v>
                </c:pt>
                <c:pt idx="2">
                  <c:v>45824</c:v>
                </c:pt>
                <c:pt idx="3">
                  <c:v>45831</c:v>
                </c:pt>
                <c:pt idx="4">
                  <c:v>45838</c:v>
                </c:pt>
                <c:pt idx="5">
                  <c:v>45845</c:v>
                </c:pt>
                <c:pt idx="6">
                  <c:v>45852</c:v>
                </c:pt>
                <c:pt idx="7">
                  <c:v>45859</c:v>
                </c:pt>
                <c:pt idx="8">
                  <c:v>45866</c:v>
                </c:pt>
                <c:pt idx="9">
                  <c:v>45873</c:v>
                </c:pt>
                <c:pt idx="10">
                  <c:v>45880</c:v>
                </c:pt>
                <c:pt idx="11">
                  <c:v>45887</c:v>
                </c:pt>
                <c:pt idx="12">
                  <c:v>45894</c:v>
                </c:pt>
              </c:numCache>
            </c:numRef>
          </c:cat>
          <c:val>
            <c:numRef>
              <c:f>'Weekly Summary'!$D$6:$D$18</c:f>
              <c:numCache>
                <c:formatCode>"₱"#,##0</c:formatCode>
                <c:ptCount val="13"/>
                <c:pt idx="0">
                  <c:v>768303</c:v>
                </c:pt>
                <c:pt idx="1">
                  <c:v>698741</c:v>
                </c:pt>
                <c:pt idx="2">
                  <c:v>678714</c:v>
                </c:pt>
                <c:pt idx="3">
                  <c:v>746297</c:v>
                </c:pt>
                <c:pt idx="4">
                  <c:v>908150</c:v>
                </c:pt>
                <c:pt idx="5">
                  <c:v>920555</c:v>
                </c:pt>
                <c:pt idx="6">
                  <c:v>845071</c:v>
                </c:pt>
                <c:pt idx="7">
                  <c:v>790818</c:v>
                </c:pt>
                <c:pt idx="8">
                  <c:v>1170261</c:v>
                </c:pt>
                <c:pt idx="9">
                  <c:v>1038468</c:v>
                </c:pt>
                <c:pt idx="10">
                  <c:v>888080</c:v>
                </c:pt>
                <c:pt idx="11">
                  <c:v>906631</c:v>
                </c:pt>
                <c:pt idx="12">
                  <c:v>793006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4A9-4085-93A6-48C5ED396B7A}"/>
            </c:ext>
          </c:extLst>
        </c:ser>
        <c:dLbls>
          <c:showLegendKey val="0"/>
          <c:showVal val="0"/>
          <c:showCatName val="0"/>
          <c:showSerName val="0"/>
          <c:showPercent val="0"/>
          <c:showBubbleSize val="0"/>
        </c:dLbls>
        <c:gapWidth val="60"/>
        <c:axId val="10"/>
        <c:axId val="100"/>
      </c:barChart>
      <c:dateAx>
        <c:axId val="10"/>
        <c:scaling>
          <c:orientation val="minMax"/>
        </c:scaling>
        <c:delete val="0"/>
        <c:axPos val="b"/>
        <c:title>
          <c:tx>
            <c:rich>
              <a:bodyPr/>
              <a:lstStyle/>
              <a:p>
                <a:pPr>
                  <a:defRPr sz="900" b="0">
                    <a:solidFill>
                      <a:srgbClr val="4B5563"/>
                    </a:solidFill>
                    <a:latin typeface="Arial"/>
                  </a:defRPr>
                </a:pPr>
                <a:r>
                  <a:rPr lang="en-PH" sz="900" b="0">
                    <a:solidFill>
                      <a:srgbClr val="4B5563"/>
                    </a:solidFill>
                    <a:latin typeface="Arial"/>
                  </a:rPr>
                  <a:t>Week starting (Monday)</a:t>
                </a:r>
              </a:p>
            </c:rich>
          </c:tx>
          <c:overlay val="0"/>
        </c:title>
        <c:numFmt formatCode="d\ mmm" sourceLinked="0"/>
        <c:majorTickMark val="none"/>
        <c:minorTickMark val="none"/>
        <c:tickLblPos val="nextTo"/>
        <c:spPr>
          <a:ln>
            <a:solidFill>
              <a:srgbClr val="9CA3AF"/>
            </a:solidFill>
            <a:prstDash val="solid"/>
          </a:ln>
        </c:spPr>
        <c:txPr>
          <a:bodyPr/>
          <a:lstStyle/>
          <a:p>
            <a:pPr>
              <a:defRPr sz="900">
                <a:solidFill>
                  <a:srgbClr val="4B5563"/>
                </a:solidFill>
                <a:latin typeface="Arial"/>
              </a:defRPr>
            </a:pPr>
            <a:endParaRPr lang="en-US"/>
          </a:p>
        </c:txPr>
        <c:crossAx val="100"/>
        <c:crosses val="autoZero"/>
        <c:auto val="1"/>
        <c:lblOffset val="100"/>
        <c:baseTimeUnit val="days"/>
      </c:dateAx>
      <c:valAx>
        <c:axId val="100"/>
        <c:scaling>
          <c:orientation val="minMax"/>
        </c:scaling>
        <c:delete val="0"/>
        <c:axPos val="l"/>
        <c:majorGridlines>
          <c:spPr>
            <a:ln>
              <a:solidFill>
                <a:srgbClr val="E5E7EB"/>
              </a:solidFill>
              <a:prstDash val="solid"/>
            </a:ln>
          </c:spPr>
        </c:majorGridlines>
        <c:title>
          <c:tx>
            <c:rich>
              <a:bodyPr/>
              <a:lstStyle/>
              <a:p>
                <a:pPr>
                  <a:defRPr sz="900" b="0">
                    <a:solidFill>
                      <a:srgbClr val="4B5563"/>
                    </a:solidFill>
                    <a:latin typeface="Arial"/>
                  </a:defRPr>
                </a:pPr>
                <a:r>
                  <a:rPr lang="en-PH" sz="900" b="0">
                    <a:solidFill>
                      <a:srgbClr val="4B5563"/>
                    </a:solidFill>
                    <a:latin typeface="Arial"/>
                  </a:rPr>
                  <a:t>GMV (PHP)</a:t>
                </a:r>
              </a:p>
            </c:rich>
          </c:tx>
          <c:overlay val="0"/>
        </c:title>
        <c:numFmt formatCode="&quot;₱&quot;#,##0,&quot;K&quot;" sourceLinked="0"/>
        <c:majorTickMark val="none"/>
        <c:minorTickMark val="none"/>
        <c:tickLblPos val="nextTo"/>
        <c:spPr>
          <a:ln>
            <a:noFill/>
            <a:prstDash val="solid"/>
          </a:ln>
        </c:spPr>
        <c:txPr>
          <a:bodyPr/>
          <a:lstStyle/>
          <a:p>
            <a:pPr>
              <a:defRPr sz="900">
                <a:solidFill>
                  <a:srgbClr val="4B5563"/>
                </a:solidFill>
                <a:latin typeface="Arial"/>
              </a:defRPr>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B2545"/>
                </a:solidFill>
                <a:latin typeface="Arial"/>
              </a:defRPr>
            </a:pPr>
            <a:r>
              <a:rPr lang="en-PH" sz="1200" b="1">
                <a:solidFill>
                  <a:srgbClr val="0B2545"/>
                </a:solidFill>
                <a:latin typeface="Arial"/>
              </a:rPr>
              <a:t>Daily GMV Trend (PHP) — selected dates &amp; host</a:t>
            </a:r>
          </a:p>
        </c:rich>
      </c:tx>
      <c:overlay val="0"/>
    </c:title>
    <c:autoTitleDeleted val="0"/>
    <c:plotArea>
      <c:layout/>
      <c:lineChart>
        <c:grouping val="standard"/>
        <c:varyColors val="1"/>
        <c:ser>
          <c:idx val="0"/>
          <c:order val="0"/>
          <c:tx>
            <c:v>Daily GMV</c:v>
          </c:tx>
          <c:spPr>
            <a:ln w="12000">
              <a:solidFill>
                <a:srgbClr val="8DA9C4"/>
              </a:solidFill>
              <a:prstDash val="solid"/>
            </a:ln>
          </c:spPr>
          <c:marker>
            <c:symbol val="none"/>
          </c:marker>
          <c:cat>
            <c:numRef>
              <c:f>Dashboard!$R$7:$R$97</c:f>
              <c:numCache>
                <c:formatCode>d\-mmm</c:formatCode>
                <c:ptCount val="91"/>
                <c:pt idx="0">
                  <c:v>45810</c:v>
                </c:pt>
                <c:pt idx="1">
                  <c:v>45811</c:v>
                </c:pt>
                <c:pt idx="2">
                  <c:v>45812</c:v>
                </c:pt>
                <c:pt idx="3">
                  <c:v>45813</c:v>
                </c:pt>
                <c:pt idx="4">
                  <c:v>45814</c:v>
                </c:pt>
                <c:pt idx="5">
                  <c:v>45815</c:v>
                </c:pt>
                <c:pt idx="6">
                  <c:v>45816</c:v>
                </c:pt>
                <c:pt idx="7">
                  <c:v>45817</c:v>
                </c:pt>
                <c:pt idx="8">
                  <c:v>45818</c:v>
                </c:pt>
                <c:pt idx="9">
                  <c:v>45819</c:v>
                </c:pt>
                <c:pt idx="10">
                  <c:v>45820</c:v>
                </c:pt>
                <c:pt idx="11">
                  <c:v>45821</c:v>
                </c:pt>
                <c:pt idx="12">
                  <c:v>45822</c:v>
                </c:pt>
                <c:pt idx="13">
                  <c:v>45823</c:v>
                </c:pt>
                <c:pt idx="14">
                  <c:v>45824</c:v>
                </c:pt>
                <c:pt idx="15">
                  <c:v>45825</c:v>
                </c:pt>
                <c:pt idx="16">
                  <c:v>45826</c:v>
                </c:pt>
                <c:pt idx="17">
                  <c:v>45827</c:v>
                </c:pt>
                <c:pt idx="18">
                  <c:v>45828</c:v>
                </c:pt>
                <c:pt idx="19">
                  <c:v>45829</c:v>
                </c:pt>
                <c:pt idx="20">
                  <c:v>45830</c:v>
                </c:pt>
                <c:pt idx="21">
                  <c:v>45831</c:v>
                </c:pt>
                <c:pt idx="22">
                  <c:v>45832</c:v>
                </c:pt>
                <c:pt idx="23">
                  <c:v>45833</c:v>
                </c:pt>
                <c:pt idx="24">
                  <c:v>45834</c:v>
                </c:pt>
                <c:pt idx="25">
                  <c:v>45835</c:v>
                </c:pt>
                <c:pt idx="26">
                  <c:v>45836</c:v>
                </c:pt>
                <c:pt idx="27">
                  <c:v>45837</c:v>
                </c:pt>
                <c:pt idx="28">
                  <c:v>45838</c:v>
                </c:pt>
                <c:pt idx="29">
                  <c:v>45839</c:v>
                </c:pt>
                <c:pt idx="30">
                  <c:v>45840</c:v>
                </c:pt>
                <c:pt idx="31">
                  <c:v>45841</c:v>
                </c:pt>
                <c:pt idx="32">
                  <c:v>45842</c:v>
                </c:pt>
                <c:pt idx="33">
                  <c:v>45843</c:v>
                </c:pt>
                <c:pt idx="34">
                  <c:v>45844</c:v>
                </c:pt>
                <c:pt idx="35">
                  <c:v>45845</c:v>
                </c:pt>
                <c:pt idx="36">
                  <c:v>45846</c:v>
                </c:pt>
                <c:pt idx="37">
                  <c:v>45847</c:v>
                </c:pt>
                <c:pt idx="38">
                  <c:v>45848</c:v>
                </c:pt>
                <c:pt idx="39">
                  <c:v>45849</c:v>
                </c:pt>
                <c:pt idx="40">
                  <c:v>45850</c:v>
                </c:pt>
                <c:pt idx="41">
                  <c:v>45851</c:v>
                </c:pt>
                <c:pt idx="42">
                  <c:v>45852</c:v>
                </c:pt>
                <c:pt idx="43">
                  <c:v>45853</c:v>
                </c:pt>
                <c:pt idx="44">
                  <c:v>45854</c:v>
                </c:pt>
                <c:pt idx="45">
                  <c:v>45855</c:v>
                </c:pt>
                <c:pt idx="46">
                  <c:v>45856</c:v>
                </c:pt>
                <c:pt idx="47">
                  <c:v>45857</c:v>
                </c:pt>
                <c:pt idx="48">
                  <c:v>45858</c:v>
                </c:pt>
                <c:pt idx="49">
                  <c:v>45859</c:v>
                </c:pt>
                <c:pt idx="50">
                  <c:v>45860</c:v>
                </c:pt>
                <c:pt idx="51">
                  <c:v>45861</c:v>
                </c:pt>
                <c:pt idx="52">
                  <c:v>45862</c:v>
                </c:pt>
                <c:pt idx="53">
                  <c:v>45863</c:v>
                </c:pt>
                <c:pt idx="54">
                  <c:v>45864</c:v>
                </c:pt>
                <c:pt idx="55">
                  <c:v>45865</c:v>
                </c:pt>
                <c:pt idx="56">
                  <c:v>45866</c:v>
                </c:pt>
                <c:pt idx="57">
                  <c:v>45867</c:v>
                </c:pt>
                <c:pt idx="58">
                  <c:v>45868</c:v>
                </c:pt>
                <c:pt idx="59">
                  <c:v>45869</c:v>
                </c:pt>
                <c:pt idx="60">
                  <c:v>45870</c:v>
                </c:pt>
                <c:pt idx="61">
                  <c:v>45871</c:v>
                </c:pt>
                <c:pt idx="62">
                  <c:v>45872</c:v>
                </c:pt>
                <c:pt idx="63">
                  <c:v>45873</c:v>
                </c:pt>
                <c:pt idx="64">
                  <c:v>45874</c:v>
                </c:pt>
                <c:pt idx="65">
                  <c:v>45875</c:v>
                </c:pt>
                <c:pt idx="66">
                  <c:v>45876</c:v>
                </c:pt>
                <c:pt idx="67">
                  <c:v>45877</c:v>
                </c:pt>
                <c:pt idx="68">
                  <c:v>45878</c:v>
                </c:pt>
                <c:pt idx="69">
                  <c:v>45879</c:v>
                </c:pt>
                <c:pt idx="70">
                  <c:v>45880</c:v>
                </c:pt>
                <c:pt idx="71">
                  <c:v>45881</c:v>
                </c:pt>
                <c:pt idx="72">
                  <c:v>45882</c:v>
                </c:pt>
                <c:pt idx="73">
                  <c:v>45883</c:v>
                </c:pt>
                <c:pt idx="74">
                  <c:v>45884</c:v>
                </c:pt>
                <c:pt idx="75">
                  <c:v>45885</c:v>
                </c:pt>
                <c:pt idx="76">
                  <c:v>45886</c:v>
                </c:pt>
                <c:pt idx="77">
                  <c:v>45887</c:v>
                </c:pt>
                <c:pt idx="78">
                  <c:v>45888</c:v>
                </c:pt>
                <c:pt idx="79">
                  <c:v>45889</c:v>
                </c:pt>
                <c:pt idx="80">
                  <c:v>45890</c:v>
                </c:pt>
                <c:pt idx="81">
                  <c:v>45891</c:v>
                </c:pt>
                <c:pt idx="82">
                  <c:v>45892</c:v>
                </c:pt>
                <c:pt idx="83">
                  <c:v>45893</c:v>
                </c:pt>
                <c:pt idx="84">
                  <c:v>45894</c:v>
                </c:pt>
                <c:pt idx="85">
                  <c:v>45895</c:v>
                </c:pt>
                <c:pt idx="86">
                  <c:v>45896</c:v>
                </c:pt>
                <c:pt idx="87">
                  <c:v>45897</c:v>
                </c:pt>
                <c:pt idx="88">
                  <c:v>45898</c:v>
                </c:pt>
                <c:pt idx="89">
                  <c:v>45899</c:v>
                </c:pt>
                <c:pt idx="90">
                  <c:v>45900</c:v>
                </c:pt>
              </c:numCache>
            </c:numRef>
          </c:cat>
          <c:val>
            <c:numRef>
              <c:f>Dashboard!$S$7:$S$97</c:f>
              <c:numCache>
                <c:formatCode>#,##0</c:formatCode>
                <c:ptCount val="91"/>
                <c:pt idx="0">
                  <c:v>85426</c:v>
                </c:pt>
                <c:pt idx="1">
                  <c:v>177219</c:v>
                </c:pt>
                <c:pt idx="2">
                  <c:v>59562</c:v>
                </c:pt>
                <c:pt idx="3">
                  <c:v>84165</c:v>
                </c:pt>
                <c:pt idx="4">
                  <c:v>176989</c:v>
                </c:pt>
                <c:pt idx="5">
                  <c:v>116380</c:v>
                </c:pt>
                <c:pt idx="6">
                  <c:v>68562</c:v>
                </c:pt>
                <c:pt idx="7">
                  <c:v>92331</c:v>
                </c:pt>
                <c:pt idx="8">
                  <c:v>111327</c:v>
                </c:pt>
                <c:pt idx="9">
                  <c:v>93704</c:v>
                </c:pt>
                <c:pt idx="10">
                  <c:v>36562</c:v>
                </c:pt>
                <c:pt idx="11">
                  <c:v>123902</c:v>
                </c:pt>
                <c:pt idx="12">
                  <c:v>134548</c:v>
                </c:pt>
                <c:pt idx="13">
                  <c:v>106367</c:v>
                </c:pt>
                <c:pt idx="14">
                  <c:v>70318</c:v>
                </c:pt>
                <c:pt idx="15">
                  <c:v>86201</c:v>
                </c:pt>
                <c:pt idx="16">
                  <c:v>89868</c:v>
                </c:pt>
                <c:pt idx="17">
                  <c:v>49961</c:v>
                </c:pt>
                <c:pt idx="18">
                  <c:v>125088</c:v>
                </c:pt>
                <c:pt idx="19">
                  <c:v>137301</c:v>
                </c:pt>
                <c:pt idx="20">
                  <c:v>119977</c:v>
                </c:pt>
                <c:pt idx="21">
                  <c:v>97093</c:v>
                </c:pt>
                <c:pt idx="22">
                  <c:v>82009</c:v>
                </c:pt>
                <c:pt idx="23">
                  <c:v>70932</c:v>
                </c:pt>
                <c:pt idx="24">
                  <c:v>135191</c:v>
                </c:pt>
                <c:pt idx="25">
                  <c:v>93123</c:v>
                </c:pt>
                <c:pt idx="26">
                  <c:v>123110</c:v>
                </c:pt>
                <c:pt idx="27">
                  <c:v>144839</c:v>
                </c:pt>
                <c:pt idx="28">
                  <c:v>109326</c:v>
                </c:pt>
                <c:pt idx="29">
                  <c:v>98862</c:v>
                </c:pt>
                <c:pt idx="30">
                  <c:v>184090</c:v>
                </c:pt>
                <c:pt idx="31">
                  <c:v>80679</c:v>
                </c:pt>
                <c:pt idx="32">
                  <c:v>179125</c:v>
                </c:pt>
                <c:pt idx="33">
                  <c:v>91802</c:v>
                </c:pt>
                <c:pt idx="34">
                  <c:v>164266</c:v>
                </c:pt>
                <c:pt idx="35">
                  <c:v>109870</c:v>
                </c:pt>
                <c:pt idx="36">
                  <c:v>119919</c:v>
                </c:pt>
                <c:pt idx="37">
                  <c:v>88477</c:v>
                </c:pt>
                <c:pt idx="38">
                  <c:v>124376</c:v>
                </c:pt>
                <c:pt idx="39">
                  <c:v>113912</c:v>
                </c:pt>
                <c:pt idx="40">
                  <c:v>168737</c:v>
                </c:pt>
                <c:pt idx="41">
                  <c:v>195264</c:v>
                </c:pt>
                <c:pt idx="42">
                  <c:v>65085</c:v>
                </c:pt>
                <c:pt idx="43">
                  <c:v>83715</c:v>
                </c:pt>
                <c:pt idx="44">
                  <c:v>80220</c:v>
                </c:pt>
                <c:pt idx="45">
                  <c:v>145945</c:v>
                </c:pt>
                <c:pt idx="46">
                  <c:v>147369</c:v>
                </c:pt>
                <c:pt idx="47">
                  <c:v>111755</c:v>
                </c:pt>
                <c:pt idx="48">
                  <c:v>210982</c:v>
                </c:pt>
                <c:pt idx="49">
                  <c:v>89982</c:v>
                </c:pt>
                <c:pt idx="50">
                  <c:v>56763</c:v>
                </c:pt>
                <c:pt idx="51">
                  <c:v>101745</c:v>
                </c:pt>
                <c:pt idx="52">
                  <c:v>163106</c:v>
                </c:pt>
                <c:pt idx="53">
                  <c:v>149585</c:v>
                </c:pt>
                <c:pt idx="54">
                  <c:v>106730</c:v>
                </c:pt>
                <c:pt idx="55">
                  <c:v>122907</c:v>
                </c:pt>
                <c:pt idx="56">
                  <c:v>105663</c:v>
                </c:pt>
                <c:pt idx="57">
                  <c:v>149525</c:v>
                </c:pt>
                <c:pt idx="58">
                  <c:v>197202</c:v>
                </c:pt>
                <c:pt idx="59">
                  <c:v>146612</c:v>
                </c:pt>
                <c:pt idx="60">
                  <c:v>184262</c:v>
                </c:pt>
                <c:pt idx="61">
                  <c:v>212937</c:v>
                </c:pt>
                <c:pt idx="62">
                  <c:v>174060</c:v>
                </c:pt>
                <c:pt idx="63">
                  <c:v>87593</c:v>
                </c:pt>
                <c:pt idx="64">
                  <c:v>82980</c:v>
                </c:pt>
                <c:pt idx="65">
                  <c:v>99313</c:v>
                </c:pt>
                <c:pt idx="66">
                  <c:v>148221</c:v>
                </c:pt>
                <c:pt idx="67">
                  <c:v>240536</c:v>
                </c:pt>
                <c:pt idx="68">
                  <c:v>174011</c:v>
                </c:pt>
                <c:pt idx="69">
                  <c:v>205814</c:v>
                </c:pt>
                <c:pt idx="70">
                  <c:v>128187</c:v>
                </c:pt>
                <c:pt idx="71">
                  <c:v>86030</c:v>
                </c:pt>
                <c:pt idx="72">
                  <c:v>77906</c:v>
                </c:pt>
                <c:pt idx="73">
                  <c:v>122524</c:v>
                </c:pt>
                <c:pt idx="74">
                  <c:v>126546</c:v>
                </c:pt>
                <c:pt idx="75">
                  <c:v>158336</c:v>
                </c:pt>
                <c:pt idx="76">
                  <c:v>188551</c:v>
                </c:pt>
                <c:pt idx="77">
                  <c:v>187282</c:v>
                </c:pt>
                <c:pt idx="78">
                  <c:v>99355</c:v>
                </c:pt>
                <c:pt idx="79">
                  <c:v>128168</c:v>
                </c:pt>
                <c:pt idx="80">
                  <c:v>94537</c:v>
                </c:pt>
                <c:pt idx="81">
                  <c:v>81192</c:v>
                </c:pt>
                <c:pt idx="82">
                  <c:v>146446</c:v>
                </c:pt>
                <c:pt idx="83">
                  <c:v>169651</c:v>
                </c:pt>
                <c:pt idx="84">
                  <c:v>87031</c:v>
                </c:pt>
                <c:pt idx="85">
                  <c:v>73533</c:v>
                </c:pt>
                <c:pt idx="86">
                  <c:v>135645</c:v>
                </c:pt>
                <c:pt idx="87">
                  <c:v>116034</c:v>
                </c:pt>
                <c:pt idx="88">
                  <c:v>112947</c:v>
                </c:pt>
                <c:pt idx="89">
                  <c:v>132835</c:v>
                </c:pt>
                <c:pt idx="90">
                  <c:v>134981</c:v>
                </c:pt>
              </c:numCache>
            </c:numRef>
          </c:val>
          <c:smooth val="0"/>
          <c:extLst>
            <c:ext xmlns:c16="http://schemas.microsoft.com/office/drawing/2014/chart" uri="{C3380CC4-5D6E-409C-BE32-E72D297353CC}">
              <c16:uniqueId val="{00000000-4EC0-40EE-B4F6-4FFB4EB392EC}"/>
            </c:ext>
          </c:extLst>
        </c:ser>
        <c:ser>
          <c:idx val="1"/>
          <c:order val="1"/>
          <c:tx>
            <c:v>7-Day Avg GMV</c:v>
          </c:tx>
          <c:spPr>
            <a:ln w="28000">
              <a:solidFill>
                <a:srgbClr val="1B998B"/>
              </a:solidFill>
              <a:prstDash val="solid"/>
            </a:ln>
          </c:spPr>
          <c:marker>
            <c:symbol val="none"/>
          </c:marker>
          <c:cat>
            <c:numRef>
              <c:f>Dashboard!$R$7:$R$97</c:f>
              <c:numCache>
                <c:formatCode>d\-mmm</c:formatCode>
                <c:ptCount val="91"/>
                <c:pt idx="0">
                  <c:v>45810</c:v>
                </c:pt>
                <c:pt idx="1">
                  <c:v>45811</c:v>
                </c:pt>
                <c:pt idx="2">
                  <c:v>45812</c:v>
                </c:pt>
                <c:pt idx="3">
                  <c:v>45813</c:v>
                </c:pt>
                <c:pt idx="4">
                  <c:v>45814</c:v>
                </c:pt>
                <c:pt idx="5">
                  <c:v>45815</c:v>
                </c:pt>
                <c:pt idx="6">
                  <c:v>45816</c:v>
                </c:pt>
                <c:pt idx="7">
                  <c:v>45817</c:v>
                </c:pt>
                <c:pt idx="8">
                  <c:v>45818</c:v>
                </c:pt>
                <c:pt idx="9">
                  <c:v>45819</c:v>
                </c:pt>
                <c:pt idx="10">
                  <c:v>45820</c:v>
                </c:pt>
                <c:pt idx="11">
                  <c:v>45821</c:v>
                </c:pt>
                <c:pt idx="12">
                  <c:v>45822</c:v>
                </c:pt>
                <c:pt idx="13">
                  <c:v>45823</c:v>
                </c:pt>
                <c:pt idx="14">
                  <c:v>45824</c:v>
                </c:pt>
                <c:pt idx="15">
                  <c:v>45825</c:v>
                </c:pt>
                <c:pt idx="16">
                  <c:v>45826</c:v>
                </c:pt>
                <c:pt idx="17">
                  <c:v>45827</c:v>
                </c:pt>
                <c:pt idx="18">
                  <c:v>45828</c:v>
                </c:pt>
                <c:pt idx="19">
                  <c:v>45829</c:v>
                </c:pt>
                <c:pt idx="20">
                  <c:v>45830</c:v>
                </c:pt>
                <c:pt idx="21">
                  <c:v>45831</c:v>
                </c:pt>
                <c:pt idx="22">
                  <c:v>45832</c:v>
                </c:pt>
                <c:pt idx="23">
                  <c:v>45833</c:v>
                </c:pt>
                <c:pt idx="24">
                  <c:v>45834</c:v>
                </c:pt>
                <c:pt idx="25">
                  <c:v>45835</c:v>
                </c:pt>
                <c:pt idx="26">
                  <c:v>45836</c:v>
                </c:pt>
                <c:pt idx="27">
                  <c:v>45837</c:v>
                </c:pt>
                <c:pt idx="28">
                  <c:v>45838</c:v>
                </c:pt>
                <c:pt idx="29">
                  <c:v>45839</c:v>
                </c:pt>
                <c:pt idx="30">
                  <c:v>45840</c:v>
                </c:pt>
                <c:pt idx="31">
                  <c:v>45841</c:v>
                </c:pt>
                <c:pt idx="32">
                  <c:v>45842</c:v>
                </c:pt>
                <c:pt idx="33">
                  <c:v>45843</c:v>
                </c:pt>
                <c:pt idx="34">
                  <c:v>45844</c:v>
                </c:pt>
                <c:pt idx="35">
                  <c:v>45845</c:v>
                </c:pt>
                <c:pt idx="36">
                  <c:v>45846</c:v>
                </c:pt>
                <c:pt idx="37">
                  <c:v>45847</c:v>
                </c:pt>
                <c:pt idx="38">
                  <c:v>45848</c:v>
                </c:pt>
                <c:pt idx="39">
                  <c:v>45849</c:v>
                </c:pt>
                <c:pt idx="40">
                  <c:v>45850</c:v>
                </c:pt>
                <c:pt idx="41">
                  <c:v>45851</c:v>
                </c:pt>
                <c:pt idx="42">
                  <c:v>45852</c:v>
                </c:pt>
                <c:pt idx="43">
                  <c:v>45853</c:v>
                </c:pt>
                <c:pt idx="44">
                  <c:v>45854</c:v>
                </c:pt>
                <c:pt idx="45">
                  <c:v>45855</c:v>
                </c:pt>
                <c:pt idx="46">
                  <c:v>45856</c:v>
                </c:pt>
                <c:pt idx="47">
                  <c:v>45857</c:v>
                </c:pt>
                <c:pt idx="48">
                  <c:v>45858</c:v>
                </c:pt>
                <c:pt idx="49">
                  <c:v>45859</c:v>
                </c:pt>
                <c:pt idx="50">
                  <c:v>45860</c:v>
                </c:pt>
                <c:pt idx="51">
                  <c:v>45861</c:v>
                </c:pt>
                <c:pt idx="52">
                  <c:v>45862</c:v>
                </c:pt>
                <c:pt idx="53">
                  <c:v>45863</c:v>
                </c:pt>
                <c:pt idx="54">
                  <c:v>45864</c:v>
                </c:pt>
                <c:pt idx="55">
                  <c:v>45865</c:v>
                </c:pt>
                <c:pt idx="56">
                  <c:v>45866</c:v>
                </c:pt>
                <c:pt idx="57">
                  <c:v>45867</c:v>
                </c:pt>
                <c:pt idx="58">
                  <c:v>45868</c:v>
                </c:pt>
                <c:pt idx="59">
                  <c:v>45869</c:v>
                </c:pt>
                <c:pt idx="60">
                  <c:v>45870</c:v>
                </c:pt>
                <c:pt idx="61">
                  <c:v>45871</c:v>
                </c:pt>
                <c:pt idx="62">
                  <c:v>45872</c:v>
                </c:pt>
                <c:pt idx="63">
                  <c:v>45873</c:v>
                </c:pt>
                <c:pt idx="64">
                  <c:v>45874</c:v>
                </c:pt>
                <c:pt idx="65">
                  <c:v>45875</c:v>
                </c:pt>
                <c:pt idx="66">
                  <c:v>45876</c:v>
                </c:pt>
                <c:pt idx="67">
                  <c:v>45877</c:v>
                </c:pt>
                <c:pt idx="68">
                  <c:v>45878</c:v>
                </c:pt>
                <c:pt idx="69">
                  <c:v>45879</c:v>
                </c:pt>
                <c:pt idx="70">
                  <c:v>45880</c:v>
                </c:pt>
                <c:pt idx="71">
                  <c:v>45881</c:v>
                </c:pt>
                <c:pt idx="72">
                  <c:v>45882</c:v>
                </c:pt>
                <c:pt idx="73">
                  <c:v>45883</c:v>
                </c:pt>
                <c:pt idx="74">
                  <c:v>45884</c:v>
                </c:pt>
                <c:pt idx="75">
                  <c:v>45885</c:v>
                </c:pt>
                <c:pt idx="76">
                  <c:v>45886</c:v>
                </c:pt>
                <c:pt idx="77">
                  <c:v>45887</c:v>
                </c:pt>
                <c:pt idx="78">
                  <c:v>45888</c:v>
                </c:pt>
                <c:pt idx="79">
                  <c:v>45889</c:v>
                </c:pt>
                <c:pt idx="80">
                  <c:v>45890</c:v>
                </c:pt>
                <c:pt idx="81">
                  <c:v>45891</c:v>
                </c:pt>
                <c:pt idx="82">
                  <c:v>45892</c:v>
                </c:pt>
                <c:pt idx="83">
                  <c:v>45893</c:v>
                </c:pt>
                <c:pt idx="84">
                  <c:v>45894</c:v>
                </c:pt>
                <c:pt idx="85">
                  <c:v>45895</c:v>
                </c:pt>
                <c:pt idx="86">
                  <c:v>45896</c:v>
                </c:pt>
                <c:pt idx="87">
                  <c:v>45897</c:v>
                </c:pt>
                <c:pt idx="88">
                  <c:v>45898</c:v>
                </c:pt>
                <c:pt idx="89">
                  <c:v>45899</c:v>
                </c:pt>
                <c:pt idx="90">
                  <c:v>45900</c:v>
                </c:pt>
              </c:numCache>
            </c:numRef>
          </c:cat>
          <c:val>
            <c:numRef>
              <c:f>Dashboard!$T$7:$T$97</c:f>
              <c:numCache>
                <c:formatCode>#,##0</c:formatCode>
                <c:ptCount val="91"/>
                <c:pt idx="0">
                  <c:v>85426</c:v>
                </c:pt>
                <c:pt idx="1">
                  <c:v>131322.5</c:v>
                </c:pt>
                <c:pt idx="2">
                  <c:v>107402.33333333333</c:v>
                </c:pt>
                <c:pt idx="3">
                  <c:v>101593</c:v>
                </c:pt>
                <c:pt idx="4">
                  <c:v>116672.2</c:v>
                </c:pt>
                <c:pt idx="5">
                  <c:v>116623.5</c:v>
                </c:pt>
                <c:pt idx="6">
                  <c:v>109757.57142857143</c:v>
                </c:pt>
                <c:pt idx="7">
                  <c:v>110744</c:v>
                </c:pt>
                <c:pt idx="8">
                  <c:v>101330.85714285714</c:v>
                </c:pt>
                <c:pt idx="9">
                  <c:v>106208.28571428571</c:v>
                </c:pt>
                <c:pt idx="10">
                  <c:v>99407.857142857145</c:v>
                </c:pt>
                <c:pt idx="11">
                  <c:v>91824</c:v>
                </c:pt>
                <c:pt idx="12">
                  <c:v>94419.428571428565</c:v>
                </c:pt>
                <c:pt idx="13">
                  <c:v>99820.142857142855</c:v>
                </c:pt>
                <c:pt idx="14">
                  <c:v>96675.428571428565</c:v>
                </c:pt>
                <c:pt idx="15">
                  <c:v>93086</c:v>
                </c:pt>
                <c:pt idx="16">
                  <c:v>92538</c:v>
                </c:pt>
                <c:pt idx="17">
                  <c:v>94452.142857142855</c:v>
                </c:pt>
                <c:pt idx="18">
                  <c:v>94621.571428571435</c:v>
                </c:pt>
                <c:pt idx="19">
                  <c:v>95014.857142857145</c:v>
                </c:pt>
                <c:pt idx="20">
                  <c:v>96959.142857142855</c:v>
                </c:pt>
                <c:pt idx="21">
                  <c:v>100784.14285714286</c:v>
                </c:pt>
                <c:pt idx="22">
                  <c:v>100185.28571428571</c:v>
                </c:pt>
                <c:pt idx="23">
                  <c:v>97480.142857142855</c:v>
                </c:pt>
                <c:pt idx="24">
                  <c:v>109655.85714285714</c:v>
                </c:pt>
                <c:pt idx="25">
                  <c:v>105089.42857142857</c:v>
                </c:pt>
                <c:pt idx="26">
                  <c:v>103062.14285714286</c:v>
                </c:pt>
                <c:pt idx="27">
                  <c:v>106613.85714285714</c:v>
                </c:pt>
                <c:pt idx="28">
                  <c:v>108361.42857142857</c:v>
                </c:pt>
                <c:pt idx="29">
                  <c:v>110769</c:v>
                </c:pt>
                <c:pt idx="30">
                  <c:v>126934.42857142857</c:v>
                </c:pt>
                <c:pt idx="31">
                  <c:v>119147</c:v>
                </c:pt>
                <c:pt idx="32">
                  <c:v>131433</c:v>
                </c:pt>
                <c:pt idx="33">
                  <c:v>126960.42857142857</c:v>
                </c:pt>
                <c:pt idx="34">
                  <c:v>129735.71428571429</c:v>
                </c:pt>
                <c:pt idx="35">
                  <c:v>129813.42857142857</c:v>
                </c:pt>
                <c:pt idx="36">
                  <c:v>132821.57142857142</c:v>
                </c:pt>
                <c:pt idx="37">
                  <c:v>119162.57142857143</c:v>
                </c:pt>
                <c:pt idx="38">
                  <c:v>125405</c:v>
                </c:pt>
                <c:pt idx="39">
                  <c:v>116088.85714285714</c:v>
                </c:pt>
                <c:pt idx="40">
                  <c:v>127079.57142857143</c:v>
                </c:pt>
                <c:pt idx="41">
                  <c:v>131507.85714285713</c:v>
                </c:pt>
                <c:pt idx="42">
                  <c:v>125110</c:v>
                </c:pt>
                <c:pt idx="43">
                  <c:v>119938</c:v>
                </c:pt>
                <c:pt idx="44">
                  <c:v>118758.42857142857</c:v>
                </c:pt>
                <c:pt idx="45">
                  <c:v>121839.71428571429</c:v>
                </c:pt>
                <c:pt idx="46">
                  <c:v>126619.28571428571</c:v>
                </c:pt>
                <c:pt idx="47">
                  <c:v>118479</c:v>
                </c:pt>
                <c:pt idx="48">
                  <c:v>120724.42857142857</c:v>
                </c:pt>
                <c:pt idx="49">
                  <c:v>124281.14285714286</c:v>
                </c:pt>
                <c:pt idx="50">
                  <c:v>120430.85714285714</c:v>
                </c:pt>
                <c:pt idx="51">
                  <c:v>123505.85714285714</c:v>
                </c:pt>
                <c:pt idx="52">
                  <c:v>125957.42857142857</c:v>
                </c:pt>
                <c:pt idx="53">
                  <c:v>126274</c:v>
                </c:pt>
                <c:pt idx="54">
                  <c:v>125556.14285714286</c:v>
                </c:pt>
                <c:pt idx="55">
                  <c:v>112974</c:v>
                </c:pt>
                <c:pt idx="56">
                  <c:v>115214.14285714286</c:v>
                </c:pt>
                <c:pt idx="57">
                  <c:v>128465.85714285714</c:v>
                </c:pt>
                <c:pt idx="58">
                  <c:v>142102.57142857142</c:v>
                </c:pt>
                <c:pt idx="59">
                  <c:v>139746.28571428571</c:v>
                </c:pt>
                <c:pt idx="60">
                  <c:v>144700.14285714287</c:v>
                </c:pt>
                <c:pt idx="61">
                  <c:v>159872.57142857142</c:v>
                </c:pt>
                <c:pt idx="62">
                  <c:v>167180.14285714287</c:v>
                </c:pt>
                <c:pt idx="63">
                  <c:v>164598.71428571429</c:v>
                </c:pt>
                <c:pt idx="64">
                  <c:v>155092.28571428571</c:v>
                </c:pt>
                <c:pt idx="65">
                  <c:v>141108.14285714287</c:v>
                </c:pt>
                <c:pt idx="66">
                  <c:v>141338</c:v>
                </c:pt>
                <c:pt idx="67">
                  <c:v>149377.14285714287</c:v>
                </c:pt>
                <c:pt idx="68">
                  <c:v>143816.28571428571</c:v>
                </c:pt>
                <c:pt idx="69">
                  <c:v>148352.57142857142</c:v>
                </c:pt>
                <c:pt idx="70">
                  <c:v>154151.71428571429</c:v>
                </c:pt>
                <c:pt idx="71">
                  <c:v>154587.42857142858</c:v>
                </c:pt>
                <c:pt idx="72">
                  <c:v>151529.28571428571</c:v>
                </c:pt>
                <c:pt idx="73">
                  <c:v>147858.28571428571</c:v>
                </c:pt>
                <c:pt idx="74">
                  <c:v>131574</c:v>
                </c:pt>
                <c:pt idx="75">
                  <c:v>129334.71428571429</c:v>
                </c:pt>
                <c:pt idx="76">
                  <c:v>126868.57142857143</c:v>
                </c:pt>
                <c:pt idx="77">
                  <c:v>135310.71428571429</c:v>
                </c:pt>
                <c:pt idx="78">
                  <c:v>137214.28571428571</c:v>
                </c:pt>
                <c:pt idx="79">
                  <c:v>144394.57142857142</c:v>
                </c:pt>
                <c:pt idx="80">
                  <c:v>140396.42857142858</c:v>
                </c:pt>
                <c:pt idx="81">
                  <c:v>133917.28571428571</c:v>
                </c:pt>
                <c:pt idx="82">
                  <c:v>132218.71428571429</c:v>
                </c:pt>
                <c:pt idx="83">
                  <c:v>129518.71428571429</c:v>
                </c:pt>
                <c:pt idx="84">
                  <c:v>115197.14285714286</c:v>
                </c:pt>
                <c:pt idx="85">
                  <c:v>111508.28571428571</c:v>
                </c:pt>
                <c:pt idx="86">
                  <c:v>112576.42857142857</c:v>
                </c:pt>
                <c:pt idx="87">
                  <c:v>115647.42857142857</c:v>
                </c:pt>
                <c:pt idx="88">
                  <c:v>120183.85714285714</c:v>
                </c:pt>
                <c:pt idx="89">
                  <c:v>118239.42857142857</c:v>
                </c:pt>
                <c:pt idx="90">
                  <c:v>113286.57142857143</c:v>
                </c:pt>
              </c:numCache>
            </c:numRef>
          </c:val>
          <c:smooth val="0"/>
          <c:extLst>
            <c:ext xmlns:c16="http://schemas.microsoft.com/office/drawing/2014/chart" uri="{C3380CC4-5D6E-409C-BE32-E72D297353CC}">
              <c16:uniqueId val="{00000001-4EC0-40EE-B4F6-4FFB4EB392EC}"/>
            </c:ext>
          </c:extLst>
        </c:ser>
        <c:dLbls>
          <c:showLegendKey val="0"/>
          <c:showVal val="0"/>
          <c:showCatName val="0"/>
          <c:showSerName val="0"/>
          <c:showPercent val="0"/>
          <c:showBubbleSize val="0"/>
        </c:dLbls>
        <c:smooth val="0"/>
        <c:axId val="10"/>
        <c:axId val="100"/>
      </c:lineChart>
      <c:dateAx>
        <c:axId val="10"/>
        <c:scaling>
          <c:orientation val="minMax"/>
        </c:scaling>
        <c:delete val="0"/>
        <c:axPos val="b"/>
        <c:numFmt formatCode="d\ mmm" sourceLinked="0"/>
        <c:majorTickMark val="none"/>
        <c:minorTickMark val="none"/>
        <c:tickLblPos val="nextTo"/>
        <c:spPr>
          <a:ln>
            <a:solidFill>
              <a:srgbClr val="9CA3AF"/>
            </a:solidFill>
            <a:prstDash val="solid"/>
          </a:ln>
        </c:spPr>
        <c:txPr>
          <a:bodyPr/>
          <a:lstStyle/>
          <a:p>
            <a:pPr>
              <a:defRPr sz="900">
                <a:solidFill>
                  <a:srgbClr val="4B5563"/>
                </a:solidFill>
                <a:latin typeface="Arial"/>
              </a:defRPr>
            </a:pPr>
            <a:endParaRPr lang="en-US"/>
          </a:p>
        </c:txPr>
        <c:crossAx val="100"/>
        <c:crosses val="autoZero"/>
        <c:auto val="1"/>
        <c:lblOffset val="100"/>
        <c:baseTimeUnit val="days"/>
        <c:majorUnit val="7"/>
        <c:minorUnit val="7"/>
      </c:dateAx>
      <c:valAx>
        <c:axId val="100"/>
        <c:scaling>
          <c:orientation val="minMax"/>
        </c:scaling>
        <c:delete val="0"/>
        <c:axPos val="l"/>
        <c:majorGridlines>
          <c:spPr>
            <a:ln>
              <a:solidFill>
                <a:srgbClr val="E5E7EB"/>
              </a:solidFill>
              <a:prstDash val="solid"/>
            </a:ln>
          </c:spPr>
        </c:majorGridlines>
        <c:title>
          <c:tx>
            <c:rich>
              <a:bodyPr/>
              <a:lstStyle/>
              <a:p>
                <a:pPr>
                  <a:defRPr sz="900" b="0">
                    <a:solidFill>
                      <a:srgbClr val="4B5563"/>
                    </a:solidFill>
                    <a:latin typeface="Arial"/>
                  </a:defRPr>
                </a:pPr>
                <a:r>
                  <a:rPr lang="en-PH" sz="900" b="0">
                    <a:solidFill>
                      <a:srgbClr val="4B5563"/>
                    </a:solidFill>
                    <a:latin typeface="Arial"/>
                  </a:rPr>
                  <a:t>GMV (PHP)</a:t>
                </a:r>
              </a:p>
            </c:rich>
          </c:tx>
          <c:overlay val="0"/>
        </c:title>
        <c:numFmt formatCode="&quot;₱&quot;#,##0,&quot;K&quot;" sourceLinked="0"/>
        <c:majorTickMark val="none"/>
        <c:minorTickMark val="none"/>
        <c:tickLblPos val="nextTo"/>
        <c:spPr>
          <a:ln>
            <a:noFill/>
            <a:prstDash val="solid"/>
          </a:ln>
        </c:spPr>
        <c:txPr>
          <a:bodyPr/>
          <a:lstStyle/>
          <a:p>
            <a:pPr>
              <a:defRPr sz="900">
                <a:solidFill>
                  <a:srgbClr val="4B5563"/>
                </a:solidFill>
                <a:latin typeface="Arial"/>
              </a:defRPr>
            </a:pPr>
            <a:endParaRPr lang="en-US"/>
          </a:p>
        </c:txPr>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B2545"/>
                </a:solidFill>
                <a:latin typeface="Arial"/>
              </a:defRPr>
            </a:pPr>
            <a:r>
              <a:rPr lang="en-PH" sz="1200" b="1">
                <a:solidFill>
                  <a:srgbClr val="0B2545"/>
                </a:solidFill>
                <a:latin typeface="Arial"/>
              </a:rPr>
              <a:t>Weekly GMV Trend (PHP) — selected dates &amp; host</a:t>
            </a:r>
          </a:p>
        </c:rich>
      </c:tx>
      <c:overlay val="0"/>
    </c:title>
    <c:autoTitleDeleted val="0"/>
    <c:plotArea>
      <c:layout/>
      <c:barChart>
        <c:barDir val="col"/>
        <c:grouping val="clustered"/>
        <c:varyColors val="1"/>
        <c:ser>
          <c:idx val="0"/>
          <c:order val="0"/>
          <c:tx>
            <c:v>Weekly GMV</c:v>
          </c:tx>
          <c:spPr>
            <a:solidFill>
              <a:srgbClr val="0B2545"/>
            </a:solidFill>
            <a:ln>
              <a:noFill/>
              <a:prstDash val="solid"/>
            </a:ln>
          </c:spPr>
          <c:invertIfNegative val="1"/>
          <c:cat>
            <c:numRef>
              <c:f>Dashboard!$V$7:$V$19</c:f>
              <c:numCache>
                <c:formatCode>d\-mmm</c:formatCode>
                <c:ptCount val="13"/>
                <c:pt idx="0">
                  <c:v>45810</c:v>
                </c:pt>
                <c:pt idx="1">
                  <c:v>45817</c:v>
                </c:pt>
                <c:pt idx="2">
                  <c:v>45824</c:v>
                </c:pt>
                <c:pt idx="3">
                  <c:v>45831</c:v>
                </c:pt>
                <c:pt idx="4">
                  <c:v>45838</c:v>
                </c:pt>
                <c:pt idx="5">
                  <c:v>45845</c:v>
                </c:pt>
                <c:pt idx="6">
                  <c:v>45852</c:v>
                </c:pt>
                <c:pt idx="7">
                  <c:v>45859</c:v>
                </c:pt>
                <c:pt idx="8">
                  <c:v>45866</c:v>
                </c:pt>
                <c:pt idx="9">
                  <c:v>45873</c:v>
                </c:pt>
                <c:pt idx="10">
                  <c:v>45880</c:v>
                </c:pt>
                <c:pt idx="11">
                  <c:v>45887</c:v>
                </c:pt>
                <c:pt idx="12">
                  <c:v>45894</c:v>
                </c:pt>
              </c:numCache>
            </c:numRef>
          </c:cat>
          <c:val>
            <c:numRef>
              <c:f>Dashboard!$W$7:$W$19</c:f>
              <c:numCache>
                <c:formatCode>#,##0</c:formatCode>
                <c:ptCount val="13"/>
                <c:pt idx="0">
                  <c:v>768303</c:v>
                </c:pt>
                <c:pt idx="1">
                  <c:v>698741</c:v>
                </c:pt>
                <c:pt idx="2">
                  <c:v>678714</c:v>
                </c:pt>
                <c:pt idx="3">
                  <c:v>746297</c:v>
                </c:pt>
                <c:pt idx="4">
                  <c:v>908150</c:v>
                </c:pt>
                <c:pt idx="5">
                  <c:v>920555</c:v>
                </c:pt>
                <c:pt idx="6">
                  <c:v>845071</c:v>
                </c:pt>
                <c:pt idx="7">
                  <c:v>790818</c:v>
                </c:pt>
                <c:pt idx="8">
                  <c:v>1170261</c:v>
                </c:pt>
                <c:pt idx="9">
                  <c:v>1038468</c:v>
                </c:pt>
                <c:pt idx="10">
                  <c:v>888080</c:v>
                </c:pt>
                <c:pt idx="11">
                  <c:v>906631</c:v>
                </c:pt>
                <c:pt idx="12">
                  <c:v>793006</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E491-4926-A07C-2D174D5B6FC7}"/>
            </c:ext>
          </c:extLst>
        </c:ser>
        <c:dLbls>
          <c:showLegendKey val="0"/>
          <c:showVal val="0"/>
          <c:showCatName val="0"/>
          <c:showSerName val="0"/>
          <c:showPercent val="0"/>
          <c:showBubbleSize val="0"/>
        </c:dLbls>
        <c:gapWidth val="60"/>
        <c:axId val="10"/>
        <c:axId val="100"/>
      </c:barChart>
      <c:dateAx>
        <c:axId val="10"/>
        <c:scaling>
          <c:orientation val="minMax"/>
        </c:scaling>
        <c:delete val="0"/>
        <c:axPos val="b"/>
        <c:title>
          <c:tx>
            <c:rich>
              <a:bodyPr/>
              <a:lstStyle/>
              <a:p>
                <a:pPr>
                  <a:defRPr sz="900" b="0">
                    <a:solidFill>
                      <a:srgbClr val="4B5563"/>
                    </a:solidFill>
                    <a:latin typeface="Arial"/>
                  </a:defRPr>
                </a:pPr>
                <a:r>
                  <a:rPr lang="en-PH" sz="900" b="0">
                    <a:solidFill>
                      <a:srgbClr val="4B5563"/>
                    </a:solidFill>
                    <a:latin typeface="Arial"/>
                  </a:rPr>
                  <a:t>Week starting (Monday)</a:t>
                </a:r>
              </a:p>
            </c:rich>
          </c:tx>
          <c:overlay val="0"/>
        </c:title>
        <c:numFmt formatCode="d\ mmm" sourceLinked="0"/>
        <c:majorTickMark val="none"/>
        <c:minorTickMark val="none"/>
        <c:tickLblPos val="nextTo"/>
        <c:spPr>
          <a:ln>
            <a:solidFill>
              <a:srgbClr val="9CA3AF"/>
            </a:solidFill>
            <a:prstDash val="solid"/>
          </a:ln>
        </c:spPr>
        <c:txPr>
          <a:bodyPr/>
          <a:lstStyle/>
          <a:p>
            <a:pPr>
              <a:defRPr sz="900">
                <a:solidFill>
                  <a:srgbClr val="4B5563"/>
                </a:solidFill>
                <a:latin typeface="Arial"/>
              </a:defRPr>
            </a:pPr>
            <a:endParaRPr lang="en-US"/>
          </a:p>
        </c:txPr>
        <c:crossAx val="100"/>
        <c:crosses val="autoZero"/>
        <c:auto val="1"/>
        <c:lblOffset val="100"/>
        <c:baseTimeUnit val="days"/>
      </c:dateAx>
      <c:valAx>
        <c:axId val="100"/>
        <c:scaling>
          <c:orientation val="minMax"/>
        </c:scaling>
        <c:delete val="0"/>
        <c:axPos val="l"/>
        <c:majorGridlines>
          <c:spPr>
            <a:ln>
              <a:solidFill>
                <a:srgbClr val="E5E7EB"/>
              </a:solidFill>
              <a:prstDash val="solid"/>
            </a:ln>
          </c:spPr>
        </c:majorGridlines>
        <c:title>
          <c:tx>
            <c:rich>
              <a:bodyPr/>
              <a:lstStyle/>
              <a:p>
                <a:pPr>
                  <a:defRPr sz="900" b="0">
                    <a:solidFill>
                      <a:srgbClr val="4B5563"/>
                    </a:solidFill>
                    <a:latin typeface="Arial"/>
                  </a:defRPr>
                </a:pPr>
                <a:r>
                  <a:rPr lang="en-PH" sz="900" b="0">
                    <a:solidFill>
                      <a:srgbClr val="4B5563"/>
                    </a:solidFill>
                    <a:latin typeface="Arial"/>
                  </a:rPr>
                  <a:t>GMV (PHP)</a:t>
                </a:r>
              </a:p>
            </c:rich>
          </c:tx>
          <c:overlay val="0"/>
        </c:title>
        <c:numFmt formatCode="&quot;₱&quot;#,##0,&quot;K&quot;" sourceLinked="0"/>
        <c:majorTickMark val="none"/>
        <c:minorTickMark val="none"/>
        <c:tickLblPos val="nextTo"/>
        <c:spPr>
          <a:ln>
            <a:noFill/>
            <a:prstDash val="solid"/>
          </a:ln>
        </c:spPr>
        <c:txPr>
          <a:bodyPr/>
          <a:lstStyle/>
          <a:p>
            <a:pPr>
              <a:defRPr sz="900">
                <a:solidFill>
                  <a:srgbClr val="4B5563"/>
                </a:solidFill>
                <a:latin typeface="Arial"/>
              </a:defRPr>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B2545"/>
                </a:solidFill>
                <a:latin typeface="Arial"/>
              </a:defRPr>
            </a:pPr>
            <a:r>
              <a:rPr lang="en-PH" sz="1200" b="1">
                <a:solidFill>
                  <a:srgbClr val="0B2545"/>
                </a:solidFill>
                <a:latin typeface="Arial"/>
              </a:rPr>
              <a:t>GMV by Host (PHP) — selected dates</a:t>
            </a:r>
          </a:p>
        </c:rich>
      </c:tx>
      <c:overlay val="0"/>
    </c:title>
    <c:autoTitleDeleted val="0"/>
    <c:plotArea>
      <c:layout/>
      <c:barChart>
        <c:barDir val="col"/>
        <c:grouping val="clustered"/>
        <c:varyColors val="1"/>
        <c:ser>
          <c:idx val="0"/>
          <c:order val="0"/>
          <c:tx>
            <c:v>GMV</c:v>
          </c:tx>
          <c:spPr>
            <a:solidFill>
              <a:srgbClr val="5B7DB1"/>
            </a:solidFill>
            <a:ln>
              <a:noFill/>
              <a:prstDash val="solid"/>
            </a:ln>
          </c:spPr>
          <c:invertIfNegative val="1"/>
          <c:dLbls>
            <c:spPr>
              <a:noFill/>
              <a:ln>
                <a:noFill/>
              </a:ln>
              <a:effectLst/>
            </c:spPr>
            <c:txPr>
              <a:bodyPr/>
              <a:lstStyle/>
              <a:p>
                <a:pPr>
                  <a:defRPr sz="800">
                    <a:solidFill>
                      <a:srgbClr val="1F2937"/>
                    </a:solidFill>
                    <a:latin typeface="Arial"/>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Dashboard!$Y$7:$Y$11</c:f>
              <c:strCache>
                <c:ptCount val="5"/>
                <c:pt idx="0">
                  <c:v>Aira Valdez</c:v>
                </c:pt>
                <c:pt idx="1">
                  <c:v>Bianca Reyes</c:v>
                </c:pt>
                <c:pt idx="2">
                  <c:v>Carlo Mendoza</c:v>
                </c:pt>
                <c:pt idx="3">
                  <c:v>Dani Villanueva</c:v>
                </c:pt>
                <c:pt idx="4">
                  <c:v>Elise Navarro</c:v>
                </c:pt>
              </c:strCache>
            </c:strRef>
          </c:cat>
          <c:val>
            <c:numRef>
              <c:f>Dashboard!$Z$7:$Z$11</c:f>
              <c:numCache>
                <c:formatCode>#,##0</c:formatCode>
                <c:ptCount val="5"/>
                <c:pt idx="0">
                  <c:v>2439929</c:v>
                </c:pt>
                <c:pt idx="1">
                  <c:v>3731707</c:v>
                </c:pt>
                <c:pt idx="2">
                  <c:v>2674714</c:v>
                </c:pt>
                <c:pt idx="3">
                  <c:v>1303370</c:v>
                </c:pt>
                <c:pt idx="4">
                  <c:v>1003375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502-412D-80C9-04472020BF05}"/>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spPr>
          <a:ln>
            <a:solidFill>
              <a:srgbClr val="9CA3AF"/>
            </a:solidFill>
            <a:prstDash val="solid"/>
          </a:ln>
        </c:spPr>
        <c:txPr>
          <a:bodyPr/>
          <a:lstStyle/>
          <a:p>
            <a:pPr>
              <a:defRPr sz="900">
                <a:solidFill>
                  <a:srgbClr val="4B5563"/>
                </a:solidFill>
                <a:latin typeface="Arial"/>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5E7EB"/>
              </a:solidFill>
              <a:prstDash val="solid"/>
            </a:ln>
          </c:spPr>
        </c:majorGridlines>
        <c:title>
          <c:tx>
            <c:rich>
              <a:bodyPr/>
              <a:lstStyle/>
              <a:p>
                <a:pPr>
                  <a:defRPr sz="900" b="0">
                    <a:solidFill>
                      <a:srgbClr val="4B5563"/>
                    </a:solidFill>
                    <a:latin typeface="Arial"/>
                  </a:defRPr>
                </a:pPr>
                <a:r>
                  <a:rPr lang="en-PH" sz="900" b="0">
                    <a:solidFill>
                      <a:srgbClr val="4B5563"/>
                    </a:solidFill>
                    <a:latin typeface="Arial"/>
                  </a:rPr>
                  <a:t>GMV (PHP)</a:t>
                </a:r>
              </a:p>
            </c:rich>
          </c:tx>
          <c:overlay val="0"/>
        </c:title>
        <c:numFmt formatCode="&quot;₱&quot;#,##0,&quot;K&quot;" sourceLinked="0"/>
        <c:majorTickMark val="none"/>
        <c:minorTickMark val="none"/>
        <c:tickLblPos val="nextTo"/>
        <c:spPr>
          <a:ln>
            <a:noFill/>
            <a:prstDash val="solid"/>
          </a:ln>
        </c:spPr>
        <c:txPr>
          <a:bodyPr/>
          <a:lstStyle/>
          <a:p>
            <a:pPr>
              <a:defRPr sz="900">
                <a:solidFill>
                  <a:srgbClr val="4B5563"/>
                </a:solidFill>
                <a:latin typeface="Arial"/>
              </a:defRPr>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B2545"/>
                </a:solidFill>
                <a:latin typeface="Arial"/>
              </a:defRPr>
            </a:pPr>
            <a:r>
              <a:rPr lang="en-PH" sz="1200" b="1">
                <a:solidFill>
                  <a:srgbClr val="0B2545"/>
                </a:solidFill>
                <a:latin typeface="Arial"/>
              </a:rPr>
              <a:t>Items Sold by Host — selected dates</a:t>
            </a:r>
          </a:p>
        </c:rich>
      </c:tx>
      <c:overlay val="0"/>
    </c:title>
    <c:autoTitleDeleted val="0"/>
    <c:plotArea>
      <c:layout/>
      <c:barChart>
        <c:barDir val="col"/>
        <c:grouping val="clustered"/>
        <c:varyColors val="1"/>
        <c:ser>
          <c:idx val="0"/>
          <c:order val="0"/>
          <c:tx>
            <c:v>Items</c:v>
          </c:tx>
          <c:spPr>
            <a:solidFill>
              <a:srgbClr val="8DA9C4"/>
            </a:solidFill>
            <a:ln>
              <a:noFill/>
              <a:prstDash val="solid"/>
            </a:ln>
          </c:spPr>
          <c:invertIfNegative val="1"/>
          <c:dLbls>
            <c:spPr>
              <a:noFill/>
              <a:ln>
                <a:noFill/>
              </a:ln>
              <a:effectLst/>
            </c:spPr>
            <c:txPr>
              <a:bodyPr/>
              <a:lstStyle/>
              <a:p>
                <a:pPr>
                  <a:defRPr sz="800">
                    <a:solidFill>
                      <a:srgbClr val="1F2937"/>
                    </a:solidFill>
                    <a:latin typeface="Arial"/>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Dashboard!$Y$7:$Y$11</c:f>
              <c:strCache>
                <c:ptCount val="5"/>
                <c:pt idx="0">
                  <c:v>Aira Valdez</c:v>
                </c:pt>
                <c:pt idx="1">
                  <c:v>Bianca Reyes</c:v>
                </c:pt>
                <c:pt idx="2">
                  <c:v>Carlo Mendoza</c:v>
                </c:pt>
                <c:pt idx="3">
                  <c:v>Dani Villanueva</c:v>
                </c:pt>
                <c:pt idx="4">
                  <c:v>Elise Navarro</c:v>
                </c:pt>
              </c:strCache>
            </c:strRef>
          </c:cat>
          <c:val>
            <c:numRef>
              <c:f>Dashboard!$AA$7:$AA$11</c:f>
              <c:numCache>
                <c:formatCode>#,##0</c:formatCode>
                <c:ptCount val="5"/>
                <c:pt idx="0">
                  <c:v>7368</c:v>
                </c:pt>
                <c:pt idx="1">
                  <c:v>11230</c:v>
                </c:pt>
                <c:pt idx="2">
                  <c:v>7850</c:v>
                </c:pt>
                <c:pt idx="3">
                  <c:v>3775</c:v>
                </c:pt>
                <c:pt idx="4">
                  <c:v>2893</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D664-4699-9C56-5FB9BB95C962}"/>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spPr>
          <a:ln>
            <a:solidFill>
              <a:srgbClr val="9CA3AF"/>
            </a:solidFill>
            <a:prstDash val="solid"/>
          </a:ln>
        </c:spPr>
        <c:txPr>
          <a:bodyPr/>
          <a:lstStyle/>
          <a:p>
            <a:pPr>
              <a:defRPr sz="900">
                <a:solidFill>
                  <a:srgbClr val="4B5563"/>
                </a:solidFill>
                <a:latin typeface="Arial"/>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5E7EB"/>
              </a:solidFill>
              <a:prstDash val="solid"/>
            </a:ln>
          </c:spPr>
        </c:majorGridlines>
        <c:title>
          <c:tx>
            <c:rich>
              <a:bodyPr/>
              <a:lstStyle/>
              <a:p>
                <a:pPr>
                  <a:defRPr sz="900" b="0">
                    <a:solidFill>
                      <a:srgbClr val="4B5563"/>
                    </a:solidFill>
                    <a:latin typeface="Arial"/>
                  </a:defRPr>
                </a:pPr>
                <a:r>
                  <a:rPr lang="en-PH" sz="900" b="0">
                    <a:solidFill>
                      <a:srgbClr val="4B5563"/>
                    </a:solidFill>
                    <a:latin typeface="Arial"/>
                  </a:rPr>
                  <a:t>Items sold</a:t>
                </a:r>
              </a:p>
            </c:rich>
          </c:tx>
          <c:overlay val="0"/>
        </c:title>
        <c:numFmt formatCode="#,##0" sourceLinked="0"/>
        <c:majorTickMark val="none"/>
        <c:minorTickMark val="none"/>
        <c:tickLblPos val="nextTo"/>
        <c:spPr>
          <a:ln>
            <a:noFill/>
            <a:prstDash val="solid"/>
          </a:ln>
        </c:spPr>
        <c:txPr>
          <a:bodyPr/>
          <a:lstStyle/>
          <a:p>
            <a:pPr>
              <a:defRPr sz="900">
                <a:solidFill>
                  <a:srgbClr val="4B5563"/>
                </a:solidFill>
                <a:latin typeface="Arial"/>
              </a:defRPr>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b="1">
                <a:solidFill>
                  <a:srgbClr val="0B2545"/>
                </a:solidFill>
                <a:latin typeface="Arial"/>
              </a:defRPr>
            </a:pPr>
            <a:r>
              <a:rPr lang="en-PH" sz="1200" b="1">
                <a:solidFill>
                  <a:srgbClr val="0B2545"/>
                </a:solidFill>
                <a:latin typeface="Arial"/>
              </a:rPr>
              <a:t>GMV per Hour by Host (PHP) — selected dates</a:t>
            </a:r>
          </a:p>
        </c:rich>
      </c:tx>
      <c:overlay val="0"/>
    </c:title>
    <c:autoTitleDeleted val="0"/>
    <c:plotArea>
      <c:layout/>
      <c:barChart>
        <c:barDir val="col"/>
        <c:grouping val="clustered"/>
        <c:varyColors val="1"/>
        <c:ser>
          <c:idx val="0"/>
          <c:order val="0"/>
          <c:tx>
            <c:v>GMV per hour</c:v>
          </c:tx>
          <c:spPr>
            <a:solidFill>
              <a:srgbClr val="1B998B"/>
            </a:solidFill>
            <a:ln>
              <a:noFill/>
              <a:prstDash val="solid"/>
            </a:ln>
          </c:spPr>
          <c:invertIfNegative val="1"/>
          <c:dLbls>
            <c:spPr>
              <a:noFill/>
              <a:ln>
                <a:noFill/>
              </a:ln>
              <a:effectLst/>
            </c:spPr>
            <c:txPr>
              <a:bodyPr/>
              <a:lstStyle/>
              <a:p>
                <a:pPr>
                  <a:defRPr sz="800">
                    <a:solidFill>
                      <a:srgbClr val="1F2937"/>
                    </a:solidFill>
                    <a:latin typeface="Arial"/>
                  </a:defRPr>
                </a:pPr>
                <a:endParaRPr lang="en-US"/>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Dashboard!$Y$7:$Y$11</c:f>
              <c:strCache>
                <c:ptCount val="5"/>
                <c:pt idx="0">
                  <c:v>Aira Valdez</c:v>
                </c:pt>
                <c:pt idx="1">
                  <c:v>Bianca Reyes</c:v>
                </c:pt>
                <c:pt idx="2">
                  <c:v>Carlo Mendoza</c:v>
                </c:pt>
                <c:pt idx="3">
                  <c:v>Dani Villanueva</c:v>
                </c:pt>
                <c:pt idx="4">
                  <c:v>Elise Navarro</c:v>
                </c:pt>
              </c:strCache>
            </c:strRef>
          </c:cat>
          <c:val>
            <c:numRef>
              <c:f>Dashboard!$AC$7:$AC$11</c:f>
              <c:numCache>
                <c:formatCode>#,##0</c:formatCode>
                <c:ptCount val="5"/>
                <c:pt idx="0">
                  <c:v>22803.074766355141</c:v>
                </c:pt>
                <c:pt idx="1">
                  <c:v>10601.44034090909</c:v>
                </c:pt>
                <c:pt idx="2">
                  <c:v>14040.493438320211</c:v>
                </c:pt>
                <c:pt idx="3">
                  <c:v>7947.3780487804879</c:v>
                </c:pt>
                <c:pt idx="4">
                  <c:v>13935.763888888889</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65BA-43B9-80A2-976C723D7CFE}"/>
            </c:ext>
          </c:extLst>
        </c:ser>
        <c:dLbls>
          <c:showLegendKey val="0"/>
          <c:showVal val="0"/>
          <c:showCatName val="0"/>
          <c:showSerName val="0"/>
          <c:showPercent val="0"/>
          <c:showBubbleSize val="0"/>
        </c:dLbls>
        <c:gapWidth val="60"/>
        <c:axId val="10"/>
        <c:axId val="100"/>
      </c:barChart>
      <c:catAx>
        <c:axId val="10"/>
        <c:scaling>
          <c:orientation val="minMax"/>
        </c:scaling>
        <c:delete val="0"/>
        <c:axPos val="b"/>
        <c:numFmt formatCode="General" sourceLinked="1"/>
        <c:majorTickMark val="none"/>
        <c:minorTickMark val="none"/>
        <c:tickLblPos val="nextTo"/>
        <c:spPr>
          <a:ln>
            <a:solidFill>
              <a:srgbClr val="9CA3AF"/>
            </a:solidFill>
            <a:prstDash val="solid"/>
          </a:ln>
        </c:spPr>
        <c:txPr>
          <a:bodyPr/>
          <a:lstStyle/>
          <a:p>
            <a:pPr>
              <a:defRPr sz="900">
                <a:solidFill>
                  <a:srgbClr val="4B5563"/>
                </a:solidFill>
                <a:latin typeface="Arial"/>
              </a:defRPr>
            </a:pPr>
            <a:endParaRPr lang="en-US"/>
          </a:p>
        </c:txPr>
        <c:crossAx val="100"/>
        <c:crosses val="autoZero"/>
        <c:auto val="1"/>
        <c:lblAlgn val="ctr"/>
        <c:lblOffset val="100"/>
        <c:noMultiLvlLbl val="1"/>
      </c:catAx>
      <c:valAx>
        <c:axId val="100"/>
        <c:scaling>
          <c:orientation val="minMax"/>
        </c:scaling>
        <c:delete val="0"/>
        <c:axPos val="l"/>
        <c:majorGridlines>
          <c:spPr>
            <a:ln>
              <a:solidFill>
                <a:srgbClr val="E5E7EB"/>
              </a:solidFill>
              <a:prstDash val="solid"/>
            </a:ln>
          </c:spPr>
        </c:majorGridlines>
        <c:title>
          <c:tx>
            <c:rich>
              <a:bodyPr/>
              <a:lstStyle/>
              <a:p>
                <a:pPr>
                  <a:defRPr sz="900" b="0">
                    <a:solidFill>
                      <a:srgbClr val="4B5563"/>
                    </a:solidFill>
                    <a:latin typeface="Arial"/>
                  </a:defRPr>
                </a:pPr>
                <a:r>
                  <a:rPr lang="en-PH" sz="900" b="0">
                    <a:solidFill>
                      <a:srgbClr val="4B5563"/>
                    </a:solidFill>
                    <a:latin typeface="Arial"/>
                  </a:rPr>
                  <a:t>GMV per hour (PHP)</a:t>
                </a:r>
              </a:p>
            </c:rich>
          </c:tx>
          <c:overlay val="0"/>
        </c:title>
        <c:numFmt formatCode="&quot;₱&quot;#,##0" sourceLinked="0"/>
        <c:majorTickMark val="none"/>
        <c:minorTickMark val="none"/>
        <c:tickLblPos val="nextTo"/>
        <c:spPr>
          <a:ln>
            <a:noFill/>
            <a:prstDash val="solid"/>
          </a:ln>
        </c:spPr>
        <c:txPr>
          <a:bodyPr/>
          <a:lstStyle/>
          <a:p>
            <a:pPr>
              <a:defRPr sz="900">
                <a:solidFill>
                  <a:srgbClr val="4B5563"/>
                </a:solidFill>
                <a:latin typeface="Arial"/>
              </a:defRPr>
            </a:pPr>
            <a:endParaRPr lang="en-US"/>
          </a:p>
        </c:tx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9</xdr:col>
      <xdr:colOff>0</xdr:colOff>
      <xdr:row>4</xdr:row>
      <xdr:rowOff>0</xdr:rowOff>
    </xdr:from>
    <xdr:ext cx="8640000" cy="342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24</xdr:row>
      <xdr:rowOff>0</xdr:rowOff>
    </xdr:from>
    <xdr:ext cx="8640000" cy="324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11</xdr:row>
      <xdr:rowOff>0</xdr:rowOff>
    </xdr:from>
    <xdr:ext cx="10944000" cy="2736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xdr:col>
      <xdr:colOff>0</xdr:colOff>
      <xdr:row>27</xdr:row>
      <xdr:rowOff>0</xdr:rowOff>
    </xdr:from>
    <xdr:ext cx="5436000" cy="2736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169334</xdr:colOff>
      <xdr:row>27</xdr:row>
      <xdr:rowOff>16933</xdr:rowOff>
    </xdr:from>
    <xdr:ext cx="5436000" cy="2736000"/>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xdr:col>
      <xdr:colOff>0</xdr:colOff>
      <xdr:row>43</xdr:row>
      <xdr:rowOff>0</xdr:rowOff>
    </xdr:from>
    <xdr:ext cx="5436000" cy="2736000"/>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7</xdr:col>
      <xdr:colOff>220133</xdr:colOff>
      <xdr:row>42</xdr:row>
      <xdr:rowOff>177799</xdr:rowOff>
    </xdr:from>
    <xdr:ext cx="5436000" cy="2736000"/>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aw" displayName="tblRaw" ref="A4:I378">
  <autoFilter ref="A4:I378" xr:uid="{00000000-0009-0000-0100-000001000000}"/>
  <tableColumns count="9">
    <tableColumn id="1" xr3:uid="{00000000-0010-0000-0000-000001000000}" name="Session ID"/>
    <tableColumn id="2" xr3:uid="{00000000-0010-0000-0000-000002000000}" name="Date"/>
    <tableColumn id="3" xr3:uid="{00000000-0010-0000-0000-000003000000}" name="Host Name"/>
    <tableColumn id="4" xr3:uid="{00000000-0010-0000-0000-000004000000}" name="Start Time"/>
    <tableColumn id="5" xr3:uid="{00000000-0010-0000-0000-000005000000}" name="End Time"/>
    <tableColumn id="6" xr3:uid="{00000000-0010-0000-0000-000006000000}" name="Attributed GMV PHP"/>
    <tableColumn id="7" xr3:uid="{00000000-0010-0000-0000-000007000000}" name="Items Sold"/>
    <tableColumn id="8" xr3:uid="{00000000-0010-0000-0000-000008000000}" name="Livestream Views"/>
    <tableColumn id="9" xr3:uid="{00000000-0010-0000-0000-000009000000}" name="New Follower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lean" displayName="tblClean" ref="A8:X382">
  <autoFilter ref="A8:X382" xr:uid="{00000000-0009-0000-0100-000002000000}"/>
  <tableColumns count="24">
    <tableColumn id="1" xr3:uid="{00000000-0010-0000-0100-000001000000}" name="Session ID"/>
    <tableColumn id="2" xr3:uid="{00000000-0010-0000-0100-000002000000}" name="Date"/>
    <tableColumn id="3" xr3:uid="{00000000-0010-0000-0100-000003000000}" name="Host Name"/>
    <tableColumn id="4" xr3:uid="{00000000-0010-0000-0100-000004000000}" name="Start Time"/>
    <tableColumn id="5" xr3:uid="{00000000-0010-0000-0100-000005000000}" name="End Time"/>
    <tableColumn id="6" xr3:uid="{00000000-0010-0000-0100-000006000000}" name="Attributed GMV PHP"/>
    <tableColumn id="7" xr3:uid="{00000000-0010-0000-0100-000007000000}" name="Items Sold"/>
    <tableColumn id="8" xr3:uid="{00000000-0010-0000-0100-000008000000}" name="Livestream Views"/>
    <tableColumn id="9" xr3:uid="{00000000-0010-0000-0100-000009000000}" name="New Followers"/>
    <tableColumn id="10" xr3:uid="{00000000-0010-0000-0100-00000A000000}" name="Duration Hours"/>
    <tableColumn id="11" xr3:uid="{00000000-0010-0000-0100-00000B000000}" name="GMV per Hour"/>
    <tableColumn id="12" xr3:uid="{00000000-0010-0000-0100-00000C000000}" name="Month"/>
    <tableColumn id="13" xr3:uid="{00000000-0010-0000-0100-00000D000000}" name="Week Start"/>
    <tableColumn id="14" xr3:uid="{00000000-0010-0000-0100-00000E000000}" name="Week Number"/>
    <tableColumn id="15" xr3:uid="{00000000-0010-0000-0100-00000F000000}" name="Day of Week"/>
    <tableColumn id="16" xr3:uid="{00000000-0010-0000-0100-000010000000}" name="Day Type"/>
    <tableColumn id="17" xr3:uid="{00000000-0010-0000-0100-000011000000}" name="Time Slot"/>
    <tableColumn id="18" xr3:uid="{00000000-0010-0000-0100-000012000000}" name="Duration Band"/>
    <tableColumn id="19" xr3:uid="{00000000-0010-0000-0100-000013000000}" name="Missing Flag"/>
    <tableColumn id="20" xr3:uid="{00000000-0010-0000-0100-000014000000}" name="Duplicate Flag"/>
    <tableColumn id="21" xr3:uid="{00000000-0010-0000-0100-000015000000}" name="Negative Flag"/>
    <tableColumn id="22" xr3:uid="{00000000-0010-0000-0100-000016000000}" name="Duration Flag"/>
    <tableColumn id="23" xr3:uid="{00000000-0010-0000-0100-000017000000}" name="Host Flag"/>
    <tableColumn id="24" xr3:uid="{00000000-0010-0000-0100-000018000000}" name="Includ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2545"/>
  </sheetPr>
  <dimension ref="A1:G73"/>
  <sheetViews>
    <sheetView showGridLines="0" workbookViewId="0">
      <selection activeCell="H11" sqref="H11"/>
    </sheetView>
  </sheetViews>
  <sheetFormatPr defaultRowHeight="14.4" x14ac:dyDescent="0.3"/>
  <cols>
    <col min="1" max="1" width="2" customWidth="1"/>
    <col min="2" max="2" width="24" customWidth="1"/>
    <col min="3" max="3" width="22" customWidth="1"/>
    <col min="4" max="4" width="16" customWidth="1"/>
    <col min="5" max="5" width="62" customWidth="1"/>
    <col min="6" max="6" width="58" customWidth="1"/>
  </cols>
  <sheetData>
    <row r="1" spans="1:7" ht="34.049999999999997" customHeight="1" x14ac:dyDescent="0.3">
      <c r="A1" s="1"/>
      <c r="B1" s="98" t="s">
        <v>0</v>
      </c>
      <c r="C1" s="98"/>
      <c r="D1" s="98"/>
      <c r="E1" s="98"/>
      <c r="F1" s="98"/>
      <c r="G1" s="98"/>
    </row>
    <row r="2" spans="1:7" x14ac:dyDescent="0.3">
      <c r="A2" s="99" t="s">
        <v>1</v>
      </c>
      <c r="B2" s="99"/>
      <c r="C2" s="99"/>
      <c r="D2" s="99"/>
      <c r="E2" s="99"/>
      <c r="F2" s="99"/>
      <c r="G2" s="99"/>
    </row>
    <row r="3" spans="1:7" x14ac:dyDescent="0.3">
      <c r="A3" s="1"/>
      <c r="B3" s="100" t="s">
        <v>2</v>
      </c>
      <c r="C3" s="100"/>
      <c r="D3" s="100"/>
      <c r="E3" s="100"/>
      <c r="F3" s="100"/>
      <c r="G3" s="100"/>
    </row>
    <row r="4" spans="1:7" x14ac:dyDescent="0.3">
      <c r="A4" s="1"/>
      <c r="B4" s="1"/>
      <c r="C4" s="1"/>
      <c r="D4" s="1"/>
      <c r="E4" s="1"/>
      <c r="F4" s="1"/>
      <c r="G4" s="1"/>
    </row>
    <row r="6" spans="1:7" ht="34.049999999999997" customHeight="1" x14ac:dyDescent="0.3">
      <c r="B6" s="76" t="s">
        <v>3</v>
      </c>
      <c r="C6" s="77"/>
      <c r="D6" s="77"/>
      <c r="E6" s="77"/>
      <c r="F6" s="77"/>
    </row>
    <row r="8" spans="1:7" x14ac:dyDescent="0.3">
      <c r="B8" s="2" t="s">
        <v>4</v>
      </c>
      <c r="C8" s="1"/>
      <c r="D8" s="1"/>
      <c r="E8" s="1"/>
      <c r="F8" s="1"/>
    </row>
    <row r="9" spans="1:7" ht="49.05" customHeight="1" x14ac:dyDescent="0.3">
      <c r="B9" s="72" t="s">
        <v>5</v>
      </c>
      <c r="C9" s="73"/>
      <c r="D9" s="73"/>
      <c r="E9" s="73"/>
      <c r="F9" s="73"/>
    </row>
    <row r="10" spans="1:7" ht="49.05" customHeight="1" x14ac:dyDescent="0.3">
      <c r="B10" s="72" t="s">
        <v>6</v>
      </c>
      <c r="C10" s="73"/>
      <c r="D10" s="73"/>
      <c r="E10" s="73"/>
      <c r="F10" s="73"/>
    </row>
    <row r="11" spans="1:7" ht="49.05" customHeight="1" x14ac:dyDescent="0.3">
      <c r="B11" s="72" t="s">
        <v>7</v>
      </c>
      <c r="C11" s="73"/>
      <c r="D11" s="73"/>
      <c r="E11" s="73"/>
      <c r="F11" s="73"/>
    </row>
    <row r="12" spans="1:7" x14ac:dyDescent="0.3">
      <c r="B12" s="2" t="s">
        <v>8</v>
      </c>
      <c r="C12" s="1"/>
      <c r="D12" s="1"/>
      <c r="E12" s="1"/>
      <c r="F12" s="1"/>
    </row>
    <row r="13" spans="1:7" ht="19.95" customHeight="1" x14ac:dyDescent="0.3">
      <c r="B13" s="3" t="s">
        <v>9</v>
      </c>
      <c r="C13" s="78" t="s">
        <v>10</v>
      </c>
      <c r="D13" s="75"/>
      <c r="E13" s="75"/>
      <c r="F13" s="75"/>
    </row>
    <row r="14" spans="1:7" ht="31.95" customHeight="1" x14ac:dyDescent="0.3">
      <c r="B14" s="3" t="s">
        <v>11</v>
      </c>
      <c r="C14" s="78" t="s">
        <v>12</v>
      </c>
      <c r="D14" s="75"/>
      <c r="E14" s="75"/>
      <c r="F14" s="75"/>
    </row>
    <row r="15" spans="1:7" ht="19.95" customHeight="1" x14ac:dyDescent="0.3">
      <c r="B15" s="3" t="s">
        <v>13</v>
      </c>
      <c r="C15" s="78" t="s">
        <v>14</v>
      </c>
      <c r="D15" s="75"/>
      <c r="E15" s="75"/>
      <c r="F15" s="75"/>
    </row>
    <row r="16" spans="1:7" ht="19.95" customHeight="1" x14ac:dyDescent="0.3">
      <c r="B16" s="3" t="s">
        <v>15</v>
      </c>
      <c r="C16" s="78" t="s">
        <v>16</v>
      </c>
      <c r="D16" s="75"/>
      <c r="E16" s="75"/>
      <c r="F16" s="75"/>
    </row>
    <row r="17" spans="2:6" ht="19.95" customHeight="1" x14ac:dyDescent="0.3">
      <c r="B17" s="3" t="s">
        <v>17</v>
      </c>
      <c r="C17" s="78" t="s">
        <v>18</v>
      </c>
      <c r="D17" s="75"/>
      <c r="E17" s="75"/>
      <c r="F17" s="75"/>
    </row>
    <row r="18" spans="2:6" ht="19.95" customHeight="1" x14ac:dyDescent="0.3">
      <c r="B18" s="3" t="s">
        <v>19</v>
      </c>
      <c r="C18" s="78" t="s">
        <v>20</v>
      </c>
      <c r="D18" s="75"/>
      <c r="E18" s="75"/>
      <c r="F18" s="75"/>
    </row>
    <row r="19" spans="2:6" ht="19.95" customHeight="1" x14ac:dyDescent="0.3">
      <c r="B19" s="3" t="s">
        <v>21</v>
      </c>
      <c r="C19" s="78" t="s">
        <v>22</v>
      </c>
      <c r="D19" s="75"/>
      <c r="E19" s="75"/>
      <c r="F19" s="75"/>
    </row>
    <row r="20" spans="2:6" ht="34.049999999999997" customHeight="1" x14ac:dyDescent="0.3">
      <c r="B20" s="72" t="s">
        <v>23</v>
      </c>
      <c r="C20" s="73"/>
      <c r="D20" s="73"/>
      <c r="E20" s="73"/>
      <c r="F20" s="73"/>
    </row>
    <row r="21" spans="2:6" x14ac:dyDescent="0.3">
      <c r="B21" s="2" t="s">
        <v>24</v>
      </c>
      <c r="C21" s="1"/>
      <c r="D21" s="1"/>
      <c r="E21" s="1"/>
      <c r="F21" s="1"/>
    </row>
    <row r="22" spans="2:6" ht="64.05" customHeight="1" x14ac:dyDescent="0.3">
      <c r="B22" s="72" t="s">
        <v>25</v>
      </c>
      <c r="C22" s="73"/>
      <c r="D22" s="73"/>
      <c r="E22" s="73"/>
      <c r="F22" s="73"/>
    </row>
    <row r="23" spans="2:6" x14ac:dyDescent="0.3">
      <c r="B23" s="2" t="s">
        <v>26</v>
      </c>
      <c r="C23" s="1"/>
      <c r="D23" s="1"/>
      <c r="E23" s="1"/>
      <c r="F23" s="1"/>
    </row>
    <row r="24" spans="2:6" ht="34.049999999999997" customHeight="1" x14ac:dyDescent="0.3">
      <c r="B24" s="4" t="s">
        <v>27</v>
      </c>
      <c r="C24" s="74" t="s">
        <v>28</v>
      </c>
      <c r="D24" s="75"/>
      <c r="E24" s="75"/>
      <c r="F24" s="75"/>
    </row>
    <row r="25" spans="2:6" ht="19.05" customHeight="1" x14ac:dyDescent="0.3">
      <c r="B25" s="4" t="s">
        <v>29</v>
      </c>
      <c r="C25" s="74" t="s">
        <v>30</v>
      </c>
      <c r="D25" s="75"/>
      <c r="E25" s="75"/>
      <c r="F25" s="75"/>
    </row>
    <row r="26" spans="2:6" ht="19.05" customHeight="1" x14ac:dyDescent="0.3">
      <c r="B26" s="4" t="s">
        <v>31</v>
      </c>
      <c r="C26" s="74" t="s">
        <v>32</v>
      </c>
      <c r="D26" s="75"/>
      <c r="E26" s="75"/>
      <c r="F26" s="75"/>
    </row>
    <row r="27" spans="2:6" ht="34.049999999999997" customHeight="1" x14ac:dyDescent="0.3">
      <c r="B27" s="4" t="s">
        <v>33</v>
      </c>
      <c r="C27" s="74" t="s">
        <v>34</v>
      </c>
      <c r="D27" s="75"/>
      <c r="E27" s="75"/>
      <c r="F27" s="75"/>
    </row>
    <row r="28" spans="2:6" ht="19.05" customHeight="1" x14ac:dyDescent="0.3">
      <c r="B28" s="4" t="s">
        <v>35</v>
      </c>
      <c r="C28" s="74" t="s">
        <v>36</v>
      </c>
      <c r="D28" s="75"/>
      <c r="E28" s="75"/>
      <c r="F28" s="75"/>
    </row>
    <row r="29" spans="2:6" ht="19.05" customHeight="1" x14ac:dyDescent="0.3">
      <c r="B29" s="4" t="s">
        <v>37</v>
      </c>
      <c r="C29" s="74" t="s">
        <v>38</v>
      </c>
      <c r="D29" s="75"/>
      <c r="E29" s="75"/>
      <c r="F29" s="75"/>
    </row>
    <row r="30" spans="2:6" ht="19.05" customHeight="1" x14ac:dyDescent="0.3">
      <c r="B30" s="4" t="s">
        <v>39</v>
      </c>
      <c r="C30" s="74" t="s">
        <v>40</v>
      </c>
      <c r="D30" s="75"/>
      <c r="E30" s="75"/>
      <c r="F30" s="75"/>
    </row>
    <row r="31" spans="2:6" ht="19.05" customHeight="1" x14ac:dyDescent="0.3">
      <c r="B31" s="4" t="s">
        <v>41</v>
      </c>
      <c r="C31" s="74" t="s">
        <v>42</v>
      </c>
      <c r="D31" s="75"/>
      <c r="E31" s="75"/>
      <c r="F31" s="75"/>
    </row>
    <row r="32" spans="2:6" ht="19.05" customHeight="1" x14ac:dyDescent="0.3">
      <c r="B32" s="4" t="s">
        <v>43</v>
      </c>
      <c r="C32" s="74" t="s">
        <v>44</v>
      </c>
      <c r="D32" s="75"/>
      <c r="E32" s="75"/>
      <c r="F32" s="75"/>
    </row>
    <row r="33" spans="2:6" ht="19.05" customHeight="1" x14ac:dyDescent="0.3">
      <c r="B33" s="4" t="s">
        <v>45</v>
      </c>
      <c r="C33" s="74" t="s">
        <v>46</v>
      </c>
      <c r="D33" s="75"/>
      <c r="E33" s="75"/>
      <c r="F33" s="75"/>
    </row>
    <row r="34" spans="2:6" ht="34.049999999999997" customHeight="1" x14ac:dyDescent="0.3">
      <c r="B34" s="4" t="s">
        <v>17</v>
      </c>
      <c r="C34" s="74" t="s">
        <v>47</v>
      </c>
      <c r="D34" s="75"/>
      <c r="E34" s="75"/>
      <c r="F34" s="75"/>
    </row>
    <row r="35" spans="2:6" ht="19.05" customHeight="1" x14ac:dyDescent="0.3">
      <c r="B35" s="4" t="s">
        <v>48</v>
      </c>
      <c r="C35" s="74" t="s">
        <v>49</v>
      </c>
      <c r="D35" s="75"/>
      <c r="E35" s="75"/>
      <c r="F35" s="75"/>
    </row>
    <row r="36" spans="2:6" x14ac:dyDescent="0.3">
      <c r="B36" s="2" t="s">
        <v>50</v>
      </c>
      <c r="C36" s="1"/>
      <c r="D36" s="1"/>
      <c r="E36" s="1"/>
      <c r="F36" s="1"/>
    </row>
    <row r="37" spans="2:6" ht="19.05" customHeight="1" x14ac:dyDescent="0.3">
      <c r="B37" s="72" t="s">
        <v>51</v>
      </c>
      <c r="C37" s="73"/>
      <c r="D37" s="73"/>
      <c r="E37" s="73"/>
      <c r="F37" s="73"/>
    </row>
    <row r="38" spans="2:6" ht="19.05" customHeight="1" x14ac:dyDescent="0.3">
      <c r="B38" s="72" t="s">
        <v>52</v>
      </c>
      <c r="C38" s="73"/>
      <c r="D38" s="73"/>
      <c r="E38" s="73"/>
      <c r="F38" s="73"/>
    </row>
    <row r="39" spans="2:6" ht="34.049999999999997" customHeight="1" x14ac:dyDescent="0.3">
      <c r="B39" s="72" t="s">
        <v>53</v>
      </c>
      <c r="C39" s="73"/>
      <c r="D39" s="73"/>
      <c r="E39" s="73"/>
      <c r="F39" s="73"/>
    </row>
    <row r="40" spans="2:6" ht="34.049999999999997" customHeight="1" x14ac:dyDescent="0.3">
      <c r="B40" s="72" t="s">
        <v>54</v>
      </c>
      <c r="C40" s="73"/>
      <c r="D40" s="73"/>
      <c r="E40" s="73"/>
      <c r="F40" s="73"/>
    </row>
    <row r="41" spans="2:6" ht="49.05" customHeight="1" x14ac:dyDescent="0.3">
      <c r="B41" s="72" t="s">
        <v>55</v>
      </c>
      <c r="C41" s="73"/>
      <c r="D41" s="73"/>
      <c r="E41" s="73"/>
      <c r="F41" s="73"/>
    </row>
    <row r="42" spans="2:6" x14ac:dyDescent="0.3">
      <c r="B42" s="2" t="s">
        <v>56</v>
      </c>
      <c r="C42" s="1"/>
      <c r="D42" s="1"/>
      <c r="E42" s="1"/>
      <c r="F42" s="1"/>
    </row>
    <row r="43" spans="2:6" x14ac:dyDescent="0.3">
      <c r="B43" s="5" t="s">
        <v>57</v>
      </c>
      <c r="C43" s="5" t="s">
        <v>58</v>
      </c>
      <c r="D43" s="5" t="s">
        <v>59</v>
      </c>
      <c r="E43" s="5" t="s">
        <v>60</v>
      </c>
      <c r="F43" s="5" t="s">
        <v>61</v>
      </c>
    </row>
    <row r="44" spans="2:6" ht="18" customHeight="1" x14ac:dyDescent="0.3">
      <c r="B44" s="6" t="s">
        <v>9</v>
      </c>
      <c r="C44" s="6" t="s">
        <v>62</v>
      </c>
      <c r="D44" s="6" t="s">
        <v>63</v>
      </c>
      <c r="E44" s="6" t="s">
        <v>64</v>
      </c>
      <c r="F44" s="6" t="s">
        <v>65</v>
      </c>
    </row>
    <row r="45" spans="2:6" ht="18" customHeight="1" x14ac:dyDescent="0.3">
      <c r="B45" s="6" t="s">
        <v>9</v>
      </c>
      <c r="C45" s="6" t="s">
        <v>66</v>
      </c>
      <c r="D45" s="6" t="s">
        <v>66</v>
      </c>
      <c r="E45" s="6" t="s">
        <v>67</v>
      </c>
      <c r="F45" s="6" t="s">
        <v>65</v>
      </c>
    </row>
    <row r="46" spans="2:6" ht="18" customHeight="1" x14ac:dyDescent="0.3">
      <c r="B46" s="6" t="s">
        <v>9</v>
      </c>
      <c r="C46" s="6" t="s">
        <v>68</v>
      </c>
      <c r="D46" s="6" t="s">
        <v>63</v>
      </c>
      <c r="E46" s="6" t="s">
        <v>69</v>
      </c>
      <c r="F46" s="6" t="s">
        <v>70</v>
      </c>
    </row>
    <row r="47" spans="2:6" ht="18" customHeight="1" x14ac:dyDescent="0.3">
      <c r="B47" s="6" t="s">
        <v>9</v>
      </c>
      <c r="C47" s="6" t="s">
        <v>71</v>
      </c>
      <c r="D47" s="6" t="s">
        <v>72</v>
      </c>
      <c r="E47" s="6" t="s">
        <v>73</v>
      </c>
      <c r="F47" s="6" t="s">
        <v>65</v>
      </c>
    </row>
    <row r="48" spans="2:6" ht="18" customHeight="1" x14ac:dyDescent="0.3">
      <c r="B48" s="6" t="s">
        <v>9</v>
      </c>
      <c r="C48" s="6" t="s">
        <v>74</v>
      </c>
      <c r="D48" s="6" t="s">
        <v>72</v>
      </c>
      <c r="E48" s="6" t="s">
        <v>75</v>
      </c>
      <c r="F48" s="6" t="s">
        <v>65</v>
      </c>
    </row>
    <row r="49" spans="2:6" ht="18" customHeight="1" x14ac:dyDescent="0.3">
      <c r="B49" s="6" t="s">
        <v>9</v>
      </c>
      <c r="C49" s="6" t="s">
        <v>76</v>
      </c>
      <c r="D49" s="6" t="s">
        <v>77</v>
      </c>
      <c r="E49" s="6" t="s">
        <v>78</v>
      </c>
      <c r="F49" s="6" t="s">
        <v>79</v>
      </c>
    </row>
    <row r="50" spans="2:6" ht="18" customHeight="1" x14ac:dyDescent="0.3">
      <c r="B50" s="6" t="s">
        <v>9</v>
      </c>
      <c r="C50" s="6" t="s">
        <v>29</v>
      </c>
      <c r="D50" s="6" t="s">
        <v>80</v>
      </c>
      <c r="E50" s="6" t="s">
        <v>81</v>
      </c>
      <c r="F50" s="6" t="s">
        <v>79</v>
      </c>
    </row>
    <row r="51" spans="2:6" ht="18" customHeight="1" x14ac:dyDescent="0.3">
      <c r="B51" s="6" t="s">
        <v>9</v>
      </c>
      <c r="C51" s="6" t="s">
        <v>82</v>
      </c>
      <c r="D51" s="6" t="s">
        <v>80</v>
      </c>
      <c r="E51" s="6" t="s">
        <v>83</v>
      </c>
      <c r="F51" s="6" t="s">
        <v>79</v>
      </c>
    </row>
    <row r="52" spans="2:6" ht="18" customHeight="1" x14ac:dyDescent="0.3">
      <c r="B52" s="6" t="s">
        <v>9</v>
      </c>
      <c r="C52" s="6" t="s">
        <v>84</v>
      </c>
      <c r="D52" s="6" t="s">
        <v>80</v>
      </c>
      <c r="E52" s="6" t="s">
        <v>85</v>
      </c>
      <c r="F52" s="6" t="s">
        <v>79</v>
      </c>
    </row>
    <row r="53" spans="2:6" ht="33" customHeight="1" x14ac:dyDescent="0.3">
      <c r="B53" s="6" t="s">
        <v>11</v>
      </c>
      <c r="C53" s="6" t="s">
        <v>86</v>
      </c>
      <c r="D53" s="6" t="s">
        <v>87</v>
      </c>
      <c r="E53" s="6" t="s">
        <v>88</v>
      </c>
      <c r="F53" s="6" t="s">
        <v>89</v>
      </c>
    </row>
    <row r="54" spans="2:6" ht="18" customHeight="1" x14ac:dyDescent="0.3">
      <c r="B54" s="6" t="s">
        <v>11</v>
      </c>
      <c r="C54" s="6" t="s">
        <v>90</v>
      </c>
      <c r="D54" s="6" t="s">
        <v>91</v>
      </c>
      <c r="E54" s="6" t="s">
        <v>92</v>
      </c>
      <c r="F54" s="6" t="s">
        <v>93</v>
      </c>
    </row>
    <row r="55" spans="2:6" ht="18" customHeight="1" x14ac:dyDescent="0.3">
      <c r="B55" s="6" t="s">
        <v>11</v>
      </c>
      <c r="C55" s="6" t="s">
        <v>33</v>
      </c>
      <c r="D55" s="6" t="s">
        <v>77</v>
      </c>
      <c r="E55" s="6" t="s">
        <v>94</v>
      </c>
      <c r="F55" s="6" t="s">
        <v>95</v>
      </c>
    </row>
    <row r="56" spans="2:6" ht="18" customHeight="1" x14ac:dyDescent="0.3">
      <c r="B56" s="6" t="s">
        <v>11</v>
      </c>
      <c r="C56" s="6" t="s">
        <v>96</v>
      </c>
      <c r="D56" s="6" t="s">
        <v>66</v>
      </c>
      <c r="E56" s="6" t="s">
        <v>97</v>
      </c>
      <c r="F56" s="6" t="s">
        <v>98</v>
      </c>
    </row>
    <row r="57" spans="2:6" ht="18" customHeight="1" x14ac:dyDescent="0.3">
      <c r="B57" s="6" t="s">
        <v>11</v>
      </c>
      <c r="C57" s="6" t="s">
        <v>99</v>
      </c>
      <c r="D57" s="6" t="s">
        <v>66</v>
      </c>
      <c r="E57" s="6" t="s">
        <v>100</v>
      </c>
      <c r="F57" s="6" t="s">
        <v>101</v>
      </c>
    </row>
    <row r="58" spans="2:6" ht="18" customHeight="1" x14ac:dyDescent="0.3">
      <c r="B58" s="6" t="s">
        <v>11</v>
      </c>
      <c r="C58" s="6" t="s">
        <v>102</v>
      </c>
      <c r="D58" s="6" t="s">
        <v>80</v>
      </c>
      <c r="E58" s="6" t="s">
        <v>103</v>
      </c>
      <c r="F58" s="6" t="s">
        <v>104</v>
      </c>
    </row>
    <row r="59" spans="2:6" ht="18" customHeight="1" x14ac:dyDescent="0.3">
      <c r="B59" s="6" t="s">
        <v>11</v>
      </c>
      <c r="C59" s="6" t="s">
        <v>105</v>
      </c>
      <c r="D59" s="6" t="s">
        <v>63</v>
      </c>
      <c r="E59" s="6" t="s">
        <v>106</v>
      </c>
      <c r="F59" s="6" t="s">
        <v>107</v>
      </c>
    </row>
    <row r="60" spans="2:6" ht="18" customHeight="1" x14ac:dyDescent="0.3">
      <c r="B60" s="6" t="s">
        <v>11</v>
      </c>
      <c r="C60" s="6" t="s">
        <v>108</v>
      </c>
      <c r="D60" s="6" t="s">
        <v>63</v>
      </c>
      <c r="E60" s="6" t="s">
        <v>109</v>
      </c>
      <c r="F60" s="6" t="s">
        <v>110</v>
      </c>
    </row>
    <row r="61" spans="2:6" ht="18" customHeight="1" x14ac:dyDescent="0.3">
      <c r="B61" s="6" t="s">
        <v>11</v>
      </c>
      <c r="C61" s="6" t="s">
        <v>48</v>
      </c>
      <c r="D61" s="6" t="s">
        <v>63</v>
      </c>
      <c r="E61" s="6" t="s">
        <v>111</v>
      </c>
      <c r="F61" s="6" t="s">
        <v>112</v>
      </c>
    </row>
    <row r="62" spans="2:6" ht="18" customHeight="1" x14ac:dyDescent="0.3">
      <c r="B62" s="6" t="s">
        <v>11</v>
      </c>
      <c r="C62" s="6" t="s">
        <v>113</v>
      </c>
      <c r="D62" s="6" t="s">
        <v>63</v>
      </c>
      <c r="E62" s="6" t="s">
        <v>114</v>
      </c>
      <c r="F62" s="6" t="s">
        <v>115</v>
      </c>
    </row>
    <row r="63" spans="2:6" ht="18" customHeight="1" x14ac:dyDescent="0.3">
      <c r="B63" s="6" t="s">
        <v>11</v>
      </c>
      <c r="C63" s="6" t="s">
        <v>116</v>
      </c>
      <c r="D63" s="6" t="s">
        <v>117</v>
      </c>
      <c r="E63" s="6" t="s">
        <v>118</v>
      </c>
      <c r="F63" s="6" t="s">
        <v>119</v>
      </c>
    </row>
    <row r="64" spans="2:6" ht="18" customHeight="1" x14ac:dyDescent="0.3">
      <c r="B64" s="6" t="s">
        <v>11</v>
      </c>
      <c r="C64" s="6" t="s">
        <v>120</v>
      </c>
      <c r="D64" s="6" t="s">
        <v>117</v>
      </c>
      <c r="E64" s="6" t="s">
        <v>121</v>
      </c>
      <c r="F64" s="6" t="s">
        <v>122</v>
      </c>
    </row>
    <row r="65" spans="2:6" ht="18" customHeight="1" x14ac:dyDescent="0.3">
      <c r="B65" s="6" t="s">
        <v>11</v>
      </c>
      <c r="C65" s="6" t="s">
        <v>123</v>
      </c>
      <c r="D65" s="6" t="s">
        <v>117</v>
      </c>
      <c r="E65" s="6" t="s">
        <v>124</v>
      </c>
      <c r="F65" s="6" t="s">
        <v>125</v>
      </c>
    </row>
    <row r="66" spans="2:6" ht="18" customHeight="1" x14ac:dyDescent="0.3">
      <c r="B66" s="6" t="s">
        <v>11</v>
      </c>
      <c r="C66" s="6" t="s">
        <v>126</v>
      </c>
      <c r="D66" s="6" t="s">
        <v>117</v>
      </c>
      <c r="E66" s="6" t="s">
        <v>127</v>
      </c>
      <c r="F66" s="6" t="s">
        <v>128</v>
      </c>
    </row>
    <row r="67" spans="2:6" ht="18" customHeight="1" x14ac:dyDescent="0.3">
      <c r="B67" s="6" t="s">
        <v>11</v>
      </c>
      <c r="C67" s="6" t="s">
        <v>129</v>
      </c>
      <c r="D67" s="6" t="s">
        <v>117</v>
      </c>
      <c r="E67" s="6" t="s">
        <v>130</v>
      </c>
      <c r="F67" s="6" t="s">
        <v>131</v>
      </c>
    </row>
    <row r="68" spans="2:6" ht="18" customHeight="1" x14ac:dyDescent="0.3">
      <c r="B68" s="6" t="s">
        <v>11</v>
      </c>
      <c r="C68" s="6" t="s">
        <v>132</v>
      </c>
      <c r="D68" s="6" t="s">
        <v>117</v>
      </c>
      <c r="E68" s="6" t="s">
        <v>133</v>
      </c>
      <c r="F68" s="6" t="s">
        <v>134</v>
      </c>
    </row>
    <row r="69" spans="2:6" ht="18" customHeight="1" x14ac:dyDescent="0.3">
      <c r="B69" s="6" t="s">
        <v>13</v>
      </c>
      <c r="C69" s="6" t="s">
        <v>135</v>
      </c>
      <c r="D69" s="6" t="s">
        <v>136</v>
      </c>
      <c r="E69" s="6" t="s">
        <v>137</v>
      </c>
      <c r="F69" s="6" t="s">
        <v>138</v>
      </c>
    </row>
    <row r="70" spans="2:6" ht="18" customHeight="1" x14ac:dyDescent="0.3">
      <c r="B70" s="6" t="s">
        <v>15</v>
      </c>
      <c r="C70" s="6" t="s">
        <v>135</v>
      </c>
      <c r="D70" s="6" t="s">
        <v>136</v>
      </c>
      <c r="E70" s="6" t="s">
        <v>139</v>
      </c>
      <c r="F70" s="6" t="s">
        <v>140</v>
      </c>
    </row>
    <row r="71" spans="2:6" ht="18" customHeight="1" x14ac:dyDescent="0.3">
      <c r="B71" s="6" t="s">
        <v>17</v>
      </c>
      <c r="C71" s="6" t="s">
        <v>135</v>
      </c>
      <c r="D71" s="6" t="s">
        <v>136</v>
      </c>
      <c r="E71" s="6" t="s">
        <v>141</v>
      </c>
      <c r="F71" s="6" t="s">
        <v>142</v>
      </c>
    </row>
    <row r="73" spans="2:6" ht="18" customHeight="1" x14ac:dyDescent="0.3">
      <c r="B73" s="72" t="s">
        <v>143</v>
      </c>
      <c r="C73" s="73"/>
      <c r="D73" s="73"/>
      <c r="E73" s="73"/>
      <c r="F73" s="73"/>
    </row>
  </sheetData>
  <mergeCells count="34">
    <mergeCell ref="B1:G1"/>
    <mergeCell ref="A2:G2"/>
    <mergeCell ref="B3:G3"/>
    <mergeCell ref="C33:F33"/>
    <mergeCell ref="C24:F24"/>
    <mergeCell ref="C14:F14"/>
    <mergeCell ref="C17:F17"/>
    <mergeCell ref="B22:F22"/>
    <mergeCell ref="C32:F32"/>
    <mergeCell ref="C19:F19"/>
    <mergeCell ref="C28:F28"/>
    <mergeCell ref="B73:F73"/>
    <mergeCell ref="B38:F38"/>
    <mergeCell ref="C35:F35"/>
    <mergeCell ref="B10:F10"/>
    <mergeCell ref="C26:F26"/>
    <mergeCell ref="C29:F29"/>
    <mergeCell ref="B37:F37"/>
    <mergeCell ref="C16:F16"/>
    <mergeCell ref="C25:F25"/>
    <mergeCell ref="B40:F40"/>
    <mergeCell ref="B41:F41"/>
    <mergeCell ref="C13:F13"/>
    <mergeCell ref="C18:F18"/>
    <mergeCell ref="B39:F39"/>
    <mergeCell ref="B11:F11"/>
    <mergeCell ref="C34:F34"/>
    <mergeCell ref="B9:F9"/>
    <mergeCell ref="C31:F31"/>
    <mergeCell ref="B6:F6"/>
    <mergeCell ref="B20:F20"/>
    <mergeCell ref="C27:F27"/>
    <mergeCell ref="C30:F30"/>
    <mergeCell ref="C15:F15"/>
  </mergeCells>
  <hyperlinks>
    <hyperlink ref="B13" location="'Raw Data'!A1" display="Raw Data" xr:uid="{00000000-0004-0000-0000-000000000000}"/>
    <hyperlink ref="B14" location="'Cleaned Data'!A1" display="Cleaned Data" xr:uid="{00000000-0004-0000-0000-000001000000}"/>
    <hyperlink ref="B15" location="'Daily Sales'!A1" display="Daily Sales" xr:uid="{00000000-0004-0000-0000-000002000000}"/>
    <hyperlink ref="B16" location="'Weekly Summary'!A1" display="Weekly Summary" xr:uid="{00000000-0004-0000-0000-000003000000}"/>
    <hyperlink ref="B17" location="'Host Performance'!A1" display="Host Performance" xr:uid="{00000000-0004-0000-0000-000004000000}"/>
    <hyperlink ref="B18" location="'Dashboard'!A1" display="Dashboard" xr:uid="{00000000-0004-0000-0000-000005000000}"/>
    <hyperlink ref="B19" location="'Insights'!A1" display="Insights" xr:uid="{00000000-0004-0000-0000-00000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DA9C4"/>
  </sheetPr>
  <dimension ref="A1:I378"/>
  <sheetViews>
    <sheetView showGridLines="0" workbookViewId="0">
      <pane ySplit="4" topLeftCell="A5" activePane="bottomLeft" state="frozen"/>
      <selection pane="bottomLeft" activeCell="M13" sqref="M13:N13"/>
    </sheetView>
  </sheetViews>
  <sheetFormatPr defaultRowHeight="14.4" x14ac:dyDescent="0.3"/>
  <cols>
    <col min="1" max="1" width="13" customWidth="1"/>
    <col min="2" max="2" width="14" customWidth="1"/>
    <col min="3" max="3" width="20" customWidth="1"/>
    <col min="4" max="5" width="13" customWidth="1"/>
    <col min="6" max="6" width="20" customWidth="1"/>
    <col min="7" max="7" width="12" customWidth="1"/>
    <col min="8" max="8" width="18" customWidth="1"/>
    <col min="9" max="9" width="15" customWidth="1"/>
  </cols>
  <sheetData>
    <row r="1" spans="1:9" ht="28.05" customHeight="1" x14ac:dyDescent="0.3">
      <c r="A1" s="101" t="s">
        <v>144</v>
      </c>
      <c r="B1" s="101"/>
      <c r="C1" s="101"/>
      <c r="D1" s="101"/>
      <c r="E1" s="101"/>
      <c r="F1" s="101"/>
      <c r="G1" s="101"/>
      <c r="H1" s="101"/>
      <c r="I1" s="101"/>
    </row>
    <row r="2" spans="1:9" ht="18" customHeight="1" x14ac:dyDescent="0.3">
      <c r="A2" s="102" t="s">
        <v>145</v>
      </c>
      <c r="B2" s="102"/>
      <c r="C2" s="102"/>
      <c r="D2" s="102"/>
      <c r="E2" s="102"/>
      <c r="F2" s="102"/>
      <c r="G2" s="102"/>
      <c r="H2" s="102"/>
      <c r="I2" s="102"/>
    </row>
    <row r="4" spans="1:9" ht="31.95" customHeight="1" x14ac:dyDescent="0.3">
      <c r="A4" s="5" t="s">
        <v>62</v>
      </c>
      <c r="B4" s="5" t="s">
        <v>66</v>
      </c>
      <c r="C4" s="5" t="s">
        <v>68</v>
      </c>
      <c r="D4" s="5" t="s">
        <v>71</v>
      </c>
      <c r="E4" s="5" t="s">
        <v>74</v>
      </c>
      <c r="F4" s="5" t="s">
        <v>76</v>
      </c>
      <c r="G4" s="5" t="s">
        <v>29</v>
      </c>
      <c r="H4" s="5" t="s">
        <v>82</v>
      </c>
      <c r="I4" s="5" t="s">
        <v>84</v>
      </c>
    </row>
    <row r="5" spans="1:9" x14ac:dyDescent="0.3">
      <c r="A5" s="9" t="s">
        <v>146</v>
      </c>
      <c r="B5" s="10">
        <v>45810</v>
      </c>
      <c r="C5" s="9" t="s">
        <v>147</v>
      </c>
      <c r="D5" s="11">
        <v>0.54166666666666663</v>
      </c>
      <c r="E5" s="11">
        <v>0.625</v>
      </c>
      <c r="F5" s="12">
        <v>32102</v>
      </c>
      <c r="G5" s="13">
        <v>85</v>
      </c>
      <c r="H5" s="13">
        <v>125767</v>
      </c>
      <c r="I5" s="13">
        <v>748</v>
      </c>
    </row>
    <row r="6" spans="1:9" x14ac:dyDescent="0.3">
      <c r="A6" s="9" t="s">
        <v>148</v>
      </c>
      <c r="B6" s="10">
        <v>45810</v>
      </c>
      <c r="C6" s="9" t="s">
        <v>149</v>
      </c>
      <c r="D6" s="11">
        <v>0.66666666666666663</v>
      </c>
      <c r="E6" s="11">
        <v>0.79166666666666663</v>
      </c>
      <c r="F6" s="12">
        <v>14260</v>
      </c>
      <c r="G6" s="13">
        <v>44</v>
      </c>
      <c r="H6" s="13">
        <v>53670</v>
      </c>
      <c r="I6" s="13">
        <v>396</v>
      </c>
    </row>
    <row r="7" spans="1:9" x14ac:dyDescent="0.3">
      <c r="A7" s="9" t="s">
        <v>150</v>
      </c>
      <c r="B7" s="10">
        <v>45810</v>
      </c>
      <c r="C7" s="9" t="s">
        <v>151</v>
      </c>
      <c r="D7" s="11">
        <v>0.79166666666666663</v>
      </c>
      <c r="E7" s="11">
        <v>0.89583333333333337</v>
      </c>
      <c r="F7" s="12">
        <v>39064</v>
      </c>
      <c r="G7" s="13">
        <v>105</v>
      </c>
      <c r="H7" s="13">
        <v>121105</v>
      </c>
      <c r="I7" s="13">
        <v>1392</v>
      </c>
    </row>
    <row r="8" spans="1:9" x14ac:dyDescent="0.3">
      <c r="A8" s="9" t="s">
        <v>152</v>
      </c>
      <c r="B8" s="10">
        <v>45811</v>
      </c>
      <c r="C8" s="9" t="s">
        <v>147</v>
      </c>
      <c r="D8" s="11">
        <v>0.41666666666666669</v>
      </c>
      <c r="E8" s="11">
        <v>0.5</v>
      </c>
      <c r="F8" s="12">
        <v>11178</v>
      </c>
      <c r="G8" s="13">
        <v>27</v>
      </c>
      <c r="H8" s="13">
        <v>44877</v>
      </c>
      <c r="I8" s="13">
        <v>381</v>
      </c>
    </row>
    <row r="9" spans="1:9" x14ac:dyDescent="0.3">
      <c r="A9" s="9" t="s">
        <v>153</v>
      </c>
      <c r="B9" s="10">
        <v>45811</v>
      </c>
      <c r="C9" s="9" t="s">
        <v>149</v>
      </c>
      <c r="D9" s="11">
        <v>0.54166666666666663</v>
      </c>
      <c r="E9" s="11">
        <v>0.64583333333333337</v>
      </c>
      <c r="F9" s="12">
        <v>19147</v>
      </c>
      <c r="G9" s="13">
        <v>56</v>
      </c>
      <c r="H9" s="13">
        <v>64713</v>
      </c>
      <c r="I9" s="13">
        <v>629</v>
      </c>
    </row>
    <row r="10" spans="1:9" x14ac:dyDescent="0.3">
      <c r="A10" s="9" t="s">
        <v>154</v>
      </c>
      <c r="B10" s="10">
        <v>45811</v>
      </c>
      <c r="C10" s="9" t="s">
        <v>147</v>
      </c>
      <c r="D10" s="11">
        <v>0.66666666666666663</v>
      </c>
      <c r="E10" s="11">
        <v>0.77083333333333337</v>
      </c>
      <c r="F10" s="12">
        <v>24963</v>
      </c>
      <c r="G10" s="13">
        <v>78</v>
      </c>
      <c r="H10" s="13">
        <v>77927</v>
      </c>
      <c r="I10" s="13">
        <v>344</v>
      </c>
    </row>
    <row r="11" spans="1:9" x14ac:dyDescent="0.3">
      <c r="A11" s="9" t="s">
        <v>155</v>
      </c>
      <c r="B11" s="10">
        <v>45811</v>
      </c>
      <c r="C11" s="9" t="s">
        <v>151</v>
      </c>
      <c r="D11" s="11">
        <v>0.79166666666666663</v>
      </c>
      <c r="E11" s="11">
        <v>0.89583333333333337</v>
      </c>
      <c r="F11" s="12">
        <v>82257</v>
      </c>
      <c r="G11" s="13">
        <v>243</v>
      </c>
      <c r="H11" s="13">
        <v>216966</v>
      </c>
      <c r="I11" s="13">
        <v>1728</v>
      </c>
    </row>
    <row r="12" spans="1:9" x14ac:dyDescent="0.3">
      <c r="A12" s="9" t="s">
        <v>156</v>
      </c>
      <c r="B12" s="10">
        <v>45811</v>
      </c>
      <c r="C12" s="9" t="s">
        <v>151</v>
      </c>
      <c r="D12" s="11">
        <v>0.91666666666666663</v>
      </c>
      <c r="E12" s="11">
        <v>2.0833333333333329E-2</v>
      </c>
      <c r="F12" s="12">
        <v>39674</v>
      </c>
      <c r="G12" s="13">
        <v>119</v>
      </c>
      <c r="H12" s="13">
        <v>102019</v>
      </c>
      <c r="I12" s="13">
        <v>825</v>
      </c>
    </row>
    <row r="13" spans="1:9" x14ac:dyDescent="0.3">
      <c r="A13" s="9" t="s">
        <v>157</v>
      </c>
      <c r="B13" s="10">
        <v>45812</v>
      </c>
      <c r="C13" s="9" t="s">
        <v>147</v>
      </c>
      <c r="D13" s="11">
        <v>0.66666666666666663</v>
      </c>
      <c r="E13" s="11">
        <v>0.79166666666666663</v>
      </c>
      <c r="F13" s="12">
        <v>25112</v>
      </c>
      <c r="G13" s="13">
        <v>73</v>
      </c>
      <c r="H13" s="13">
        <v>77728</v>
      </c>
      <c r="I13" s="13">
        <v>552</v>
      </c>
    </row>
    <row r="14" spans="1:9" x14ac:dyDescent="0.3">
      <c r="A14" s="9" t="s">
        <v>158</v>
      </c>
      <c r="B14" s="10">
        <v>45812</v>
      </c>
      <c r="C14" s="9" t="s">
        <v>149</v>
      </c>
      <c r="D14" s="11">
        <v>0.79166666666666663</v>
      </c>
      <c r="E14" s="11">
        <v>0.89583333333333337</v>
      </c>
      <c r="F14" s="12">
        <v>8207</v>
      </c>
      <c r="G14" s="13">
        <v>22</v>
      </c>
      <c r="H14" s="13">
        <v>27621</v>
      </c>
      <c r="I14" s="13">
        <v>298</v>
      </c>
    </row>
    <row r="15" spans="1:9" x14ac:dyDescent="0.3">
      <c r="A15" s="9" t="s">
        <v>159</v>
      </c>
      <c r="B15" s="10">
        <v>45812</v>
      </c>
      <c r="C15" s="9" t="s">
        <v>160</v>
      </c>
      <c r="D15" s="11">
        <v>0.91666666666666663</v>
      </c>
      <c r="E15" s="11">
        <v>4.1666666666666657E-2</v>
      </c>
      <c r="F15" s="12">
        <v>26243</v>
      </c>
      <c r="G15" s="13">
        <v>77</v>
      </c>
      <c r="H15" s="13">
        <v>58338</v>
      </c>
      <c r="I15" s="13">
        <v>332</v>
      </c>
    </row>
    <row r="16" spans="1:9" x14ac:dyDescent="0.3">
      <c r="A16" s="9" t="s">
        <v>161</v>
      </c>
      <c r="B16" s="10">
        <v>45813</v>
      </c>
      <c r="C16" s="9" t="s">
        <v>149</v>
      </c>
      <c r="D16" s="11">
        <v>0.54166666666666663</v>
      </c>
      <c r="E16" s="11">
        <v>0.625</v>
      </c>
      <c r="F16" s="12">
        <v>6069</v>
      </c>
      <c r="G16" s="13">
        <v>17</v>
      </c>
      <c r="H16" s="13">
        <v>20285</v>
      </c>
      <c r="I16" s="13">
        <v>262</v>
      </c>
    </row>
    <row r="17" spans="1:9" x14ac:dyDescent="0.3">
      <c r="A17" s="9" t="s">
        <v>162</v>
      </c>
      <c r="B17" s="10">
        <v>45813</v>
      </c>
      <c r="C17" s="9" t="s">
        <v>149</v>
      </c>
      <c r="D17" s="11">
        <v>0.66666666666666663</v>
      </c>
      <c r="E17" s="11">
        <v>0.79166666666666663</v>
      </c>
      <c r="F17" s="12">
        <v>17365</v>
      </c>
      <c r="G17" s="13">
        <v>53</v>
      </c>
      <c r="H17" s="13">
        <v>61653</v>
      </c>
      <c r="I17" s="13">
        <v>627</v>
      </c>
    </row>
    <row r="18" spans="1:9" x14ac:dyDescent="0.3">
      <c r="A18" s="9" t="s">
        <v>163</v>
      </c>
      <c r="B18" s="10">
        <v>45813</v>
      </c>
      <c r="C18" s="9" t="s">
        <v>151</v>
      </c>
      <c r="D18" s="11">
        <v>0.79166666666666663</v>
      </c>
      <c r="E18" s="11">
        <v>0.85416666666666663</v>
      </c>
      <c r="F18" s="12">
        <v>34472</v>
      </c>
      <c r="G18" s="13">
        <v>86</v>
      </c>
      <c r="H18" s="13">
        <v>190124</v>
      </c>
      <c r="I18" s="13">
        <v>1319</v>
      </c>
    </row>
    <row r="19" spans="1:9" x14ac:dyDescent="0.3">
      <c r="A19" s="9" t="s">
        <v>164</v>
      </c>
      <c r="B19" s="10">
        <v>45813</v>
      </c>
      <c r="C19" s="9" t="s">
        <v>149</v>
      </c>
      <c r="D19" s="11">
        <v>0.91666666666666663</v>
      </c>
      <c r="E19" s="11">
        <v>2.0833333333333329E-2</v>
      </c>
      <c r="F19" s="12">
        <v>26259</v>
      </c>
      <c r="G19" s="13">
        <v>72</v>
      </c>
      <c r="H19" s="13">
        <v>72608</v>
      </c>
      <c r="I19" s="13">
        <v>892</v>
      </c>
    </row>
    <row r="20" spans="1:9" x14ac:dyDescent="0.3">
      <c r="A20" s="9" t="s">
        <v>165</v>
      </c>
      <c r="B20" s="10">
        <v>45814</v>
      </c>
      <c r="C20" s="9" t="s">
        <v>149</v>
      </c>
      <c r="D20" s="11">
        <v>0.41666666666666669</v>
      </c>
      <c r="E20" s="11">
        <v>0.5</v>
      </c>
      <c r="F20" s="12">
        <v>15845</v>
      </c>
      <c r="G20" s="13">
        <v>55</v>
      </c>
      <c r="H20" s="13">
        <v>55723</v>
      </c>
      <c r="I20" s="13">
        <v>348</v>
      </c>
    </row>
    <row r="21" spans="1:9" x14ac:dyDescent="0.3">
      <c r="A21" s="9" t="s">
        <v>166</v>
      </c>
      <c r="B21" s="10">
        <v>45814</v>
      </c>
      <c r="C21" s="9" t="s">
        <v>160</v>
      </c>
      <c r="D21" s="11">
        <v>0.54166666666666663</v>
      </c>
      <c r="E21" s="11">
        <v>0.66666666666666663</v>
      </c>
      <c r="F21" s="12">
        <v>35724</v>
      </c>
      <c r="G21" s="13">
        <v>100</v>
      </c>
      <c r="H21" s="13">
        <v>84918</v>
      </c>
      <c r="I21" s="13">
        <v>1102</v>
      </c>
    </row>
    <row r="22" spans="1:9" x14ac:dyDescent="0.3">
      <c r="A22" s="9" t="s">
        <v>167</v>
      </c>
      <c r="B22" s="10">
        <v>45814</v>
      </c>
      <c r="C22" s="9" t="s">
        <v>147</v>
      </c>
      <c r="D22" s="11">
        <v>0.66666666666666663</v>
      </c>
      <c r="E22" s="11">
        <v>0.75</v>
      </c>
      <c r="F22" s="12">
        <v>34920</v>
      </c>
      <c r="G22" s="13">
        <v>120</v>
      </c>
      <c r="H22" s="13">
        <v>110731</v>
      </c>
      <c r="I22" s="13">
        <v>952</v>
      </c>
    </row>
    <row r="23" spans="1:9" x14ac:dyDescent="0.3">
      <c r="A23" s="9" t="s">
        <v>168</v>
      </c>
      <c r="B23" s="10">
        <v>45814</v>
      </c>
      <c r="C23" s="9" t="s">
        <v>151</v>
      </c>
      <c r="D23" s="11">
        <v>0.79166666666666663</v>
      </c>
      <c r="E23" s="11">
        <v>0.89583333333333337</v>
      </c>
      <c r="F23" s="12">
        <v>44226</v>
      </c>
      <c r="G23" s="13">
        <v>153</v>
      </c>
      <c r="H23" s="13">
        <v>159471</v>
      </c>
      <c r="I23" s="13">
        <v>712</v>
      </c>
    </row>
    <row r="24" spans="1:9" x14ac:dyDescent="0.3">
      <c r="A24" s="9" t="s">
        <v>169</v>
      </c>
      <c r="B24" s="10">
        <v>45814</v>
      </c>
      <c r="C24" s="9" t="s">
        <v>151</v>
      </c>
      <c r="D24" s="11">
        <v>0.91666666666666663</v>
      </c>
      <c r="E24" s="11">
        <v>0</v>
      </c>
      <c r="F24" s="12">
        <v>46274</v>
      </c>
      <c r="G24" s="13">
        <v>120</v>
      </c>
      <c r="H24" s="13">
        <v>166782</v>
      </c>
      <c r="I24" s="13">
        <v>1027</v>
      </c>
    </row>
    <row r="25" spans="1:9" x14ac:dyDescent="0.3">
      <c r="A25" s="9" t="s">
        <v>170</v>
      </c>
      <c r="B25" s="10">
        <v>45815</v>
      </c>
      <c r="C25" s="9" t="s">
        <v>149</v>
      </c>
      <c r="D25" s="11">
        <v>0.41666666666666669</v>
      </c>
      <c r="E25" s="11">
        <v>0.47916666666666669</v>
      </c>
      <c r="F25" s="12">
        <v>7810</v>
      </c>
      <c r="G25" s="13">
        <v>23</v>
      </c>
      <c r="H25" s="13">
        <v>23198</v>
      </c>
      <c r="I25" s="13">
        <v>100</v>
      </c>
    </row>
    <row r="26" spans="1:9" x14ac:dyDescent="0.3">
      <c r="A26" s="9" t="s">
        <v>171</v>
      </c>
      <c r="B26" s="10">
        <v>45815</v>
      </c>
      <c r="C26" s="9" t="s">
        <v>147</v>
      </c>
      <c r="D26" s="11">
        <v>0.54166666666666663</v>
      </c>
      <c r="E26" s="11">
        <v>0.625</v>
      </c>
      <c r="F26" s="12">
        <v>30517</v>
      </c>
      <c r="G26" s="13">
        <v>87</v>
      </c>
      <c r="H26" s="13">
        <v>93305</v>
      </c>
      <c r="I26" s="13">
        <v>436</v>
      </c>
    </row>
    <row r="27" spans="1:9" x14ac:dyDescent="0.3">
      <c r="A27" s="9" t="s">
        <v>172</v>
      </c>
      <c r="B27" s="10">
        <v>45815</v>
      </c>
      <c r="C27" s="9" t="s">
        <v>147</v>
      </c>
      <c r="D27" s="11">
        <v>0.66666666666666663</v>
      </c>
      <c r="E27" s="11">
        <v>0.72916666666666663</v>
      </c>
      <c r="F27" s="12">
        <v>11211</v>
      </c>
      <c r="G27" s="13">
        <v>30</v>
      </c>
      <c r="H27" s="13">
        <v>51227</v>
      </c>
      <c r="I27" s="13">
        <v>314</v>
      </c>
    </row>
    <row r="28" spans="1:9" x14ac:dyDescent="0.3">
      <c r="A28" s="9" t="s">
        <v>173</v>
      </c>
      <c r="B28" s="10">
        <v>45815</v>
      </c>
      <c r="C28" s="9" t="s">
        <v>147</v>
      </c>
      <c r="D28" s="11">
        <v>0.79166666666666663</v>
      </c>
      <c r="E28" s="11">
        <v>0.875</v>
      </c>
      <c r="F28" s="12">
        <v>39413</v>
      </c>
      <c r="G28" s="13">
        <v>124</v>
      </c>
      <c r="H28" s="13">
        <v>184880</v>
      </c>
      <c r="I28" s="13">
        <v>1193</v>
      </c>
    </row>
    <row r="29" spans="1:9" x14ac:dyDescent="0.3">
      <c r="A29" s="9" t="s">
        <v>174</v>
      </c>
      <c r="B29" s="10">
        <v>45815</v>
      </c>
      <c r="C29" s="9" t="s">
        <v>149</v>
      </c>
      <c r="D29" s="11">
        <v>0.91666666666666663</v>
      </c>
      <c r="E29" s="11">
        <v>2.0833333333333329E-2</v>
      </c>
      <c r="F29" s="12">
        <v>27429</v>
      </c>
      <c r="G29" s="13">
        <v>91</v>
      </c>
      <c r="H29" s="13">
        <v>106488</v>
      </c>
      <c r="I29" s="13">
        <v>1268</v>
      </c>
    </row>
    <row r="30" spans="1:9" x14ac:dyDescent="0.3">
      <c r="A30" s="9" t="s">
        <v>175</v>
      </c>
      <c r="B30" s="10">
        <v>45816</v>
      </c>
      <c r="C30" s="9" t="s">
        <v>160</v>
      </c>
      <c r="D30" s="11">
        <v>0.54166666666666663</v>
      </c>
      <c r="E30" s="11">
        <v>0.64583333333333337</v>
      </c>
      <c r="F30" s="12">
        <v>17035</v>
      </c>
      <c r="G30" s="13">
        <v>50</v>
      </c>
      <c r="H30" s="13">
        <v>58768</v>
      </c>
      <c r="I30" s="13">
        <v>320</v>
      </c>
    </row>
    <row r="31" spans="1:9" x14ac:dyDescent="0.3">
      <c r="A31" s="9" t="s">
        <v>176</v>
      </c>
      <c r="B31" s="10">
        <v>45816</v>
      </c>
      <c r="C31" s="9" t="s">
        <v>160</v>
      </c>
      <c r="D31" s="11">
        <v>0.66666666666666663</v>
      </c>
      <c r="E31" s="11">
        <v>0.77083333333333337</v>
      </c>
      <c r="F31" s="12">
        <v>5140</v>
      </c>
      <c r="G31" s="13">
        <v>14</v>
      </c>
      <c r="H31" s="13">
        <v>22377</v>
      </c>
      <c r="I31" s="13">
        <v>239</v>
      </c>
    </row>
    <row r="32" spans="1:9" x14ac:dyDescent="0.3">
      <c r="A32" s="9" t="s">
        <v>177</v>
      </c>
      <c r="B32" s="10">
        <v>45816</v>
      </c>
      <c r="C32" s="9" t="s">
        <v>147</v>
      </c>
      <c r="D32" s="11">
        <v>0.79166666666666663</v>
      </c>
      <c r="E32" s="11">
        <v>0.875</v>
      </c>
      <c r="F32" s="12">
        <v>19691</v>
      </c>
      <c r="G32" s="13">
        <v>68</v>
      </c>
      <c r="H32" s="13">
        <v>79310</v>
      </c>
      <c r="I32" s="13">
        <v>712</v>
      </c>
    </row>
    <row r="33" spans="1:9" x14ac:dyDescent="0.3">
      <c r="A33" s="9" t="s">
        <v>178</v>
      </c>
      <c r="B33" s="10">
        <v>45816</v>
      </c>
      <c r="C33" s="9" t="s">
        <v>147</v>
      </c>
      <c r="D33" s="11">
        <v>0.91666666666666663</v>
      </c>
      <c r="E33" s="11">
        <v>4.1666666666666657E-2</v>
      </c>
      <c r="F33" s="12">
        <v>26696</v>
      </c>
      <c r="G33" s="13">
        <v>76</v>
      </c>
      <c r="H33" s="13">
        <v>105144</v>
      </c>
      <c r="I33" s="13">
        <v>812</v>
      </c>
    </row>
    <row r="34" spans="1:9" x14ac:dyDescent="0.3">
      <c r="A34" s="9" t="s">
        <v>179</v>
      </c>
      <c r="B34" s="10">
        <v>45817</v>
      </c>
      <c r="C34" s="9" t="s">
        <v>149</v>
      </c>
      <c r="D34" s="11">
        <v>0.54166666666666663</v>
      </c>
      <c r="E34" s="11">
        <v>0.625</v>
      </c>
      <c r="F34" s="12">
        <v>12353</v>
      </c>
      <c r="G34" s="13">
        <v>39</v>
      </c>
      <c r="H34" s="13">
        <v>32970</v>
      </c>
      <c r="I34" s="13">
        <v>419</v>
      </c>
    </row>
    <row r="35" spans="1:9" x14ac:dyDescent="0.3">
      <c r="A35" s="9" t="s">
        <v>180</v>
      </c>
      <c r="B35" s="10">
        <v>45817</v>
      </c>
      <c r="C35" s="9" t="s">
        <v>149</v>
      </c>
      <c r="D35" s="11">
        <v>0.66666666666666663</v>
      </c>
      <c r="E35" s="11">
        <v>0.79166666666666663</v>
      </c>
      <c r="F35" s="12">
        <v>23109</v>
      </c>
      <c r="G35" s="13">
        <v>68</v>
      </c>
      <c r="H35" s="13">
        <v>104204</v>
      </c>
      <c r="I35" s="13">
        <v>455</v>
      </c>
    </row>
    <row r="36" spans="1:9" x14ac:dyDescent="0.3">
      <c r="A36" s="9" t="s">
        <v>181</v>
      </c>
      <c r="B36" s="10">
        <v>45817</v>
      </c>
      <c r="C36" s="9" t="s">
        <v>151</v>
      </c>
      <c r="D36" s="11">
        <v>0.79166666666666663</v>
      </c>
      <c r="E36" s="11">
        <v>0.89583333333333337</v>
      </c>
      <c r="F36" s="12">
        <v>56869</v>
      </c>
      <c r="G36" s="13">
        <v>210</v>
      </c>
      <c r="H36" s="13">
        <v>122432</v>
      </c>
      <c r="I36" s="13">
        <v>622</v>
      </c>
    </row>
    <row r="37" spans="1:9" x14ac:dyDescent="0.3">
      <c r="A37" s="9" t="s">
        <v>182</v>
      </c>
      <c r="B37" s="10">
        <v>45818</v>
      </c>
      <c r="C37" s="9" t="s">
        <v>149</v>
      </c>
      <c r="D37" s="11">
        <v>0.41666666666666669</v>
      </c>
      <c r="E37" s="11">
        <v>0.52083333333333337</v>
      </c>
      <c r="F37" s="12">
        <v>15246</v>
      </c>
      <c r="G37" s="13">
        <v>47</v>
      </c>
      <c r="H37" s="13">
        <v>54229</v>
      </c>
      <c r="I37" s="13">
        <v>315</v>
      </c>
    </row>
    <row r="38" spans="1:9" x14ac:dyDescent="0.3">
      <c r="A38" s="9" t="s">
        <v>183</v>
      </c>
      <c r="B38" s="10">
        <v>45818</v>
      </c>
      <c r="C38" s="9" t="s">
        <v>149</v>
      </c>
      <c r="D38" s="11">
        <v>0.54166666666666663</v>
      </c>
      <c r="E38" s="11">
        <v>0.66666666666666663</v>
      </c>
      <c r="F38" s="12">
        <v>29046</v>
      </c>
      <c r="G38" s="13">
        <v>84</v>
      </c>
      <c r="H38" s="13">
        <v>104319</v>
      </c>
      <c r="I38" s="13">
        <v>798</v>
      </c>
    </row>
    <row r="39" spans="1:9" x14ac:dyDescent="0.3">
      <c r="A39" s="9" t="s">
        <v>184</v>
      </c>
      <c r="B39" s="10">
        <v>45818</v>
      </c>
      <c r="C39" s="9" t="s">
        <v>149</v>
      </c>
      <c r="D39" s="11">
        <v>0.66666666666666663</v>
      </c>
      <c r="E39" s="11">
        <v>0.77083333333333337</v>
      </c>
      <c r="F39" s="12">
        <v>20428</v>
      </c>
      <c r="G39" s="13">
        <v>58</v>
      </c>
      <c r="H39" s="13">
        <v>60136</v>
      </c>
      <c r="I39" s="13">
        <v>778</v>
      </c>
    </row>
    <row r="40" spans="1:9" x14ac:dyDescent="0.3">
      <c r="A40" s="9" t="s">
        <v>185</v>
      </c>
      <c r="B40" s="10">
        <v>45818</v>
      </c>
      <c r="C40" s="9" t="s">
        <v>151</v>
      </c>
      <c r="D40" s="11">
        <v>0.79166666666666663</v>
      </c>
      <c r="E40" s="11">
        <v>0.875</v>
      </c>
      <c r="F40" s="12">
        <v>37418</v>
      </c>
      <c r="G40" s="13">
        <v>101</v>
      </c>
      <c r="H40" s="13">
        <v>131134</v>
      </c>
      <c r="I40" s="13">
        <v>751</v>
      </c>
    </row>
    <row r="41" spans="1:9" x14ac:dyDescent="0.3">
      <c r="A41" s="9" t="s">
        <v>186</v>
      </c>
      <c r="B41" s="10">
        <v>45818</v>
      </c>
      <c r="C41" s="9" t="s">
        <v>160</v>
      </c>
      <c r="D41" s="11">
        <v>0.91666666666666663</v>
      </c>
      <c r="E41" s="11">
        <v>0</v>
      </c>
      <c r="F41" s="12">
        <v>9189</v>
      </c>
      <c r="G41" s="13">
        <v>28</v>
      </c>
      <c r="H41" s="13">
        <v>35928</v>
      </c>
      <c r="I41" s="13">
        <v>260</v>
      </c>
    </row>
    <row r="42" spans="1:9" x14ac:dyDescent="0.3">
      <c r="A42" s="9" t="s">
        <v>187</v>
      </c>
      <c r="B42" s="10">
        <v>45819</v>
      </c>
      <c r="C42" s="9" t="s">
        <v>149</v>
      </c>
      <c r="D42" s="11">
        <v>0.41666666666666669</v>
      </c>
      <c r="E42" s="11">
        <v>0.54166666666666663</v>
      </c>
      <c r="F42" s="12">
        <v>19963</v>
      </c>
      <c r="G42" s="13">
        <v>63</v>
      </c>
      <c r="H42" s="13">
        <v>89903</v>
      </c>
      <c r="I42" s="13">
        <v>675</v>
      </c>
    </row>
    <row r="43" spans="1:9" x14ac:dyDescent="0.3">
      <c r="A43" s="9" t="s">
        <v>188</v>
      </c>
      <c r="B43" s="10">
        <v>45819</v>
      </c>
      <c r="C43" s="9" t="s">
        <v>160</v>
      </c>
      <c r="D43" s="11">
        <v>0.54166666666666663</v>
      </c>
      <c r="E43" s="11">
        <v>0.60416666666666663</v>
      </c>
      <c r="F43" s="12">
        <v>5807</v>
      </c>
      <c r="G43" s="13">
        <v>16</v>
      </c>
      <c r="H43" s="13">
        <v>18923</v>
      </c>
      <c r="I43" s="13">
        <v>95</v>
      </c>
    </row>
    <row r="44" spans="1:9" x14ac:dyDescent="0.3">
      <c r="A44" s="9" t="s">
        <v>189</v>
      </c>
      <c r="B44" s="10">
        <v>45819</v>
      </c>
      <c r="C44" s="9" t="s">
        <v>151</v>
      </c>
      <c r="D44" s="11">
        <v>0.66666666666666663</v>
      </c>
      <c r="E44" s="11">
        <v>0.75</v>
      </c>
      <c r="F44" s="12">
        <v>35428</v>
      </c>
      <c r="G44" s="13">
        <v>99</v>
      </c>
      <c r="H44" s="13">
        <v>97519</v>
      </c>
      <c r="I44" s="13">
        <v>419</v>
      </c>
    </row>
    <row r="45" spans="1:9" x14ac:dyDescent="0.3">
      <c r="A45" s="9" t="s">
        <v>190</v>
      </c>
      <c r="B45" s="10">
        <v>45819</v>
      </c>
      <c r="C45" s="9" t="s">
        <v>149</v>
      </c>
      <c r="D45" s="11">
        <v>0.79166666666666663</v>
      </c>
      <c r="E45" s="11">
        <v>0.89583333333333337</v>
      </c>
      <c r="F45" s="12">
        <v>23672</v>
      </c>
      <c r="G45" s="13">
        <v>63</v>
      </c>
      <c r="H45" s="13">
        <v>118575</v>
      </c>
      <c r="I45" s="13">
        <v>1016</v>
      </c>
    </row>
    <row r="46" spans="1:9" x14ac:dyDescent="0.3">
      <c r="A46" s="9" t="s">
        <v>191</v>
      </c>
      <c r="B46" s="10">
        <v>45819</v>
      </c>
      <c r="C46" s="9" t="s">
        <v>160</v>
      </c>
      <c r="D46" s="11">
        <v>0.91666666666666663</v>
      </c>
      <c r="E46" s="11">
        <v>0</v>
      </c>
      <c r="F46" s="12">
        <v>8834</v>
      </c>
      <c r="G46" s="13">
        <v>28</v>
      </c>
      <c r="H46" s="13">
        <v>39010</v>
      </c>
      <c r="I46" s="13">
        <v>264</v>
      </c>
    </row>
    <row r="47" spans="1:9" x14ac:dyDescent="0.3">
      <c r="A47" s="9" t="s">
        <v>192</v>
      </c>
      <c r="B47" s="10">
        <v>45820</v>
      </c>
      <c r="C47" s="9" t="s">
        <v>149</v>
      </c>
      <c r="D47" s="11">
        <v>0.54166666666666663</v>
      </c>
      <c r="E47" s="11">
        <v>0.66666666666666663</v>
      </c>
      <c r="F47" s="12">
        <v>11212</v>
      </c>
      <c r="G47" s="13">
        <v>29</v>
      </c>
      <c r="H47" s="13">
        <v>28108</v>
      </c>
      <c r="I47" s="13">
        <v>248</v>
      </c>
    </row>
    <row r="48" spans="1:9" x14ac:dyDescent="0.3">
      <c r="A48" s="9" t="s">
        <v>193</v>
      </c>
      <c r="B48" s="10">
        <v>45820</v>
      </c>
      <c r="C48" s="9" t="s">
        <v>147</v>
      </c>
      <c r="D48" s="11">
        <v>0.79166666666666663</v>
      </c>
      <c r="E48" s="11">
        <v>0.89583333333333337</v>
      </c>
      <c r="F48" s="12">
        <v>19044</v>
      </c>
      <c r="G48" s="13">
        <v>59</v>
      </c>
      <c r="H48" s="13">
        <v>57176</v>
      </c>
      <c r="I48" s="13">
        <v>351</v>
      </c>
    </row>
    <row r="49" spans="1:9" x14ac:dyDescent="0.3">
      <c r="A49" s="9" t="s">
        <v>194</v>
      </c>
      <c r="B49" s="10">
        <v>45820</v>
      </c>
      <c r="C49" s="9" t="s">
        <v>149</v>
      </c>
      <c r="D49" s="11">
        <v>0.91666666666666663</v>
      </c>
      <c r="E49" s="11">
        <v>2.0833333333333329E-2</v>
      </c>
      <c r="F49" s="12">
        <v>6306</v>
      </c>
      <c r="G49" s="13">
        <v>17</v>
      </c>
      <c r="H49" s="13">
        <v>19388</v>
      </c>
      <c r="I49" s="13">
        <v>232</v>
      </c>
    </row>
    <row r="50" spans="1:9" x14ac:dyDescent="0.3">
      <c r="A50" s="9" t="s">
        <v>195</v>
      </c>
      <c r="B50" s="10">
        <v>45821</v>
      </c>
      <c r="C50" s="9" t="s">
        <v>149</v>
      </c>
      <c r="D50" s="11">
        <v>0.41666666666666669</v>
      </c>
      <c r="E50" s="11">
        <v>0.54166666666666663</v>
      </c>
      <c r="F50" s="12">
        <v>38873</v>
      </c>
      <c r="G50" s="13">
        <v>139</v>
      </c>
      <c r="H50" s="13">
        <v>175646</v>
      </c>
      <c r="I50" s="13">
        <v>1102</v>
      </c>
    </row>
    <row r="51" spans="1:9" x14ac:dyDescent="0.3">
      <c r="A51" s="9" t="s">
        <v>196</v>
      </c>
      <c r="B51" s="10">
        <v>45821</v>
      </c>
      <c r="C51" s="9" t="s">
        <v>149</v>
      </c>
      <c r="D51" s="11">
        <v>0.54166666666666663</v>
      </c>
      <c r="E51" s="11">
        <v>0.625</v>
      </c>
      <c r="F51" s="12">
        <v>13983</v>
      </c>
      <c r="G51" s="13">
        <v>34</v>
      </c>
      <c r="H51" s="13">
        <v>70988</v>
      </c>
      <c r="I51" s="13">
        <v>700</v>
      </c>
    </row>
    <row r="52" spans="1:9" x14ac:dyDescent="0.3">
      <c r="A52" s="9" t="s">
        <v>197</v>
      </c>
      <c r="B52" s="10">
        <v>45821</v>
      </c>
      <c r="C52" s="9" t="s">
        <v>147</v>
      </c>
      <c r="D52" s="11">
        <v>0.66666666666666663</v>
      </c>
      <c r="E52" s="11">
        <v>0.79166666666666663</v>
      </c>
      <c r="F52" s="12">
        <v>12609</v>
      </c>
      <c r="G52" s="13">
        <v>37</v>
      </c>
      <c r="H52" s="13">
        <v>31074</v>
      </c>
      <c r="I52" s="13">
        <v>153</v>
      </c>
    </row>
    <row r="53" spans="1:9" x14ac:dyDescent="0.3">
      <c r="A53" s="9" t="s">
        <v>198</v>
      </c>
      <c r="B53" s="10">
        <v>45821</v>
      </c>
      <c r="C53" s="9" t="s">
        <v>149</v>
      </c>
      <c r="D53" s="11">
        <v>0.79166666666666663</v>
      </c>
      <c r="E53" s="11">
        <v>0.89583333333333337</v>
      </c>
      <c r="F53" s="12">
        <v>58437</v>
      </c>
      <c r="G53" s="13">
        <v>146</v>
      </c>
      <c r="H53" s="13">
        <v>235872</v>
      </c>
      <c r="I53" s="13">
        <v>1554</v>
      </c>
    </row>
    <row r="54" spans="1:9" x14ac:dyDescent="0.3">
      <c r="A54" s="9" t="s">
        <v>199</v>
      </c>
      <c r="B54" s="10">
        <v>45822</v>
      </c>
      <c r="C54" s="9" t="s">
        <v>149</v>
      </c>
      <c r="D54" s="11">
        <v>0.41666666666666669</v>
      </c>
      <c r="E54" s="11">
        <v>0.5</v>
      </c>
      <c r="F54" s="12">
        <v>17708</v>
      </c>
      <c r="G54" s="13">
        <v>53</v>
      </c>
      <c r="H54" s="13">
        <v>55615</v>
      </c>
      <c r="I54" s="13">
        <v>398</v>
      </c>
    </row>
    <row r="55" spans="1:9" x14ac:dyDescent="0.3">
      <c r="A55" s="9" t="s">
        <v>200</v>
      </c>
      <c r="B55" s="10">
        <v>45822</v>
      </c>
      <c r="C55" s="9" t="s">
        <v>160</v>
      </c>
      <c r="D55" s="11">
        <v>0.54166666666666663</v>
      </c>
      <c r="E55" s="11">
        <v>0.625</v>
      </c>
      <c r="F55" s="12">
        <v>21887</v>
      </c>
      <c r="G55" s="13">
        <v>58</v>
      </c>
      <c r="H55" s="13">
        <v>90332</v>
      </c>
      <c r="I55" s="13">
        <v>568</v>
      </c>
    </row>
    <row r="56" spans="1:9" x14ac:dyDescent="0.3">
      <c r="A56" s="9" t="s">
        <v>201</v>
      </c>
      <c r="B56" s="10">
        <v>45822</v>
      </c>
      <c r="C56" s="9" t="s">
        <v>147</v>
      </c>
      <c r="D56" s="11">
        <v>0.66666666666666663</v>
      </c>
      <c r="E56" s="11">
        <v>0.77083333333333337</v>
      </c>
      <c r="F56" s="12">
        <v>46792</v>
      </c>
      <c r="G56" s="13">
        <v>142</v>
      </c>
      <c r="H56" s="13">
        <v>181510</v>
      </c>
      <c r="I56" s="13">
        <v>1227</v>
      </c>
    </row>
    <row r="57" spans="1:9" x14ac:dyDescent="0.3">
      <c r="A57" s="9" t="s">
        <v>202</v>
      </c>
      <c r="B57" s="10">
        <v>45822</v>
      </c>
      <c r="C57" s="9" t="s">
        <v>149</v>
      </c>
      <c r="D57" s="11">
        <v>0.79166666666666663</v>
      </c>
      <c r="E57" s="11">
        <v>0.89583333333333337</v>
      </c>
      <c r="F57" s="12">
        <v>48161</v>
      </c>
      <c r="G57" s="13">
        <v>164</v>
      </c>
      <c r="H57" s="13">
        <v>141162</v>
      </c>
      <c r="I57" s="13">
        <v>1381</v>
      </c>
    </row>
    <row r="58" spans="1:9" x14ac:dyDescent="0.3">
      <c r="A58" s="9" t="s">
        <v>203</v>
      </c>
      <c r="B58" s="10">
        <v>45823</v>
      </c>
      <c r="C58" s="9" t="s">
        <v>147</v>
      </c>
      <c r="D58" s="11">
        <v>0.54166666666666663</v>
      </c>
      <c r="E58" s="11">
        <v>0.64583333333333337</v>
      </c>
      <c r="F58" s="12">
        <v>47132</v>
      </c>
      <c r="G58" s="13">
        <v>144</v>
      </c>
      <c r="H58" s="13">
        <v>133225</v>
      </c>
      <c r="I58" s="13">
        <v>943</v>
      </c>
    </row>
    <row r="59" spans="1:9" x14ac:dyDescent="0.3">
      <c r="A59" s="9" t="s">
        <v>204</v>
      </c>
      <c r="B59" s="10">
        <v>45823</v>
      </c>
      <c r="C59" s="9" t="s">
        <v>160</v>
      </c>
      <c r="D59" s="11">
        <v>0.66666666666666663</v>
      </c>
      <c r="E59" s="11">
        <v>0.77083333333333337</v>
      </c>
      <c r="F59" s="12">
        <v>28805</v>
      </c>
      <c r="G59" s="13">
        <v>86</v>
      </c>
      <c r="H59" s="13">
        <v>89556</v>
      </c>
      <c r="I59" s="13">
        <v>892</v>
      </c>
    </row>
    <row r="60" spans="1:9" x14ac:dyDescent="0.3">
      <c r="A60" s="9" t="s">
        <v>205</v>
      </c>
      <c r="B60" s="10">
        <v>45823</v>
      </c>
      <c r="C60" s="9" t="s">
        <v>149</v>
      </c>
      <c r="D60" s="11">
        <v>0.79166666666666663</v>
      </c>
      <c r="E60" s="11">
        <v>0.875</v>
      </c>
      <c r="F60" s="12">
        <v>30430</v>
      </c>
      <c r="G60" s="13">
        <v>92</v>
      </c>
      <c r="H60" s="13">
        <v>79097</v>
      </c>
      <c r="I60" s="13">
        <v>747</v>
      </c>
    </row>
    <row r="61" spans="1:9" x14ac:dyDescent="0.3">
      <c r="A61" s="9" t="s">
        <v>206</v>
      </c>
      <c r="B61" s="10">
        <v>45824</v>
      </c>
      <c r="C61" s="9" t="s">
        <v>149</v>
      </c>
      <c r="D61" s="11">
        <v>0.54166666666666663</v>
      </c>
      <c r="E61" s="11">
        <v>0.64583333333333337</v>
      </c>
      <c r="F61" s="12">
        <v>22213</v>
      </c>
      <c r="G61" s="13">
        <v>73</v>
      </c>
      <c r="H61" s="13">
        <v>87339</v>
      </c>
      <c r="I61" s="13">
        <v>760</v>
      </c>
    </row>
    <row r="62" spans="1:9" x14ac:dyDescent="0.3">
      <c r="A62" s="9" t="s">
        <v>207</v>
      </c>
      <c r="B62" s="10">
        <v>45824</v>
      </c>
      <c r="C62" s="9" t="s">
        <v>149</v>
      </c>
      <c r="D62" s="11">
        <v>0.66666666666666663</v>
      </c>
      <c r="E62" s="11">
        <v>0.79166666666666663</v>
      </c>
      <c r="F62" s="12">
        <v>18782</v>
      </c>
      <c r="G62" s="13">
        <v>46</v>
      </c>
      <c r="H62" s="13">
        <v>49466</v>
      </c>
      <c r="I62" s="13">
        <v>290</v>
      </c>
    </row>
    <row r="63" spans="1:9" x14ac:dyDescent="0.3">
      <c r="A63" s="9" t="s">
        <v>208</v>
      </c>
      <c r="B63" s="10">
        <v>45824</v>
      </c>
      <c r="C63" s="9" t="s">
        <v>149</v>
      </c>
      <c r="D63" s="11">
        <v>0.79166666666666663</v>
      </c>
      <c r="E63" s="11">
        <v>0.91666666666666663</v>
      </c>
      <c r="F63" s="12">
        <v>20734</v>
      </c>
      <c r="G63" s="13">
        <v>69</v>
      </c>
      <c r="H63" s="13">
        <v>63919</v>
      </c>
      <c r="I63" s="13">
        <v>386</v>
      </c>
    </row>
    <row r="64" spans="1:9" x14ac:dyDescent="0.3">
      <c r="A64" s="9" t="s">
        <v>209</v>
      </c>
      <c r="B64" s="10">
        <v>45824</v>
      </c>
      <c r="C64" s="9" t="s">
        <v>149</v>
      </c>
      <c r="D64" s="11">
        <v>0.91666666666666663</v>
      </c>
      <c r="E64" s="11">
        <v>0</v>
      </c>
      <c r="F64" s="12">
        <v>8589</v>
      </c>
      <c r="G64" s="13">
        <v>24</v>
      </c>
      <c r="H64" s="13">
        <v>31025</v>
      </c>
      <c r="I64" s="13">
        <v>211</v>
      </c>
    </row>
    <row r="65" spans="1:9" x14ac:dyDescent="0.3">
      <c r="A65" s="9" t="s">
        <v>210</v>
      </c>
      <c r="B65" s="10">
        <v>45825</v>
      </c>
      <c r="C65" s="9" t="s">
        <v>160</v>
      </c>
      <c r="D65" s="11">
        <v>0.41666666666666669</v>
      </c>
      <c r="E65" s="11">
        <v>0.52083333333333337</v>
      </c>
      <c r="F65" s="12">
        <v>12479</v>
      </c>
      <c r="G65" s="13">
        <v>34</v>
      </c>
      <c r="H65" s="13">
        <v>45815</v>
      </c>
      <c r="I65" s="13">
        <v>204</v>
      </c>
    </row>
    <row r="66" spans="1:9" x14ac:dyDescent="0.3">
      <c r="A66" s="9" t="s">
        <v>211</v>
      </c>
      <c r="B66" s="10">
        <v>45825</v>
      </c>
      <c r="C66" s="9" t="s">
        <v>160</v>
      </c>
      <c r="D66" s="11">
        <v>0.54166666666666663</v>
      </c>
      <c r="E66" s="11">
        <v>0.625</v>
      </c>
      <c r="F66" s="12">
        <v>8492</v>
      </c>
      <c r="G66" s="13">
        <v>28</v>
      </c>
      <c r="H66" s="13">
        <v>36537</v>
      </c>
      <c r="I66" s="13">
        <v>259</v>
      </c>
    </row>
    <row r="67" spans="1:9" x14ac:dyDescent="0.3">
      <c r="A67" s="9" t="s">
        <v>212</v>
      </c>
      <c r="B67" s="10">
        <v>45825</v>
      </c>
      <c r="C67" s="9" t="s">
        <v>151</v>
      </c>
      <c r="D67" s="11">
        <v>0.66666666666666663</v>
      </c>
      <c r="E67" s="11">
        <v>0.77083333333333337</v>
      </c>
      <c r="F67" s="12">
        <v>30258</v>
      </c>
      <c r="G67" s="13">
        <v>93</v>
      </c>
      <c r="H67" s="13">
        <v>135700</v>
      </c>
      <c r="I67" s="13">
        <v>1753</v>
      </c>
    </row>
    <row r="68" spans="1:9" x14ac:dyDescent="0.3">
      <c r="A68" s="9" t="s">
        <v>213</v>
      </c>
      <c r="B68" s="10">
        <v>45825</v>
      </c>
      <c r="C68" s="9" t="s">
        <v>149</v>
      </c>
      <c r="D68" s="11">
        <v>0.79166666666666663</v>
      </c>
      <c r="E68" s="11">
        <v>0.91666666666666663</v>
      </c>
      <c r="F68" s="12">
        <v>34972</v>
      </c>
      <c r="G68" s="13">
        <v>98</v>
      </c>
      <c r="H68" s="13">
        <v>87728</v>
      </c>
      <c r="I68" s="13">
        <v>849</v>
      </c>
    </row>
    <row r="69" spans="1:9" x14ac:dyDescent="0.3">
      <c r="A69" s="9" t="s">
        <v>214</v>
      </c>
      <c r="B69" s="10">
        <v>45826</v>
      </c>
      <c r="C69" s="9" t="s">
        <v>149</v>
      </c>
      <c r="D69" s="11">
        <v>0.41666666666666669</v>
      </c>
      <c r="E69" s="11">
        <v>0.52083333333333337</v>
      </c>
      <c r="F69" s="12">
        <v>12620</v>
      </c>
      <c r="G69" s="13">
        <v>39</v>
      </c>
      <c r="H69" s="13">
        <v>46683</v>
      </c>
      <c r="I69" s="13">
        <v>588</v>
      </c>
    </row>
    <row r="70" spans="1:9" x14ac:dyDescent="0.3">
      <c r="A70" s="9" t="s">
        <v>215</v>
      </c>
      <c r="B70" s="10">
        <v>45826</v>
      </c>
      <c r="C70" s="9" t="s">
        <v>160</v>
      </c>
      <c r="D70" s="11">
        <v>0.54166666666666663</v>
      </c>
      <c r="E70" s="11">
        <v>0.66666666666666663</v>
      </c>
      <c r="F70" s="12">
        <v>10053</v>
      </c>
      <c r="G70" s="13">
        <v>30</v>
      </c>
      <c r="H70" s="13">
        <v>26743</v>
      </c>
      <c r="I70" s="13">
        <v>126</v>
      </c>
    </row>
    <row r="71" spans="1:9" x14ac:dyDescent="0.3">
      <c r="A71" s="9" t="s">
        <v>216</v>
      </c>
      <c r="B71" s="10">
        <v>45826</v>
      </c>
      <c r="C71" s="9" t="s">
        <v>151</v>
      </c>
      <c r="D71" s="11">
        <v>0.66666666666666663</v>
      </c>
      <c r="E71" s="11">
        <v>0.79166666666666663</v>
      </c>
      <c r="F71" s="12">
        <v>25392</v>
      </c>
      <c r="G71" s="13">
        <v>83</v>
      </c>
      <c r="H71" s="13">
        <v>130074</v>
      </c>
      <c r="I71" s="13">
        <v>775</v>
      </c>
    </row>
    <row r="72" spans="1:9" x14ac:dyDescent="0.3">
      <c r="A72" s="9" t="s">
        <v>217</v>
      </c>
      <c r="B72" s="10">
        <v>45826</v>
      </c>
      <c r="C72" s="9" t="s">
        <v>151</v>
      </c>
      <c r="D72" s="11">
        <v>0.79166666666666663</v>
      </c>
      <c r="E72" s="11">
        <v>0.89583333333333337</v>
      </c>
      <c r="F72" s="12">
        <v>41803</v>
      </c>
      <c r="G72" s="13">
        <v>120</v>
      </c>
      <c r="H72" s="13">
        <v>129441</v>
      </c>
      <c r="I72" s="13">
        <v>829</v>
      </c>
    </row>
    <row r="73" spans="1:9" x14ac:dyDescent="0.3">
      <c r="A73" s="9" t="s">
        <v>218</v>
      </c>
      <c r="B73" s="10">
        <v>45827</v>
      </c>
      <c r="C73" s="9" t="s">
        <v>219</v>
      </c>
      <c r="D73" s="11">
        <v>0.41666666666666669</v>
      </c>
      <c r="E73" s="11">
        <v>0.5</v>
      </c>
      <c r="F73" s="12">
        <v>9000</v>
      </c>
      <c r="G73" s="13">
        <v>28</v>
      </c>
      <c r="H73" s="13">
        <v>26960</v>
      </c>
      <c r="I73" s="13">
        <v>297</v>
      </c>
    </row>
    <row r="74" spans="1:9" x14ac:dyDescent="0.3">
      <c r="A74" s="9" t="s">
        <v>220</v>
      </c>
      <c r="B74" s="10">
        <v>45827</v>
      </c>
      <c r="C74" s="9" t="s">
        <v>151</v>
      </c>
      <c r="D74" s="11">
        <v>0.54166666666666663</v>
      </c>
      <c r="E74" s="11">
        <v>0.60416666666666663</v>
      </c>
      <c r="F74" s="12">
        <v>16057</v>
      </c>
      <c r="G74" s="13">
        <v>49</v>
      </c>
      <c r="H74" s="13">
        <v>46285</v>
      </c>
      <c r="I74" s="13">
        <v>461</v>
      </c>
    </row>
    <row r="75" spans="1:9" x14ac:dyDescent="0.3">
      <c r="A75" s="9" t="s">
        <v>221</v>
      </c>
      <c r="B75" s="10">
        <v>45827</v>
      </c>
      <c r="C75" s="9" t="s">
        <v>149</v>
      </c>
      <c r="D75" s="11">
        <v>0.79166666666666663</v>
      </c>
      <c r="E75" s="11">
        <v>0.85416666666666663</v>
      </c>
      <c r="F75" s="12">
        <v>24904</v>
      </c>
      <c r="G75" s="13">
        <v>66</v>
      </c>
      <c r="H75" s="13">
        <v>61324</v>
      </c>
      <c r="I75" s="13">
        <v>496</v>
      </c>
    </row>
    <row r="76" spans="1:9" x14ac:dyDescent="0.3">
      <c r="A76" s="9" t="s">
        <v>222</v>
      </c>
      <c r="B76" s="10">
        <v>45828</v>
      </c>
      <c r="C76" s="9" t="s">
        <v>149</v>
      </c>
      <c r="D76" s="11">
        <v>0.54166666666666663</v>
      </c>
      <c r="E76" s="11">
        <v>0.64583333333333337</v>
      </c>
      <c r="F76" s="12">
        <v>29252</v>
      </c>
      <c r="G76" s="13">
        <v>77</v>
      </c>
      <c r="H76" s="13">
        <v>91471</v>
      </c>
      <c r="I76" s="13">
        <v>991</v>
      </c>
    </row>
    <row r="77" spans="1:9" x14ac:dyDescent="0.3">
      <c r="A77" s="9" t="s">
        <v>223</v>
      </c>
      <c r="B77" s="10">
        <v>45828</v>
      </c>
      <c r="C77" s="9" t="s">
        <v>147</v>
      </c>
      <c r="D77" s="11">
        <v>0.66666666666666663</v>
      </c>
      <c r="E77" s="11">
        <v>0.75</v>
      </c>
      <c r="F77" s="12">
        <v>17078</v>
      </c>
      <c r="G77" s="13">
        <v>48</v>
      </c>
      <c r="H77" s="13">
        <v>74269</v>
      </c>
      <c r="I77" s="13">
        <v>347</v>
      </c>
    </row>
    <row r="78" spans="1:9" x14ac:dyDescent="0.3">
      <c r="A78" s="9" t="s">
        <v>224</v>
      </c>
      <c r="B78" s="10">
        <v>45828</v>
      </c>
      <c r="C78" s="9" t="s">
        <v>151</v>
      </c>
      <c r="D78" s="11">
        <v>0.79166666666666663</v>
      </c>
      <c r="E78" s="11">
        <v>0.875</v>
      </c>
      <c r="F78" s="12">
        <v>54463</v>
      </c>
      <c r="G78" s="13">
        <v>164</v>
      </c>
      <c r="H78" s="13">
        <v>168072</v>
      </c>
      <c r="I78" s="13">
        <v>1417</v>
      </c>
    </row>
    <row r="79" spans="1:9" x14ac:dyDescent="0.3">
      <c r="A79" s="9" t="s">
        <v>225</v>
      </c>
      <c r="B79" s="10">
        <v>45828</v>
      </c>
      <c r="C79" s="9" t="s">
        <v>149</v>
      </c>
      <c r="D79" s="11">
        <v>0.91666666666666663</v>
      </c>
      <c r="E79" s="11">
        <v>2.0833333333333329E-2</v>
      </c>
      <c r="F79" s="12">
        <v>24295</v>
      </c>
      <c r="G79" s="13">
        <v>71</v>
      </c>
      <c r="H79" s="13">
        <v>108234</v>
      </c>
      <c r="I79" s="13">
        <v>1372</v>
      </c>
    </row>
    <row r="80" spans="1:9" x14ac:dyDescent="0.3">
      <c r="A80" s="9" t="s">
        <v>226</v>
      </c>
      <c r="B80" s="10">
        <v>45829</v>
      </c>
      <c r="C80" s="9" t="s">
        <v>149</v>
      </c>
      <c r="D80" s="11">
        <v>0.41666666666666669</v>
      </c>
      <c r="E80" s="11">
        <v>0.54166666666666663</v>
      </c>
      <c r="F80" s="12">
        <v>31243</v>
      </c>
      <c r="G80" s="13">
        <v>82</v>
      </c>
      <c r="H80" s="13">
        <v>94335</v>
      </c>
      <c r="I80" s="13">
        <v>1209</v>
      </c>
    </row>
    <row r="81" spans="1:9" x14ac:dyDescent="0.3">
      <c r="A81" s="9" t="s">
        <v>227</v>
      </c>
      <c r="B81" s="10">
        <v>45829</v>
      </c>
      <c r="C81" s="9" t="s">
        <v>149</v>
      </c>
      <c r="D81" s="11">
        <v>0.66666666666666663</v>
      </c>
      <c r="E81" s="11">
        <v>0.79166666666666663</v>
      </c>
      <c r="F81" s="12">
        <v>21807</v>
      </c>
      <c r="G81" s="13">
        <v>68</v>
      </c>
      <c r="H81" s="13">
        <v>64447</v>
      </c>
      <c r="I81" s="13">
        <v>778</v>
      </c>
    </row>
    <row r="82" spans="1:9" x14ac:dyDescent="0.3">
      <c r="A82" s="9" t="s">
        <v>228</v>
      </c>
      <c r="B82" s="10">
        <v>45829</v>
      </c>
      <c r="C82" s="9" t="s">
        <v>147</v>
      </c>
      <c r="D82" s="11">
        <v>0.79166666666666663</v>
      </c>
      <c r="E82" s="11">
        <v>0.89583333333333337</v>
      </c>
      <c r="F82" s="12">
        <v>59910</v>
      </c>
      <c r="G82" s="13">
        <v>166</v>
      </c>
      <c r="H82" s="13">
        <v>178854</v>
      </c>
      <c r="I82" s="13">
        <v>1183</v>
      </c>
    </row>
    <row r="83" spans="1:9" x14ac:dyDescent="0.3">
      <c r="A83" s="9" t="s">
        <v>229</v>
      </c>
      <c r="B83" s="10">
        <v>45829</v>
      </c>
      <c r="C83" s="9" t="s">
        <v>149</v>
      </c>
      <c r="D83" s="11">
        <v>0.91666666666666663</v>
      </c>
      <c r="E83" s="11">
        <v>2.0833333333333329E-2</v>
      </c>
      <c r="F83" s="12">
        <v>24341</v>
      </c>
      <c r="G83" s="13">
        <v>72</v>
      </c>
      <c r="H83" s="13">
        <v>81967</v>
      </c>
      <c r="I83" s="13">
        <v>424</v>
      </c>
    </row>
    <row r="84" spans="1:9" x14ac:dyDescent="0.3">
      <c r="A84" s="9" t="s">
        <v>230</v>
      </c>
      <c r="B84" s="10">
        <v>45830</v>
      </c>
      <c r="C84" s="9" t="s">
        <v>160</v>
      </c>
      <c r="D84" s="11">
        <v>0.41666666666666669</v>
      </c>
      <c r="E84" s="11">
        <v>0.54166666666666663</v>
      </c>
      <c r="F84" s="12">
        <v>11638</v>
      </c>
      <c r="G84" s="13">
        <v>33</v>
      </c>
      <c r="H84" s="13">
        <v>36831</v>
      </c>
      <c r="I84" s="13">
        <v>425</v>
      </c>
    </row>
    <row r="85" spans="1:9" x14ac:dyDescent="0.3">
      <c r="A85" s="9" t="s">
        <v>231</v>
      </c>
      <c r="B85" s="10">
        <v>45830</v>
      </c>
      <c r="C85" s="9" t="s">
        <v>147</v>
      </c>
      <c r="D85" s="11">
        <v>0.54166666666666663</v>
      </c>
      <c r="E85" s="11">
        <v>0.66666666666666663</v>
      </c>
      <c r="F85" s="12">
        <v>63213</v>
      </c>
      <c r="G85" s="13">
        <v>172</v>
      </c>
      <c r="H85" s="13">
        <v>308558</v>
      </c>
      <c r="I85" s="13">
        <v>3190</v>
      </c>
    </row>
    <row r="86" spans="1:9" x14ac:dyDescent="0.3">
      <c r="A86" s="9" t="s">
        <v>232</v>
      </c>
      <c r="B86" s="10">
        <v>45830</v>
      </c>
      <c r="C86" s="9" t="s">
        <v>149</v>
      </c>
      <c r="D86" s="11">
        <v>0.66666666666666663</v>
      </c>
      <c r="E86" s="11">
        <v>0.77083333333333337</v>
      </c>
      <c r="F86" s="12">
        <v>16657</v>
      </c>
      <c r="G86" s="13">
        <v>43</v>
      </c>
      <c r="H86" s="13">
        <v>38284</v>
      </c>
      <c r="I86" s="13">
        <v>402</v>
      </c>
    </row>
    <row r="87" spans="1:9" x14ac:dyDescent="0.3">
      <c r="A87" s="9" t="s">
        <v>233</v>
      </c>
      <c r="B87" s="10">
        <v>45830</v>
      </c>
      <c r="C87" s="9" t="s">
        <v>149</v>
      </c>
      <c r="D87" s="11">
        <v>0.79166666666666663</v>
      </c>
      <c r="E87" s="11">
        <v>0.875</v>
      </c>
      <c r="F87" s="12">
        <v>28469</v>
      </c>
      <c r="G87" s="13">
        <v>92</v>
      </c>
      <c r="H87" s="13">
        <v>79301</v>
      </c>
      <c r="I87" s="13">
        <v>424</v>
      </c>
    </row>
    <row r="88" spans="1:9" x14ac:dyDescent="0.3">
      <c r="A88" s="9" t="s">
        <v>234</v>
      </c>
      <c r="B88" s="10">
        <v>45831</v>
      </c>
      <c r="C88" s="9" t="s">
        <v>149</v>
      </c>
      <c r="D88" s="11">
        <v>0.41666666666666669</v>
      </c>
      <c r="E88" s="11">
        <v>0.5</v>
      </c>
      <c r="F88" s="12">
        <v>11275</v>
      </c>
      <c r="G88" s="13">
        <v>30</v>
      </c>
      <c r="H88" s="13">
        <v>33207</v>
      </c>
      <c r="I88" s="13">
        <v>200</v>
      </c>
    </row>
    <row r="89" spans="1:9" x14ac:dyDescent="0.3">
      <c r="A89" s="9" t="s">
        <v>235</v>
      </c>
      <c r="B89" s="10">
        <v>45831</v>
      </c>
      <c r="C89" s="9" t="s">
        <v>219</v>
      </c>
      <c r="D89" s="11">
        <v>0.66666666666666663</v>
      </c>
      <c r="E89" s="11">
        <v>0.77083333333333337</v>
      </c>
      <c r="F89" s="12">
        <v>11663</v>
      </c>
      <c r="G89" s="13">
        <v>34</v>
      </c>
      <c r="H89" s="13">
        <v>51557</v>
      </c>
      <c r="I89" s="13">
        <v>556</v>
      </c>
    </row>
    <row r="90" spans="1:9" x14ac:dyDescent="0.3">
      <c r="A90" s="9" t="s">
        <v>236</v>
      </c>
      <c r="B90" s="10">
        <v>45831</v>
      </c>
      <c r="C90" s="9" t="s">
        <v>151</v>
      </c>
      <c r="D90" s="11">
        <v>0.79166666666666663</v>
      </c>
      <c r="E90" s="11">
        <v>0.91666666666666663</v>
      </c>
      <c r="F90" s="12">
        <v>57386</v>
      </c>
      <c r="G90" s="13">
        <v>148</v>
      </c>
      <c r="H90" s="13">
        <v>179103</v>
      </c>
      <c r="I90" s="13">
        <v>1303</v>
      </c>
    </row>
    <row r="91" spans="1:9" x14ac:dyDescent="0.3">
      <c r="A91" s="9" t="s">
        <v>237</v>
      </c>
      <c r="B91" s="10">
        <v>45831</v>
      </c>
      <c r="C91" s="9" t="s">
        <v>160</v>
      </c>
      <c r="D91" s="11">
        <v>0.91666666666666663</v>
      </c>
      <c r="E91" s="11">
        <v>4.1666666666666657E-2</v>
      </c>
      <c r="F91" s="12">
        <v>16769</v>
      </c>
      <c r="G91" s="13">
        <v>56</v>
      </c>
      <c r="H91" s="13">
        <v>80789</v>
      </c>
      <c r="I91" s="13">
        <v>695</v>
      </c>
    </row>
    <row r="92" spans="1:9" x14ac:dyDescent="0.3">
      <c r="A92" s="9" t="s">
        <v>238</v>
      </c>
      <c r="B92" s="10">
        <v>45832</v>
      </c>
      <c r="C92" s="9" t="s">
        <v>160</v>
      </c>
      <c r="D92" s="11">
        <v>0.41666666666666669</v>
      </c>
      <c r="E92" s="11">
        <v>0.52083333333333337</v>
      </c>
      <c r="F92" s="12">
        <v>8078</v>
      </c>
      <c r="G92" s="13">
        <v>24</v>
      </c>
      <c r="H92" s="13">
        <v>30651</v>
      </c>
      <c r="I92" s="13">
        <v>261</v>
      </c>
    </row>
    <row r="93" spans="1:9" x14ac:dyDescent="0.3">
      <c r="A93" s="9" t="s">
        <v>239</v>
      </c>
      <c r="B93" s="10">
        <v>45832</v>
      </c>
      <c r="C93" s="9" t="s">
        <v>160</v>
      </c>
      <c r="D93" s="11">
        <v>0.54166666666666663</v>
      </c>
      <c r="E93" s="11">
        <v>0.66666666666666663</v>
      </c>
      <c r="F93" s="12">
        <v>22238</v>
      </c>
      <c r="G93" s="13">
        <v>69</v>
      </c>
      <c r="H93" s="13">
        <v>53525</v>
      </c>
      <c r="I93" s="13">
        <v>522</v>
      </c>
    </row>
    <row r="94" spans="1:9" x14ac:dyDescent="0.3">
      <c r="A94" s="9" t="s">
        <v>240</v>
      </c>
      <c r="B94" s="10">
        <v>45832</v>
      </c>
      <c r="C94" s="9" t="s">
        <v>147</v>
      </c>
      <c r="D94" s="11">
        <v>0.66666666666666663</v>
      </c>
      <c r="E94" s="11">
        <v>0.75</v>
      </c>
      <c r="F94" s="12">
        <v>39662</v>
      </c>
      <c r="G94" s="13">
        <v>103</v>
      </c>
      <c r="H94" s="13">
        <v>143936</v>
      </c>
      <c r="I94" s="13">
        <v>1115</v>
      </c>
    </row>
    <row r="95" spans="1:9" x14ac:dyDescent="0.3">
      <c r="A95" s="9" t="s">
        <v>241</v>
      </c>
      <c r="B95" s="10">
        <v>45832</v>
      </c>
      <c r="C95" s="9" t="s">
        <v>149</v>
      </c>
      <c r="D95" s="11">
        <v>0.79166666666666663</v>
      </c>
      <c r="E95" s="11">
        <v>0.85416666666666663</v>
      </c>
      <c r="F95" s="12">
        <v>12031</v>
      </c>
      <c r="G95" s="13">
        <v>32</v>
      </c>
      <c r="H95" s="13">
        <v>36533</v>
      </c>
      <c r="I95" s="13">
        <v>174</v>
      </c>
    </row>
    <row r="96" spans="1:9" x14ac:dyDescent="0.3">
      <c r="A96" s="9" t="s">
        <v>242</v>
      </c>
      <c r="B96" s="10">
        <v>45833</v>
      </c>
      <c r="C96" s="9" t="s">
        <v>149</v>
      </c>
      <c r="D96" s="11">
        <v>0.41666666666666669</v>
      </c>
      <c r="E96" s="11">
        <v>0.52083333333333337</v>
      </c>
      <c r="F96" s="12">
        <v>9598</v>
      </c>
      <c r="G96" s="13">
        <v>33</v>
      </c>
      <c r="H96" s="13">
        <v>24873</v>
      </c>
      <c r="I96" s="13">
        <v>281</v>
      </c>
    </row>
    <row r="97" spans="1:9" x14ac:dyDescent="0.3">
      <c r="A97" s="9" t="s">
        <v>243</v>
      </c>
      <c r="B97" s="10">
        <v>45833</v>
      </c>
      <c r="C97" s="9" t="s">
        <v>219</v>
      </c>
      <c r="D97" s="11">
        <v>0.54166666666666663</v>
      </c>
      <c r="E97" s="11">
        <v>0.66666666666666663</v>
      </c>
      <c r="F97" s="12">
        <v>18841</v>
      </c>
      <c r="G97" s="13">
        <v>53</v>
      </c>
      <c r="H97" s="13">
        <v>45425</v>
      </c>
      <c r="I97" s="13">
        <v>325</v>
      </c>
    </row>
    <row r="98" spans="1:9" x14ac:dyDescent="0.3">
      <c r="A98" s="9" t="s">
        <v>244</v>
      </c>
      <c r="B98" s="10">
        <v>45833</v>
      </c>
      <c r="C98" s="9" t="s">
        <v>160</v>
      </c>
      <c r="D98" s="11">
        <v>0.66666666666666663</v>
      </c>
      <c r="E98" s="11">
        <v>0.77083333333333337</v>
      </c>
      <c r="F98" s="12">
        <v>6917</v>
      </c>
      <c r="G98" s="13">
        <v>21</v>
      </c>
      <c r="H98" s="13">
        <v>16923</v>
      </c>
      <c r="I98" s="13">
        <v>213</v>
      </c>
    </row>
    <row r="99" spans="1:9" x14ac:dyDescent="0.3">
      <c r="A99" s="9" t="s">
        <v>245</v>
      </c>
      <c r="B99" s="10">
        <v>45833</v>
      </c>
      <c r="C99" s="9" t="s">
        <v>149</v>
      </c>
      <c r="D99" s="11">
        <v>0.79166666666666663</v>
      </c>
      <c r="E99" s="11">
        <v>0.875</v>
      </c>
      <c r="F99" s="12">
        <v>21915</v>
      </c>
      <c r="G99" s="13">
        <v>73</v>
      </c>
      <c r="H99" s="13">
        <v>66370</v>
      </c>
      <c r="I99" s="13">
        <v>487</v>
      </c>
    </row>
    <row r="100" spans="1:9" x14ac:dyDescent="0.3">
      <c r="A100" s="9" t="s">
        <v>246</v>
      </c>
      <c r="B100" s="10">
        <v>45833</v>
      </c>
      <c r="C100" s="9" t="s">
        <v>149</v>
      </c>
      <c r="D100" s="11">
        <v>0.91666666666666663</v>
      </c>
      <c r="E100" s="11">
        <v>0</v>
      </c>
      <c r="F100" s="12">
        <v>13661</v>
      </c>
      <c r="G100" s="13">
        <v>39</v>
      </c>
      <c r="H100" s="13">
        <v>34902</v>
      </c>
      <c r="I100" s="13">
        <v>174</v>
      </c>
    </row>
    <row r="101" spans="1:9" x14ac:dyDescent="0.3">
      <c r="A101" s="9" t="s">
        <v>247</v>
      </c>
      <c r="B101" s="10">
        <v>45834</v>
      </c>
      <c r="C101" s="9" t="s">
        <v>160</v>
      </c>
      <c r="D101" s="11">
        <v>0.41666666666666669</v>
      </c>
      <c r="E101" s="11">
        <v>0.52083333333333337</v>
      </c>
      <c r="F101" s="12">
        <v>11449</v>
      </c>
      <c r="G101" s="13">
        <v>33</v>
      </c>
      <c r="H101" s="13">
        <v>50448</v>
      </c>
      <c r="I101" s="13">
        <v>321</v>
      </c>
    </row>
    <row r="102" spans="1:9" x14ac:dyDescent="0.3">
      <c r="A102" s="9" t="s">
        <v>248</v>
      </c>
      <c r="B102" s="10">
        <v>45834</v>
      </c>
      <c r="C102" s="9" t="s">
        <v>149</v>
      </c>
      <c r="D102" s="11">
        <v>0.54166666666666663</v>
      </c>
      <c r="E102" s="11">
        <v>0.66666666666666663</v>
      </c>
      <c r="F102" s="12">
        <v>13517</v>
      </c>
      <c r="G102" s="13">
        <v>43</v>
      </c>
      <c r="H102" s="13">
        <v>29053</v>
      </c>
      <c r="I102" s="13">
        <v>344</v>
      </c>
    </row>
    <row r="103" spans="1:9" x14ac:dyDescent="0.3">
      <c r="A103" s="9" t="s">
        <v>249</v>
      </c>
      <c r="B103" s="10">
        <v>45834</v>
      </c>
      <c r="C103" s="9" t="s">
        <v>149</v>
      </c>
      <c r="D103" s="11">
        <v>0.66666666666666663</v>
      </c>
      <c r="E103" s="11">
        <v>0.75</v>
      </c>
      <c r="F103" s="12">
        <v>32805</v>
      </c>
      <c r="G103" s="13">
        <v>93</v>
      </c>
      <c r="H103" s="13">
        <v>86905</v>
      </c>
      <c r="I103" s="13">
        <v>654</v>
      </c>
    </row>
    <row r="104" spans="1:9" x14ac:dyDescent="0.3">
      <c r="A104" s="9" t="s">
        <v>250</v>
      </c>
      <c r="B104" s="10">
        <v>45834</v>
      </c>
      <c r="C104" s="9" t="s">
        <v>149</v>
      </c>
      <c r="D104" s="11">
        <v>0.79166666666666663</v>
      </c>
      <c r="E104" s="11">
        <v>0.89583333333333337</v>
      </c>
      <c r="F104" s="12">
        <v>47041</v>
      </c>
      <c r="G104" s="13">
        <v>159</v>
      </c>
      <c r="H104" s="13">
        <v>237749</v>
      </c>
      <c r="I104" s="13">
        <v>1888</v>
      </c>
    </row>
    <row r="105" spans="1:9" x14ac:dyDescent="0.3">
      <c r="A105" s="9" t="s">
        <v>251</v>
      </c>
      <c r="B105" s="10">
        <v>45834</v>
      </c>
      <c r="C105" s="9" t="s">
        <v>219</v>
      </c>
      <c r="D105" s="11">
        <v>0.91666666666666663</v>
      </c>
      <c r="E105" s="11">
        <v>2.0833333333333329E-2</v>
      </c>
      <c r="F105" s="12">
        <v>30379</v>
      </c>
      <c r="G105" s="13">
        <v>99</v>
      </c>
      <c r="H105" s="13">
        <v>93273</v>
      </c>
      <c r="I105" s="13">
        <v>408</v>
      </c>
    </row>
    <row r="106" spans="1:9" x14ac:dyDescent="0.3">
      <c r="A106" s="9" t="s">
        <v>252</v>
      </c>
      <c r="B106" s="10">
        <v>45835</v>
      </c>
      <c r="C106" s="9" t="s">
        <v>160</v>
      </c>
      <c r="D106" s="11">
        <v>0.41666666666666669</v>
      </c>
      <c r="E106" s="11">
        <v>0.5</v>
      </c>
      <c r="F106" s="12">
        <v>7053</v>
      </c>
      <c r="G106" s="13">
        <v>22</v>
      </c>
      <c r="H106" s="13">
        <v>28614</v>
      </c>
      <c r="I106" s="13">
        <v>228</v>
      </c>
    </row>
    <row r="107" spans="1:9" x14ac:dyDescent="0.3">
      <c r="A107" s="9" t="s">
        <v>253</v>
      </c>
      <c r="B107" s="10">
        <v>45835</v>
      </c>
      <c r="C107" s="9" t="s">
        <v>147</v>
      </c>
      <c r="D107" s="11">
        <v>0.54166666666666663</v>
      </c>
      <c r="E107" s="11">
        <v>0.625</v>
      </c>
      <c r="F107" s="12">
        <v>17522</v>
      </c>
      <c r="G107" s="13">
        <v>58</v>
      </c>
      <c r="H107" s="13">
        <v>58203</v>
      </c>
      <c r="I107" s="13">
        <v>643</v>
      </c>
    </row>
    <row r="108" spans="1:9" x14ac:dyDescent="0.3">
      <c r="A108" s="9" t="s">
        <v>254</v>
      </c>
      <c r="B108" s="10">
        <v>45835</v>
      </c>
      <c r="C108" s="9" t="s">
        <v>147</v>
      </c>
      <c r="D108" s="11">
        <v>0.66666666666666663</v>
      </c>
      <c r="E108" s="11">
        <v>0.79166666666666663</v>
      </c>
      <c r="F108" s="12">
        <v>39164</v>
      </c>
      <c r="G108" s="13">
        <v>110</v>
      </c>
      <c r="H108" s="13">
        <v>112194</v>
      </c>
      <c r="I108" s="13">
        <v>879</v>
      </c>
    </row>
    <row r="109" spans="1:9" x14ac:dyDescent="0.3">
      <c r="A109" s="9" t="s">
        <v>255</v>
      </c>
      <c r="B109" s="10">
        <v>45835</v>
      </c>
      <c r="C109" s="9" t="s">
        <v>149</v>
      </c>
      <c r="D109" s="11">
        <v>0.79166666666666663</v>
      </c>
      <c r="E109" s="11">
        <v>0.875</v>
      </c>
      <c r="F109" s="12">
        <v>18337</v>
      </c>
      <c r="G109" s="13">
        <v>53</v>
      </c>
      <c r="H109" s="13">
        <v>65112</v>
      </c>
      <c r="I109" s="13">
        <v>289</v>
      </c>
    </row>
    <row r="110" spans="1:9" x14ac:dyDescent="0.3">
      <c r="A110" s="9" t="s">
        <v>256</v>
      </c>
      <c r="B110" s="10">
        <v>45835</v>
      </c>
      <c r="C110" s="9" t="s">
        <v>160</v>
      </c>
      <c r="D110" s="11">
        <v>0.91666666666666663</v>
      </c>
      <c r="E110" s="11">
        <v>2.0833333333333329E-2</v>
      </c>
      <c r="F110" s="12">
        <v>11047</v>
      </c>
      <c r="G110" s="13">
        <v>33</v>
      </c>
      <c r="H110" s="13">
        <v>40540</v>
      </c>
      <c r="I110" s="13">
        <v>289</v>
      </c>
    </row>
    <row r="111" spans="1:9" x14ac:dyDescent="0.3">
      <c r="A111" s="9" t="s">
        <v>257</v>
      </c>
      <c r="B111" s="10">
        <v>45836</v>
      </c>
      <c r="C111" s="9" t="s">
        <v>149</v>
      </c>
      <c r="D111" s="11">
        <v>0.54166666666666663</v>
      </c>
      <c r="E111" s="11">
        <v>0.66666666666666663</v>
      </c>
      <c r="F111" s="12">
        <v>25558</v>
      </c>
      <c r="G111" s="13">
        <v>81</v>
      </c>
      <c r="H111" s="13">
        <v>102612</v>
      </c>
      <c r="I111" s="13">
        <v>564</v>
      </c>
    </row>
    <row r="112" spans="1:9" x14ac:dyDescent="0.3">
      <c r="A112" s="9" t="s">
        <v>258</v>
      </c>
      <c r="B112" s="10">
        <v>45836</v>
      </c>
      <c r="C112" s="9" t="s">
        <v>147</v>
      </c>
      <c r="D112" s="11">
        <v>0.66666666666666663</v>
      </c>
      <c r="E112" s="11">
        <v>0.79166666666666663</v>
      </c>
      <c r="F112" s="12">
        <v>25927</v>
      </c>
      <c r="G112" s="13">
        <v>79</v>
      </c>
      <c r="H112" s="13">
        <v>81698</v>
      </c>
      <c r="I112" s="13">
        <v>570</v>
      </c>
    </row>
    <row r="113" spans="1:9" x14ac:dyDescent="0.3">
      <c r="A113" s="9" t="s">
        <v>259</v>
      </c>
      <c r="B113" s="10">
        <v>45836</v>
      </c>
      <c r="C113" s="9" t="s">
        <v>151</v>
      </c>
      <c r="D113" s="11">
        <v>0.79166666666666663</v>
      </c>
      <c r="E113" s="11">
        <v>0.875</v>
      </c>
      <c r="F113" s="12">
        <v>71625</v>
      </c>
      <c r="G113" s="13">
        <v>198</v>
      </c>
      <c r="H113" s="13">
        <v>212298</v>
      </c>
      <c r="I113" s="13">
        <v>2621</v>
      </c>
    </row>
    <row r="114" spans="1:9" x14ac:dyDescent="0.3">
      <c r="A114" s="9" t="s">
        <v>260</v>
      </c>
      <c r="B114" s="10">
        <v>45837</v>
      </c>
      <c r="C114" s="9" t="s">
        <v>149</v>
      </c>
      <c r="D114" s="11">
        <v>0.41666666666666669</v>
      </c>
      <c r="E114" s="11">
        <v>0.52083333333333337</v>
      </c>
      <c r="F114" s="12">
        <v>20057</v>
      </c>
      <c r="G114" s="13">
        <v>58</v>
      </c>
      <c r="H114" s="13">
        <v>58248</v>
      </c>
      <c r="I114" s="13">
        <v>258</v>
      </c>
    </row>
    <row r="115" spans="1:9" x14ac:dyDescent="0.3">
      <c r="A115" s="9" t="s">
        <v>261</v>
      </c>
      <c r="B115" s="10">
        <v>45837</v>
      </c>
      <c r="C115" s="9" t="s">
        <v>147</v>
      </c>
      <c r="D115" s="11">
        <v>0.54166666666666663</v>
      </c>
      <c r="E115" s="11">
        <v>0.64583333333333337</v>
      </c>
      <c r="F115" s="12">
        <v>33387</v>
      </c>
      <c r="G115" s="13">
        <v>93</v>
      </c>
      <c r="H115" s="13">
        <v>121764</v>
      </c>
      <c r="I115" s="13">
        <v>655</v>
      </c>
    </row>
    <row r="116" spans="1:9" x14ac:dyDescent="0.3">
      <c r="A116" s="9" t="s">
        <v>262</v>
      </c>
      <c r="B116" s="10">
        <v>45837</v>
      </c>
      <c r="C116" s="9" t="s">
        <v>149</v>
      </c>
      <c r="D116" s="11">
        <v>0.66666666666666663</v>
      </c>
      <c r="E116" s="11">
        <v>0.72916666666666663</v>
      </c>
      <c r="F116" s="12">
        <v>15536</v>
      </c>
      <c r="G116" s="13">
        <v>39</v>
      </c>
      <c r="H116" s="13">
        <v>79075</v>
      </c>
      <c r="I116" s="13">
        <v>366</v>
      </c>
    </row>
    <row r="117" spans="1:9" x14ac:dyDescent="0.3">
      <c r="A117" s="9" t="s">
        <v>263</v>
      </c>
      <c r="B117" s="10">
        <v>45837</v>
      </c>
      <c r="C117" s="9" t="s">
        <v>149</v>
      </c>
      <c r="D117" s="11">
        <v>0.79166666666666663</v>
      </c>
      <c r="E117" s="11">
        <v>0.875</v>
      </c>
      <c r="F117" s="12">
        <v>25262</v>
      </c>
      <c r="G117" s="13">
        <v>67</v>
      </c>
      <c r="H117" s="13">
        <v>74509</v>
      </c>
      <c r="I117" s="13">
        <v>370</v>
      </c>
    </row>
    <row r="118" spans="1:9" x14ac:dyDescent="0.3">
      <c r="A118" s="9" t="s">
        <v>264</v>
      </c>
      <c r="B118" s="10">
        <v>45837</v>
      </c>
      <c r="C118" s="9" t="s">
        <v>149</v>
      </c>
      <c r="D118" s="11">
        <v>0.91666666666666663</v>
      </c>
      <c r="E118" s="11">
        <v>0</v>
      </c>
      <c r="F118" s="12">
        <v>50597</v>
      </c>
      <c r="G118" s="13">
        <v>174</v>
      </c>
      <c r="H118" s="13">
        <v>164697</v>
      </c>
      <c r="I118" s="13">
        <v>1152</v>
      </c>
    </row>
    <row r="119" spans="1:9" x14ac:dyDescent="0.3">
      <c r="A119" s="9" t="s">
        <v>265</v>
      </c>
      <c r="B119" s="10">
        <v>45838</v>
      </c>
      <c r="C119" s="9" t="s">
        <v>151</v>
      </c>
      <c r="D119" s="11">
        <v>0.66666666666666663</v>
      </c>
      <c r="E119" s="11">
        <v>0.72916666666666663</v>
      </c>
      <c r="F119" s="12">
        <v>23284</v>
      </c>
      <c r="G119" s="13">
        <v>56</v>
      </c>
      <c r="H119" s="13">
        <v>53695</v>
      </c>
      <c r="I119" s="13">
        <v>294</v>
      </c>
    </row>
    <row r="120" spans="1:9" x14ac:dyDescent="0.3">
      <c r="A120" s="9" t="s">
        <v>266</v>
      </c>
      <c r="B120" s="10">
        <v>45838</v>
      </c>
      <c r="C120" s="9" t="s">
        <v>151</v>
      </c>
      <c r="D120" s="11">
        <v>0.79166666666666663</v>
      </c>
      <c r="E120" s="11">
        <v>0.89583333333333337</v>
      </c>
      <c r="F120" s="12">
        <v>57532</v>
      </c>
      <c r="G120" s="13">
        <v>190</v>
      </c>
      <c r="H120" s="13">
        <v>176723</v>
      </c>
      <c r="I120" s="13">
        <v>889</v>
      </c>
    </row>
    <row r="121" spans="1:9" x14ac:dyDescent="0.3">
      <c r="A121" s="9" t="s">
        <v>267</v>
      </c>
      <c r="B121" s="10">
        <v>45838</v>
      </c>
      <c r="C121" s="9" t="s">
        <v>149</v>
      </c>
      <c r="D121" s="11">
        <v>0.91666666666666663</v>
      </c>
      <c r="E121" s="11">
        <v>0</v>
      </c>
      <c r="F121" s="12">
        <v>28510</v>
      </c>
      <c r="G121" s="13">
        <v>82</v>
      </c>
      <c r="H121" s="13">
        <v>90159</v>
      </c>
      <c r="I121" s="13">
        <v>891</v>
      </c>
    </row>
    <row r="122" spans="1:9" x14ac:dyDescent="0.3">
      <c r="A122" s="9" t="s">
        <v>268</v>
      </c>
      <c r="B122" s="10">
        <v>45839</v>
      </c>
      <c r="C122" s="9" t="s">
        <v>149</v>
      </c>
      <c r="D122" s="11">
        <v>0.54166666666666663</v>
      </c>
      <c r="E122" s="11">
        <v>0.625</v>
      </c>
      <c r="F122" s="12">
        <v>16222</v>
      </c>
      <c r="G122" s="13">
        <v>50</v>
      </c>
      <c r="H122" s="13">
        <v>63978</v>
      </c>
      <c r="I122" s="13">
        <v>504</v>
      </c>
    </row>
    <row r="123" spans="1:9" x14ac:dyDescent="0.3">
      <c r="A123" s="9" t="s">
        <v>269</v>
      </c>
      <c r="B123" s="10">
        <v>45839</v>
      </c>
      <c r="C123" s="9" t="s">
        <v>151</v>
      </c>
      <c r="D123" s="11">
        <v>0.66666666666666663</v>
      </c>
      <c r="E123" s="11">
        <v>0.77083333333333337</v>
      </c>
      <c r="F123" s="12">
        <v>27374</v>
      </c>
      <c r="G123" s="13">
        <v>71</v>
      </c>
      <c r="H123" s="13">
        <v>92258</v>
      </c>
      <c r="I123" s="13">
        <v>761</v>
      </c>
    </row>
    <row r="124" spans="1:9" x14ac:dyDescent="0.3">
      <c r="A124" s="9" t="s">
        <v>270</v>
      </c>
      <c r="B124" s="10">
        <v>45839</v>
      </c>
      <c r="C124" s="9" t="s">
        <v>151</v>
      </c>
      <c r="D124" s="11">
        <v>0.79166666666666663</v>
      </c>
      <c r="E124" s="11">
        <v>0.875</v>
      </c>
      <c r="F124" s="12">
        <v>36729</v>
      </c>
      <c r="G124" s="13">
        <v>101</v>
      </c>
      <c r="H124" s="13">
        <v>121070</v>
      </c>
      <c r="I124" s="13">
        <v>1532</v>
      </c>
    </row>
    <row r="125" spans="1:9" x14ac:dyDescent="0.3">
      <c r="A125" s="9" t="s">
        <v>271</v>
      </c>
      <c r="B125" s="10">
        <v>45839</v>
      </c>
      <c r="C125" s="9" t="s">
        <v>149</v>
      </c>
      <c r="D125" s="11">
        <v>0.91666666666666663</v>
      </c>
      <c r="E125" s="11">
        <v>2.0833333333333329E-2</v>
      </c>
      <c r="F125" s="12">
        <v>18537</v>
      </c>
      <c r="G125" s="13">
        <v>57</v>
      </c>
      <c r="H125" s="13">
        <v>57025</v>
      </c>
      <c r="I125" s="13">
        <v>645</v>
      </c>
    </row>
    <row r="126" spans="1:9" x14ac:dyDescent="0.3">
      <c r="A126" s="9" t="s">
        <v>272</v>
      </c>
      <c r="B126" s="10">
        <v>45840</v>
      </c>
      <c r="C126" s="9" t="s">
        <v>149</v>
      </c>
      <c r="D126" s="11">
        <v>0.41666666666666669</v>
      </c>
      <c r="E126" s="11">
        <v>0.52083333333333337</v>
      </c>
      <c r="F126" s="12">
        <v>16266</v>
      </c>
      <c r="G126" s="13">
        <v>46</v>
      </c>
      <c r="H126" s="13">
        <v>92381</v>
      </c>
      <c r="I126" s="13">
        <v>643</v>
      </c>
    </row>
    <row r="127" spans="1:9" x14ac:dyDescent="0.3">
      <c r="A127" s="9" t="s">
        <v>273</v>
      </c>
      <c r="B127" s="10">
        <v>45840</v>
      </c>
      <c r="C127" s="9" t="s">
        <v>160</v>
      </c>
      <c r="D127" s="11">
        <v>0.54166666666666663</v>
      </c>
      <c r="E127" s="11">
        <v>0.66666666666666663</v>
      </c>
      <c r="F127" s="12">
        <v>12509</v>
      </c>
      <c r="G127" s="13">
        <v>37</v>
      </c>
      <c r="H127" s="13">
        <v>44024</v>
      </c>
      <c r="I127" s="13">
        <v>412</v>
      </c>
    </row>
    <row r="128" spans="1:9" x14ac:dyDescent="0.3">
      <c r="A128" s="9" t="s">
        <v>274</v>
      </c>
      <c r="B128" s="10">
        <v>45840</v>
      </c>
      <c r="C128" s="9" t="s">
        <v>149</v>
      </c>
      <c r="D128" s="11">
        <v>0.66666666666666663</v>
      </c>
      <c r="E128" s="11">
        <v>0.77083333333333337</v>
      </c>
      <c r="F128" s="12">
        <v>18768</v>
      </c>
      <c r="G128" s="13">
        <v>59</v>
      </c>
      <c r="H128" s="13">
        <v>50286</v>
      </c>
      <c r="I128" s="13">
        <v>389</v>
      </c>
    </row>
    <row r="129" spans="1:9" x14ac:dyDescent="0.3">
      <c r="A129" s="9" t="s">
        <v>275</v>
      </c>
      <c r="B129" s="10">
        <v>45840</v>
      </c>
      <c r="C129" s="9" t="s">
        <v>151</v>
      </c>
      <c r="D129" s="11">
        <v>0.79166666666666663</v>
      </c>
      <c r="E129" s="11">
        <v>0.875</v>
      </c>
      <c r="F129" s="12">
        <v>119802</v>
      </c>
      <c r="G129" s="13">
        <v>406</v>
      </c>
      <c r="H129" s="13">
        <v>544775</v>
      </c>
      <c r="I129" s="13">
        <v>6277</v>
      </c>
    </row>
    <row r="130" spans="1:9" x14ac:dyDescent="0.3">
      <c r="A130" s="9" t="s">
        <v>276</v>
      </c>
      <c r="B130" s="10">
        <v>45840</v>
      </c>
      <c r="C130" s="9" t="s">
        <v>149</v>
      </c>
      <c r="D130" s="11">
        <v>0.91666666666666663</v>
      </c>
      <c r="E130" s="11">
        <v>0.97916666666666663</v>
      </c>
      <c r="F130" s="12">
        <v>16745</v>
      </c>
      <c r="G130" s="13">
        <v>48</v>
      </c>
      <c r="H130" s="13">
        <v>67932</v>
      </c>
      <c r="I130" s="13">
        <v>702</v>
      </c>
    </row>
    <row r="131" spans="1:9" x14ac:dyDescent="0.3">
      <c r="A131" s="9" t="s">
        <v>277</v>
      </c>
      <c r="B131" s="10">
        <v>45841</v>
      </c>
      <c r="C131" s="9" t="s">
        <v>147</v>
      </c>
      <c r="D131" s="11">
        <v>0.66666666666666663</v>
      </c>
      <c r="E131" s="11">
        <v>0.77083333333333337</v>
      </c>
      <c r="F131" s="12">
        <v>13117</v>
      </c>
      <c r="G131" s="13">
        <v>42</v>
      </c>
      <c r="H131" s="13">
        <v>42476</v>
      </c>
      <c r="I131" s="13">
        <v>473</v>
      </c>
    </row>
    <row r="132" spans="1:9" x14ac:dyDescent="0.3">
      <c r="A132" s="9" t="s">
        <v>278</v>
      </c>
      <c r="B132" s="10">
        <v>45841</v>
      </c>
      <c r="C132" s="9" t="s">
        <v>151</v>
      </c>
      <c r="D132" s="11">
        <v>0.79166666666666663</v>
      </c>
      <c r="E132" s="11">
        <v>0.875</v>
      </c>
      <c r="F132" s="12">
        <v>20619</v>
      </c>
      <c r="G132" s="13">
        <v>61</v>
      </c>
      <c r="H132" s="13">
        <v>101576</v>
      </c>
      <c r="I132" s="13">
        <v>1070</v>
      </c>
    </row>
    <row r="133" spans="1:9" x14ac:dyDescent="0.3">
      <c r="A133" s="9" t="s">
        <v>279</v>
      </c>
      <c r="B133" s="10">
        <v>45841</v>
      </c>
      <c r="C133" s="9" t="s">
        <v>151</v>
      </c>
      <c r="D133" s="11">
        <v>0.91666666666666663</v>
      </c>
      <c r="E133" s="11">
        <v>0</v>
      </c>
      <c r="F133" s="12">
        <v>46943</v>
      </c>
      <c r="G133" s="13">
        <v>131</v>
      </c>
      <c r="H133" s="13">
        <v>101173</v>
      </c>
      <c r="I133" s="13">
        <v>1221</v>
      </c>
    </row>
    <row r="134" spans="1:9" x14ac:dyDescent="0.3">
      <c r="A134" s="9" t="s">
        <v>280</v>
      </c>
      <c r="B134" s="10">
        <v>45842</v>
      </c>
      <c r="C134" s="9" t="s">
        <v>160</v>
      </c>
      <c r="D134" s="11">
        <v>0.41666666666666669</v>
      </c>
      <c r="E134" s="11">
        <v>0.5</v>
      </c>
      <c r="F134" s="12">
        <v>10322</v>
      </c>
      <c r="G134" s="13">
        <v>26</v>
      </c>
      <c r="H134" s="13">
        <v>43008</v>
      </c>
      <c r="I134" s="13">
        <v>298</v>
      </c>
    </row>
    <row r="135" spans="1:9" x14ac:dyDescent="0.3">
      <c r="A135" s="9" t="s">
        <v>281</v>
      </c>
      <c r="B135" s="10">
        <v>45842</v>
      </c>
      <c r="C135" s="9" t="s">
        <v>151</v>
      </c>
      <c r="D135" s="11">
        <v>0.54166666666666663</v>
      </c>
      <c r="E135" s="11">
        <v>0.64583333333333337</v>
      </c>
      <c r="F135" s="12">
        <v>36385</v>
      </c>
      <c r="G135" s="13">
        <v>93</v>
      </c>
      <c r="H135" s="13">
        <v>81708</v>
      </c>
      <c r="I135" s="13">
        <v>404</v>
      </c>
    </row>
    <row r="136" spans="1:9" x14ac:dyDescent="0.3">
      <c r="A136" s="9" t="s">
        <v>282</v>
      </c>
      <c r="B136" s="10">
        <v>45842</v>
      </c>
      <c r="C136" s="9" t="s">
        <v>151</v>
      </c>
      <c r="D136" s="11">
        <v>0.66666666666666663</v>
      </c>
      <c r="E136" s="11">
        <v>0.75</v>
      </c>
      <c r="F136" s="12">
        <v>46801</v>
      </c>
      <c r="G136" s="13">
        <v>152</v>
      </c>
      <c r="H136" s="13">
        <v>123454</v>
      </c>
      <c r="I136" s="13">
        <v>1390</v>
      </c>
    </row>
    <row r="137" spans="1:9" x14ac:dyDescent="0.3">
      <c r="A137" s="9" t="s">
        <v>283</v>
      </c>
      <c r="B137" s="10">
        <v>45842</v>
      </c>
      <c r="C137" s="9" t="s">
        <v>149</v>
      </c>
      <c r="D137" s="11">
        <v>0.79166666666666663</v>
      </c>
      <c r="E137" s="11">
        <v>0.91666666666666663</v>
      </c>
      <c r="F137" s="12">
        <v>46623</v>
      </c>
      <c r="G137" s="13">
        <v>113</v>
      </c>
      <c r="H137" s="13">
        <v>215414</v>
      </c>
      <c r="I137" s="13">
        <v>2127</v>
      </c>
    </row>
    <row r="138" spans="1:9" x14ac:dyDescent="0.3">
      <c r="A138" s="9" t="s">
        <v>284</v>
      </c>
      <c r="B138" s="10">
        <v>45842</v>
      </c>
      <c r="C138" s="9" t="s">
        <v>147</v>
      </c>
      <c r="D138" s="11">
        <v>0.91666666666666663</v>
      </c>
      <c r="E138" s="11">
        <v>4.1666666666666657E-2</v>
      </c>
      <c r="F138" s="12">
        <v>38994</v>
      </c>
      <c r="G138" s="13">
        <v>115</v>
      </c>
      <c r="H138" s="13">
        <v>120484</v>
      </c>
      <c r="I138" s="13">
        <v>642</v>
      </c>
    </row>
    <row r="139" spans="1:9" x14ac:dyDescent="0.3">
      <c r="A139" s="9" t="s">
        <v>285</v>
      </c>
      <c r="B139" s="10">
        <v>45843</v>
      </c>
      <c r="C139" s="9" t="s">
        <v>147</v>
      </c>
      <c r="D139" s="11">
        <v>0.54166666666666663</v>
      </c>
      <c r="E139" s="11">
        <v>0.64583333333333337</v>
      </c>
      <c r="F139" s="12">
        <v>26527</v>
      </c>
      <c r="G139" s="13">
        <v>83</v>
      </c>
      <c r="H139" s="13">
        <v>69504</v>
      </c>
      <c r="I139" s="13">
        <v>607</v>
      </c>
    </row>
    <row r="140" spans="1:9" x14ac:dyDescent="0.3">
      <c r="A140" s="9" t="s">
        <v>286</v>
      </c>
      <c r="B140" s="10">
        <v>45843</v>
      </c>
      <c r="C140" s="9" t="s">
        <v>147</v>
      </c>
      <c r="D140" s="11">
        <v>0.66666666666666663</v>
      </c>
      <c r="E140" s="11">
        <v>0.77083333333333337</v>
      </c>
      <c r="F140" s="12">
        <v>36948</v>
      </c>
      <c r="G140" s="13">
        <v>110</v>
      </c>
      <c r="H140" s="13">
        <v>137111</v>
      </c>
      <c r="I140" s="13">
        <v>566</v>
      </c>
    </row>
    <row r="141" spans="1:9" x14ac:dyDescent="0.3">
      <c r="A141" s="9" t="s">
        <v>287</v>
      </c>
      <c r="B141" s="10">
        <v>45843</v>
      </c>
      <c r="C141" s="9" t="s">
        <v>147</v>
      </c>
      <c r="D141" s="11">
        <v>0.79166666666666663</v>
      </c>
      <c r="E141" s="11">
        <v>0.875</v>
      </c>
      <c r="F141" s="12">
        <v>9542</v>
      </c>
      <c r="G141" s="13">
        <v>29</v>
      </c>
      <c r="H141" s="13">
        <v>35966</v>
      </c>
      <c r="I141" s="13">
        <v>455</v>
      </c>
    </row>
    <row r="142" spans="1:9" x14ac:dyDescent="0.3">
      <c r="A142" s="9" t="s">
        <v>288</v>
      </c>
      <c r="B142" s="10">
        <v>45843</v>
      </c>
      <c r="C142" s="9" t="s">
        <v>160</v>
      </c>
      <c r="D142" s="11">
        <v>0.91666666666666663</v>
      </c>
      <c r="E142" s="11">
        <v>0</v>
      </c>
      <c r="F142" s="12">
        <v>18785</v>
      </c>
      <c r="G142" s="13">
        <v>51</v>
      </c>
      <c r="H142" s="13">
        <v>56924</v>
      </c>
      <c r="I142" s="13">
        <v>539</v>
      </c>
    </row>
    <row r="143" spans="1:9" x14ac:dyDescent="0.3">
      <c r="A143" s="9" t="s">
        <v>289</v>
      </c>
      <c r="B143" s="10">
        <v>45844</v>
      </c>
      <c r="C143" s="9" t="s">
        <v>160</v>
      </c>
      <c r="D143" s="11">
        <v>0.41666666666666669</v>
      </c>
      <c r="E143" s="11">
        <v>0.54166666666666663</v>
      </c>
      <c r="F143" s="12">
        <v>24551</v>
      </c>
      <c r="G143" s="13">
        <v>87</v>
      </c>
      <c r="H143" s="13">
        <v>66280</v>
      </c>
      <c r="I143" s="13">
        <v>509</v>
      </c>
    </row>
    <row r="144" spans="1:9" x14ac:dyDescent="0.3">
      <c r="A144" s="9" t="s">
        <v>290</v>
      </c>
      <c r="B144" s="10">
        <v>45844</v>
      </c>
      <c r="C144" s="9" t="s">
        <v>149</v>
      </c>
      <c r="D144" s="11">
        <v>0.54166666666666663</v>
      </c>
      <c r="E144" s="11">
        <v>0.625</v>
      </c>
      <c r="F144" s="12">
        <v>43010</v>
      </c>
      <c r="G144" s="13">
        <v>152</v>
      </c>
      <c r="H144" s="13">
        <v>127883</v>
      </c>
      <c r="I144" s="13">
        <v>784</v>
      </c>
    </row>
    <row r="145" spans="1:9" x14ac:dyDescent="0.3">
      <c r="A145" s="9" t="s">
        <v>291</v>
      </c>
      <c r="B145" s="10">
        <v>45844</v>
      </c>
      <c r="C145" s="9" t="s">
        <v>147</v>
      </c>
      <c r="D145" s="11">
        <v>0.66666666666666663</v>
      </c>
      <c r="E145" s="11">
        <v>0.79166666666666663</v>
      </c>
      <c r="F145" s="12">
        <v>58219</v>
      </c>
      <c r="G145" s="13">
        <v>163</v>
      </c>
      <c r="H145" s="13">
        <v>212009</v>
      </c>
      <c r="I145" s="13">
        <v>2299</v>
      </c>
    </row>
    <row r="146" spans="1:9" x14ac:dyDescent="0.3">
      <c r="A146" s="9" t="s">
        <v>292</v>
      </c>
      <c r="B146" s="10">
        <v>45844</v>
      </c>
      <c r="C146" s="9" t="s">
        <v>149</v>
      </c>
      <c r="D146" s="11">
        <v>0.79166666666666663</v>
      </c>
      <c r="E146" s="11">
        <v>0.89583333333333337</v>
      </c>
      <c r="F146" s="12">
        <v>38486</v>
      </c>
      <c r="G146" s="13">
        <v>139</v>
      </c>
      <c r="H146" s="13">
        <v>158447</v>
      </c>
      <c r="I146" s="13">
        <v>1943</v>
      </c>
    </row>
    <row r="147" spans="1:9" x14ac:dyDescent="0.3">
      <c r="A147" s="9" t="s">
        <v>293</v>
      </c>
      <c r="B147" s="10">
        <v>45845</v>
      </c>
      <c r="C147" s="9" t="s">
        <v>149</v>
      </c>
      <c r="D147" s="11">
        <v>0.54166666666666663</v>
      </c>
      <c r="E147" s="11">
        <v>0.625</v>
      </c>
      <c r="F147" s="12">
        <v>20249</v>
      </c>
      <c r="G147" s="13">
        <v>60</v>
      </c>
      <c r="H147" s="13">
        <v>89747</v>
      </c>
      <c r="I147" s="13">
        <v>813</v>
      </c>
    </row>
    <row r="148" spans="1:9" x14ac:dyDescent="0.3">
      <c r="A148" s="9" t="s">
        <v>294</v>
      </c>
      <c r="B148" s="10">
        <v>45845</v>
      </c>
      <c r="C148" s="9" t="s">
        <v>149</v>
      </c>
      <c r="D148" s="11">
        <v>0.66666666666666663</v>
      </c>
      <c r="E148" s="11">
        <v>0.79166666666666663</v>
      </c>
      <c r="F148" s="12">
        <v>18780</v>
      </c>
      <c r="G148" s="13">
        <v>46</v>
      </c>
      <c r="H148" s="13">
        <v>59389</v>
      </c>
      <c r="I148" s="13">
        <v>656</v>
      </c>
    </row>
    <row r="149" spans="1:9" x14ac:dyDescent="0.3">
      <c r="A149" s="9" t="s">
        <v>295</v>
      </c>
      <c r="B149" s="10">
        <v>45845</v>
      </c>
      <c r="C149" s="9" t="s">
        <v>147</v>
      </c>
      <c r="D149" s="11">
        <v>0.79166666666666663</v>
      </c>
      <c r="E149" s="11">
        <v>0.85416666666666663</v>
      </c>
      <c r="F149" s="12">
        <v>22044</v>
      </c>
      <c r="G149" s="13">
        <v>56</v>
      </c>
      <c r="H149" s="13">
        <v>79439</v>
      </c>
      <c r="I149" s="13">
        <v>998</v>
      </c>
    </row>
    <row r="150" spans="1:9" x14ac:dyDescent="0.3">
      <c r="A150" s="9" t="s">
        <v>296</v>
      </c>
      <c r="B150" s="10">
        <v>45845</v>
      </c>
      <c r="C150" s="9" t="s">
        <v>147</v>
      </c>
      <c r="D150" s="11">
        <v>0.91666666666666663</v>
      </c>
      <c r="E150" s="11">
        <v>2.0833333333333329E-2</v>
      </c>
      <c r="F150" s="12">
        <v>48797</v>
      </c>
      <c r="G150" s="13">
        <v>155</v>
      </c>
      <c r="H150" s="13">
        <v>98141</v>
      </c>
      <c r="I150" s="13">
        <v>674</v>
      </c>
    </row>
    <row r="151" spans="1:9" x14ac:dyDescent="0.3">
      <c r="A151" s="9" t="s">
        <v>297</v>
      </c>
      <c r="B151" s="10">
        <v>45846</v>
      </c>
      <c r="C151" s="9" t="s">
        <v>147</v>
      </c>
      <c r="D151" s="11">
        <v>0.41666666666666669</v>
      </c>
      <c r="E151" s="11">
        <v>0.54166666666666663</v>
      </c>
      <c r="F151" s="12">
        <v>25724</v>
      </c>
      <c r="G151" s="13">
        <v>84</v>
      </c>
      <c r="H151" s="13">
        <v>101255</v>
      </c>
      <c r="I151" s="13">
        <v>454</v>
      </c>
    </row>
    <row r="152" spans="1:9" x14ac:dyDescent="0.3">
      <c r="A152" s="9" t="s">
        <v>298</v>
      </c>
      <c r="B152" s="10">
        <v>45846</v>
      </c>
      <c r="C152" s="9" t="s">
        <v>151</v>
      </c>
      <c r="D152" s="11">
        <v>0.66666666666666663</v>
      </c>
      <c r="E152" s="11">
        <v>0.72916666666666663</v>
      </c>
      <c r="F152" s="12">
        <v>26853</v>
      </c>
      <c r="G152" s="13">
        <v>83</v>
      </c>
      <c r="H152" s="13">
        <v>78359</v>
      </c>
      <c r="I152" s="13">
        <v>827</v>
      </c>
    </row>
    <row r="153" spans="1:9" x14ac:dyDescent="0.3">
      <c r="A153" s="9" t="s">
        <v>299</v>
      </c>
      <c r="B153" s="10">
        <v>45846</v>
      </c>
      <c r="C153" s="9" t="s">
        <v>149</v>
      </c>
      <c r="D153" s="11">
        <v>0.79166666666666663</v>
      </c>
      <c r="E153" s="11">
        <v>0.875</v>
      </c>
      <c r="F153" s="12">
        <v>29728</v>
      </c>
      <c r="G153" s="13">
        <v>97</v>
      </c>
      <c r="H153" s="13">
        <v>94183</v>
      </c>
      <c r="I153" s="13">
        <v>1154</v>
      </c>
    </row>
    <row r="154" spans="1:9" x14ac:dyDescent="0.3">
      <c r="A154" s="9" t="s">
        <v>300</v>
      </c>
      <c r="B154" s="10">
        <v>45846</v>
      </c>
      <c r="C154" s="9" t="s">
        <v>147</v>
      </c>
      <c r="D154" s="11">
        <v>0.91666666666666663</v>
      </c>
      <c r="E154" s="11">
        <v>4.1666666666666657E-2</v>
      </c>
      <c r="F154" s="12">
        <v>37614</v>
      </c>
      <c r="G154" s="13">
        <v>108</v>
      </c>
      <c r="H154" s="13">
        <v>124028</v>
      </c>
      <c r="I154" s="13">
        <v>1117</v>
      </c>
    </row>
    <row r="155" spans="1:9" x14ac:dyDescent="0.3">
      <c r="A155" s="9" t="s">
        <v>301</v>
      </c>
      <c r="B155" s="10">
        <v>45847</v>
      </c>
      <c r="C155" s="9" t="s">
        <v>149</v>
      </c>
      <c r="D155" s="11">
        <v>0.41666666666666669</v>
      </c>
      <c r="E155" s="11">
        <v>0.5</v>
      </c>
      <c r="F155" s="12">
        <v>14031</v>
      </c>
      <c r="G155" s="13">
        <v>44</v>
      </c>
      <c r="H155" s="13">
        <v>49052</v>
      </c>
      <c r="I155" s="13">
        <v>629</v>
      </c>
    </row>
    <row r="156" spans="1:9" x14ac:dyDescent="0.3">
      <c r="A156" s="9" t="s">
        <v>302</v>
      </c>
      <c r="B156" s="10">
        <v>45847</v>
      </c>
      <c r="C156" s="9" t="s">
        <v>160</v>
      </c>
      <c r="D156" s="11">
        <v>0.54166666666666663</v>
      </c>
      <c r="E156" s="11">
        <v>0.64583333333333337</v>
      </c>
      <c r="F156" s="12">
        <v>10077</v>
      </c>
      <c r="G156" s="13">
        <v>39</v>
      </c>
      <c r="H156" s="13">
        <v>43668</v>
      </c>
      <c r="I156" s="13">
        <v>209</v>
      </c>
    </row>
    <row r="157" spans="1:9" x14ac:dyDescent="0.3">
      <c r="A157" s="9" t="s">
        <v>303</v>
      </c>
      <c r="B157" s="10">
        <v>45847</v>
      </c>
      <c r="C157" s="9" t="s">
        <v>149</v>
      </c>
      <c r="D157" s="11">
        <v>0.66666666666666663</v>
      </c>
      <c r="E157" s="11">
        <v>0.75</v>
      </c>
      <c r="F157" s="12">
        <v>17421</v>
      </c>
      <c r="G157" s="13">
        <v>53</v>
      </c>
      <c r="H157" s="13">
        <v>48385</v>
      </c>
      <c r="I157" s="13">
        <v>232</v>
      </c>
    </row>
    <row r="158" spans="1:9" x14ac:dyDescent="0.3">
      <c r="A158" s="9" t="s">
        <v>304</v>
      </c>
      <c r="B158" s="10">
        <v>45847</v>
      </c>
      <c r="C158" s="9" t="s">
        <v>147</v>
      </c>
      <c r="D158" s="11">
        <v>0.79166666666666663</v>
      </c>
      <c r="E158" s="11">
        <v>0.875</v>
      </c>
      <c r="F158" s="12">
        <v>29095</v>
      </c>
      <c r="G158" s="13">
        <v>83</v>
      </c>
      <c r="H158" s="13">
        <v>155841</v>
      </c>
      <c r="I158" s="13">
        <v>1493</v>
      </c>
    </row>
    <row r="159" spans="1:9" x14ac:dyDescent="0.3">
      <c r="A159" s="9" t="s">
        <v>305</v>
      </c>
      <c r="B159" s="10">
        <v>45847</v>
      </c>
      <c r="C159" s="9" t="s">
        <v>149</v>
      </c>
      <c r="D159" s="11">
        <v>0.91666666666666663</v>
      </c>
      <c r="E159" s="11">
        <v>2.0833333333333329E-2</v>
      </c>
      <c r="F159" s="12">
        <v>17853</v>
      </c>
      <c r="G159" s="13">
        <v>54</v>
      </c>
      <c r="H159" s="13">
        <v>57456</v>
      </c>
      <c r="I159" s="13">
        <v>338</v>
      </c>
    </row>
    <row r="160" spans="1:9" x14ac:dyDescent="0.3">
      <c r="A160" s="9" t="s">
        <v>306</v>
      </c>
      <c r="B160" s="10">
        <v>45848</v>
      </c>
      <c r="C160" s="9" t="s">
        <v>160</v>
      </c>
      <c r="D160" s="11">
        <v>0.41666666666666669</v>
      </c>
      <c r="E160" s="11">
        <v>0.5</v>
      </c>
      <c r="F160" s="12">
        <v>14695</v>
      </c>
      <c r="G160" s="13">
        <v>44</v>
      </c>
      <c r="H160" s="13">
        <v>57334</v>
      </c>
      <c r="I160" s="13">
        <v>275</v>
      </c>
    </row>
    <row r="161" spans="1:9" x14ac:dyDescent="0.3">
      <c r="A161" s="9" t="s">
        <v>307</v>
      </c>
      <c r="B161" s="10">
        <v>45848</v>
      </c>
      <c r="C161" s="9" t="s">
        <v>151</v>
      </c>
      <c r="D161" s="11">
        <v>0.66666666666666663</v>
      </c>
      <c r="E161" s="11">
        <v>0.79166666666666663</v>
      </c>
      <c r="F161" s="12">
        <v>72213</v>
      </c>
      <c r="G161" s="13">
        <v>201</v>
      </c>
      <c r="H161" s="13">
        <v>199605</v>
      </c>
      <c r="I161" s="13">
        <v>1874</v>
      </c>
    </row>
    <row r="162" spans="1:9" x14ac:dyDescent="0.3">
      <c r="A162" s="9" t="s">
        <v>308</v>
      </c>
      <c r="B162" s="10">
        <v>45848</v>
      </c>
      <c r="C162" s="9" t="s">
        <v>149</v>
      </c>
      <c r="D162" s="11">
        <v>0.79166666666666663</v>
      </c>
      <c r="E162" s="11">
        <v>0.875</v>
      </c>
      <c r="F162" s="12">
        <v>14740</v>
      </c>
      <c r="G162" s="13">
        <v>39</v>
      </c>
      <c r="H162" s="13">
        <v>48813</v>
      </c>
      <c r="I162" s="13">
        <v>408</v>
      </c>
    </row>
    <row r="163" spans="1:9" x14ac:dyDescent="0.3">
      <c r="A163" s="9" t="s">
        <v>309</v>
      </c>
      <c r="B163" s="10">
        <v>45848</v>
      </c>
      <c r="C163" s="9" t="s">
        <v>160</v>
      </c>
      <c r="D163" s="11">
        <v>0.91666666666666663</v>
      </c>
      <c r="E163" s="11">
        <v>2.0833333333333329E-2</v>
      </c>
      <c r="F163" s="12">
        <v>22728</v>
      </c>
      <c r="G163" s="13">
        <v>62</v>
      </c>
      <c r="H163" s="13">
        <v>135402</v>
      </c>
      <c r="I163" s="13">
        <v>1546</v>
      </c>
    </row>
    <row r="164" spans="1:9" x14ac:dyDescent="0.3">
      <c r="A164" s="9" t="s">
        <v>310</v>
      </c>
      <c r="B164" s="10">
        <v>45849</v>
      </c>
      <c r="C164" s="9" t="s">
        <v>147</v>
      </c>
      <c r="D164" s="11">
        <v>0.66666666666666663</v>
      </c>
      <c r="E164" s="11">
        <v>0.77083333333333337</v>
      </c>
      <c r="F164" s="12">
        <v>55047</v>
      </c>
      <c r="G164" s="13">
        <v>186</v>
      </c>
      <c r="H164" s="13">
        <v>122144</v>
      </c>
      <c r="I164" s="13">
        <v>1310</v>
      </c>
    </row>
    <row r="165" spans="1:9" x14ac:dyDescent="0.3">
      <c r="A165" s="9" t="s">
        <v>311</v>
      </c>
      <c r="B165" s="10">
        <v>45849</v>
      </c>
      <c r="C165" s="9" t="s">
        <v>151</v>
      </c>
      <c r="D165" s="11">
        <v>0.79166666666666663</v>
      </c>
      <c r="E165" s="11">
        <v>0.875</v>
      </c>
      <c r="F165" s="12">
        <v>58865</v>
      </c>
      <c r="G165" s="13">
        <v>198</v>
      </c>
      <c r="H165" s="13">
        <v>227137</v>
      </c>
      <c r="I165" s="13">
        <v>964</v>
      </c>
    </row>
    <row r="166" spans="1:9" x14ac:dyDescent="0.3">
      <c r="A166" s="9" t="s">
        <v>312</v>
      </c>
      <c r="B166" s="10">
        <v>45850</v>
      </c>
      <c r="C166" s="9" t="s">
        <v>147</v>
      </c>
      <c r="D166" s="11">
        <v>0.41666666666666669</v>
      </c>
      <c r="E166" s="11">
        <v>0.5</v>
      </c>
      <c r="F166" s="12">
        <v>24689</v>
      </c>
      <c r="G166" s="13">
        <v>63</v>
      </c>
      <c r="H166" s="13">
        <v>103085</v>
      </c>
      <c r="I166" s="13">
        <v>820</v>
      </c>
    </row>
    <row r="167" spans="1:9" x14ac:dyDescent="0.3">
      <c r="A167" s="9" t="s">
        <v>313</v>
      </c>
      <c r="B167" s="10">
        <v>45850</v>
      </c>
      <c r="C167" s="9" t="s">
        <v>147</v>
      </c>
      <c r="D167" s="11">
        <v>0.54166666666666663</v>
      </c>
      <c r="E167" s="11">
        <v>0.66666666666666663</v>
      </c>
      <c r="F167" s="12">
        <v>25229</v>
      </c>
      <c r="G167" s="13">
        <v>67</v>
      </c>
      <c r="H167" s="13">
        <v>107903</v>
      </c>
      <c r="I167" s="13">
        <v>1290</v>
      </c>
    </row>
    <row r="168" spans="1:9" x14ac:dyDescent="0.3">
      <c r="A168" s="9" t="s">
        <v>314</v>
      </c>
      <c r="B168" s="10">
        <v>45850</v>
      </c>
      <c r="C168" s="9" t="s">
        <v>151</v>
      </c>
      <c r="D168" s="11">
        <v>0.79166666666666663</v>
      </c>
      <c r="E168" s="11">
        <v>0.91666666666666663</v>
      </c>
      <c r="F168" s="12">
        <v>103115</v>
      </c>
      <c r="G168" s="13">
        <v>303</v>
      </c>
      <c r="H168" s="13">
        <v>357590</v>
      </c>
      <c r="I168" s="13">
        <v>1695</v>
      </c>
    </row>
    <row r="169" spans="1:9" x14ac:dyDescent="0.3">
      <c r="A169" s="9" t="s">
        <v>315</v>
      </c>
      <c r="B169" s="10">
        <v>45850</v>
      </c>
      <c r="C169" s="9" t="s">
        <v>147</v>
      </c>
      <c r="D169" s="11">
        <v>0.91666666666666663</v>
      </c>
      <c r="E169" s="11">
        <v>0.97916666666666663</v>
      </c>
      <c r="F169" s="12">
        <v>15704</v>
      </c>
      <c r="G169" s="13">
        <v>49</v>
      </c>
      <c r="H169" s="13">
        <v>51203</v>
      </c>
      <c r="I169" s="13">
        <v>377</v>
      </c>
    </row>
    <row r="170" spans="1:9" x14ac:dyDescent="0.3">
      <c r="A170" s="9" t="s">
        <v>316</v>
      </c>
      <c r="B170" s="10">
        <v>45851</v>
      </c>
      <c r="C170" s="9" t="s">
        <v>147</v>
      </c>
      <c r="D170" s="11">
        <v>0.41666666666666669</v>
      </c>
      <c r="E170" s="11">
        <v>0.54166666666666663</v>
      </c>
      <c r="F170" s="12">
        <v>24033</v>
      </c>
      <c r="G170" s="13">
        <v>73</v>
      </c>
      <c r="H170" s="13">
        <v>108189</v>
      </c>
      <c r="I170" s="13">
        <v>1305</v>
      </c>
    </row>
    <row r="171" spans="1:9" x14ac:dyDescent="0.3">
      <c r="A171" s="9" t="s">
        <v>317</v>
      </c>
      <c r="B171" s="10">
        <v>45851</v>
      </c>
      <c r="C171" s="9" t="s">
        <v>151</v>
      </c>
      <c r="D171" s="11">
        <v>0.54166666666666663</v>
      </c>
      <c r="E171" s="11">
        <v>0.66666666666666663</v>
      </c>
      <c r="F171" s="12">
        <v>56803</v>
      </c>
      <c r="G171" s="13">
        <v>174</v>
      </c>
      <c r="H171" s="13">
        <v>214726</v>
      </c>
      <c r="I171" s="13">
        <v>1596</v>
      </c>
    </row>
    <row r="172" spans="1:9" x14ac:dyDescent="0.3">
      <c r="A172" s="9" t="s">
        <v>318</v>
      </c>
      <c r="B172" s="10">
        <v>45851</v>
      </c>
      <c r="C172" s="9" t="s">
        <v>147</v>
      </c>
      <c r="D172" s="11">
        <v>0.66666666666666663</v>
      </c>
      <c r="E172" s="11">
        <v>0.75</v>
      </c>
      <c r="F172" s="12">
        <v>34872</v>
      </c>
      <c r="G172" s="13">
        <v>109</v>
      </c>
      <c r="H172" s="13">
        <v>113629</v>
      </c>
      <c r="I172" s="13">
        <v>852</v>
      </c>
    </row>
    <row r="173" spans="1:9" x14ac:dyDescent="0.3">
      <c r="A173" s="9" t="s">
        <v>319</v>
      </c>
      <c r="B173" s="10">
        <v>45851</v>
      </c>
      <c r="C173" s="9" t="s">
        <v>147</v>
      </c>
      <c r="D173" s="11">
        <v>0.79166666666666663</v>
      </c>
      <c r="E173" s="11">
        <v>0.91666666666666663</v>
      </c>
      <c r="F173" s="12">
        <v>57731</v>
      </c>
      <c r="G173" s="13">
        <v>135</v>
      </c>
      <c r="H173" s="13">
        <v>167403</v>
      </c>
      <c r="I173" s="13">
        <v>1136</v>
      </c>
    </row>
    <row r="174" spans="1:9" x14ac:dyDescent="0.3">
      <c r="A174" s="9" t="s">
        <v>320</v>
      </c>
      <c r="B174" s="10">
        <v>45851</v>
      </c>
      <c r="C174" s="9" t="s">
        <v>147</v>
      </c>
      <c r="D174" s="11">
        <v>0.91666666666666663</v>
      </c>
      <c r="E174" s="11">
        <v>2.0833333333333329E-2</v>
      </c>
      <c r="F174" s="12">
        <v>21825</v>
      </c>
      <c r="G174" s="13">
        <v>61</v>
      </c>
      <c r="H174" s="13">
        <v>47760</v>
      </c>
      <c r="I174" s="13">
        <v>482</v>
      </c>
    </row>
    <row r="175" spans="1:9" x14ac:dyDescent="0.3">
      <c r="A175" s="9" t="s">
        <v>321</v>
      </c>
      <c r="B175" s="10">
        <v>45852</v>
      </c>
      <c r="C175" s="9" t="s">
        <v>149</v>
      </c>
      <c r="D175" s="11">
        <v>0.54166666666666663</v>
      </c>
      <c r="E175" s="11">
        <v>0.64583333333333337</v>
      </c>
      <c r="F175" s="12">
        <v>15371</v>
      </c>
      <c r="G175" s="13">
        <v>44</v>
      </c>
      <c r="H175" s="13">
        <v>42516</v>
      </c>
      <c r="I175" s="13">
        <v>239</v>
      </c>
    </row>
    <row r="176" spans="1:9" x14ac:dyDescent="0.3">
      <c r="A176" s="9" t="s">
        <v>322</v>
      </c>
      <c r="B176" s="10">
        <v>45852</v>
      </c>
      <c r="C176" s="9" t="s">
        <v>149</v>
      </c>
      <c r="D176" s="11">
        <v>0.79166666666666663</v>
      </c>
      <c r="E176" s="11">
        <v>0.875</v>
      </c>
      <c r="F176" s="12">
        <v>33263</v>
      </c>
      <c r="G176" s="13">
        <v>85</v>
      </c>
      <c r="H176" s="13">
        <v>67924</v>
      </c>
      <c r="I176" s="13">
        <v>716</v>
      </c>
    </row>
    <row r="177" spans="1:9" x14ac:dyDescent="0.3">
      <c r="A177" s="9" t="s">
        <v>323</v>
      </c>
      <c r="B177" s="10">
        <v>45852</v>
      </c>
      <c r="C177" s="9" t="s">
        <v>219</v>
      </c>
      <c r="D177" s="11">
        <v>0.91666666666666663</v>
      </c>
      <c r="E177" s="11">
        <v>0.97916666666666663</v>
      </c>
      <c r="F177" s="12">
        <v>16451</v>
      </c>
      <c r="G177" s="13">
        <v>43</v>
      </c>
      <c r="H177" s="13">
        <v>56436</v>
      </c>
      <c r="I177" s="13">
        <v>426</v>
      </c>
    </row>
    <row r="178" spans="1:9" x14ac:dyDescent="0.3">
      <c r="A178" s="9" t="s">
        <v>324</v>
      </c>
      <c r="B178" s="10">
        <v>45853</v>
      </c>
      <c r="C178" s="9" t="s">
        <v>160</v>
      </c>
      <c r="D178" s="11">
        <v>0.54166666666666663</v>
      </c>
      <c r="E178" s="11">
        <v>0.66666666666666663</v>
      </c>
      <c r="F178" s="12">
        <v>9271</v>
      </c>
      <c r="G178" s="13">
        <v>27</v>
      </c>
      <c r="H178" s="13">
        <v>28557</v>
      </c>
      <c r="I178" s="13">
        <v>138</v>
      </c>
    </row>
    <row r="179" spans="1:9" x14ac:dyDescent="0.3">
      <c r="A179" s="9" t="s">
        <v>325</v>
      </c>
      <c r="B179" s="10">
        <v>45853</v>
      </c>
      <c r="C179" s="9" t="s">
        <v>160</v>
      </c>
      <c r="D179" s="11">
        <v>0.66666666666666663</v>
      </c>
      <c r="E179" s="11">
        <v>0.72916666666666663</v>
      </c>
      <c r="F179" s="12">
        <v>10446</v>
      </c>
      <c r="G179" s="13">
        <v>30</v>
      </c>
      <c r="H179" s="13">
        <v>37359</v>
      </c>
      <c r="I179" s="13">
        <v>406</v>
      </c>
    </row>
    <row r="180" spans="1:9" x14ac:dyDescent="0.3">
      <c r="A180" s="9" t="s">
        <v>326</v>
      </c>
      <c r="B180" s="10">
        <v>45853</v>
      </c>
      <c r="C180" s="9" t="s">
        <v>151</v>
      </c>
      <c r="D180" s="11">
        <v>0.79166666666666663</v>
      </c>
      <c r="E180" s="11">
        <v>0.875</v>
      </c>
      <c r="F180" s="12">
        <v>50327</v>
      </c>
      <c r="G180" s="13">
        <v>149</v>
      </c>
      <c r="H180" s="13">
        <v>193755</v>
      </c>
      <c r="I180" s="13">
        <v>1624</v>
      </c>
    </row>
    <row r="181" spans="1:9" x14ac:dyDescent="0.3">
      <c r="A181" s="9" t="s">
        <v>327</v>
      </c>
      <c r="B181" s="10">
        <v>45853</v>
      </c>
      <c r="C181" s="9" t="s">
        <v>160</v>
      </c>
      <c r="D181" s="11">
        <v>0.91666666666666663</v>
      </c>
      <c r="E181" s="11">
        <v>0</v>
      </c>
      <c r="F181" s="12">
        <v>13671</v>
      </c>
      <c r="G181" s="13">
        <v>41</v>
      </c>
      <c r="H181" s="13">
        <v>63109</v>
      </c>
      <c r="I181" s="13">
        <v>751</v>
      </c>
    </row>
    <row r="182" spans="1:9" x14ac:dyDescent="0.3">
      <c r="A182" s="9" t="s">
        <v>328</v>
      </c>
      <c r="B182" s="10">
        <v>45854</v>
      </c>
      <c r="C182" s="9" t="s">
        <v>147</v>
      </c>
      <c r="D182" s="11">
        <v>0.66666666666666663</v>
      </c>
      <c r="E182" s="11">
        <v>0.75</v>
      </c>
      <c r="F182" s="12">
        <v>34743</v>
      </c>
      <c r="G182" s="13">
        <v>101</v>
      </c>
      <c r="H182" s="13">
        <v>108330</v>
      </c>
      <c r="I182" s="13">
        <v>676</v>
      </c>
    </row>
    <row r="183" spans="1:9" x14ac:dyDescent="0.3">
      <c r="A183" s="9" t="s">
        <v>329</v>
      </c>
      <c r="B183" s="10">
        <v>45854</v>
      </c>
      <c r="C183" s="9" t="s">
        <v>149</v>
      </c>
      <c r="D183" s="11">
        <v>0.79166666666666663</v>
      </c>
      <c r="E183" s="11">
        <v>0.91666666666666663</v>
      </c>
      <c r="F183" s="12">
        <v>9087</v>
      </c>
      <c r="G183" s="13">
        <v>27</v>
      </c>
      <c r="H183" s="13">
        <v>33636</v>
      </c>
      <c r="I183" s="13">
        <v>401</v>
      </c>
    </row>
    <row r="184" spans="1:9" x14ac:dyDescent="0.3">
      <c r="A184" s="9" t="s">
        <v>330</v>
      </c>
      <c r="B184" s="10">
        <v>45854</v>
      </c>
      <c r="C184" s="9" t="s">
        <v>160</v>
      </c>
      <c r="D184" s="11">
        <v>0.91666666666666663</v>
      </c>
      <c r="E184" s="11">
        <v>4.1666666666666657E-2</v>
      </c>
      <c r="F184" s="12">
        <v>36390</v>
      </c>
      <c r="G184" s="13">
        <v>113</v>
      </c>
      <c r="H184" s="13">
        <v>68168</v>
      </c>
      <c r="I184" s="13">
        <v>773</v>
      </c>
    </row>
    <row r="185" spans="1:9" x14ac:dyDescent="0.3">
      <c r="A185" s="9" t="s">
        <v>331</v>
      </c>
      <c r="B185" s="10">
        <v>45855</v>
      </c>
      <c r="C185" s="9" t="s">
        <v>147</v>
      </c>
      <c r="D185" s="11">
        <v>0.54166666666666663</v>
      </c>
      <c r="E185" s="11">
        <v>0.64583333333333337</v>
      </c>
      <c r="F185" s="12">
        <v>61011</v>
      </c>
      <c r="G185" s="13">
        <v>187</v>
      </c>
      <c r="H185" s="13">
        <v>275293</v>
      </c>
      <c r="I185" s="13">
        <v>1502</v>
      </c>
    </row>
    <row r="186" spans="1:9" x14ac:dyDescent="0.3">
      <c r="A186" s="9" t="s">
        <v>332</v>
      </c>
      <c r="B186" s="10">
        <v>45855</v>
      </c>
      <c r="C186" s="9" t="s">
        <v>219</v>
      </c>
      <c r="D186" s="11">
        <v>0.66666666666666663</v>
      </c>
      <c r="E186" s="11">
        <v>0.75</v>
      </c>
      <c r="F186" s="12">
        <v>20885</v>
      </c>
      <c r="G186" s="13">
        <v>65</v>
      </c>
      <c r="H186" s="13">
        <v>63890</v>
      </c>
      <c r="I186" s="13">
        <v>636</v>
      </c>
    </row>
    <row r="187" spans="1:9" x14ac:dyDescent="0.3">
      <c r="A187" s="9" t="s">
        <v>333</v>
      </c>
      <c r="B187" s="10">
        <v>45855</v>
      </c>
      <c r="C187" s="9" t="s">
        <v>151</v>
      </c>
      <c r="D187" s="11">
        <v>0.79166666666666663</v>
      </c>
      <c r="E187" s="11">
        <v>0.89583333333333337</v>
      </c>
      <c r="F187" s="12">
        <v>50825</v>
      </c>
      <c r="G187" s="13">
        <v>127</v>
      </c>
      <c r="H187" s="13">
        <v>167975</v>
      </c>
      <c r="I187" s="13">
        <v>1329</v>
      </c>
    </row>
    <row r="188" spans="1:9" x14ac:dyDescent="0.3">
      <c r="A188" s="9" t="s">
        <v>334</v>
      </c>
      <c r="B188" s="10">
        <v>45855</v>
      </c>
      <c r="C188" s="9" t="s">
        <v>149</v>
      </c>
      <c r="D188" s="11">
        <v>0.91666666666666663</v>
      </c>
      <c r="E188" s="11">
        <v>0</v>
      </c>
      <c r="F188" s="12">
        <v>13224</v>
      </c>
      <c r="G188" s="13">
        <v>43</v>
      </c>
      <c r="H188" s="13">
        <v>47662</v>
      </c>
      <c r="I188" s="13">
        <v>362</v>
      </c>
    </row>
    <row r="189" spans="1:9" x14ac:dyDescent="0.3">
      <c r="A189" s="9" t="s">
        <v>335</v>
      </c>
      <c r="B189" s="10">
        <v>45856</v>
      </c>
      <c r="C189" s="9" t="s">
        <v>160</v>
      </c>
      <c r="D189" s="11">
        <v>0.41666666666666669</v>
      </c>
      <c r="E189" s="11">
        <v>0.54166666666666663</v>
      </c>
      <c r="F189" s="12">
        <v>37816</v>
      </c>
      <c r="G189" s="13">
        <v>106</v>
      </c>
      <c r="H189" s="13">
        <v>158869</v>
      </c>
      <c r="I189" s="13">
        <v>1534</v>
      </c>
    </row>
    <row r="190" spans="1:9" x14ac:dyDescent="0.3">
      <c r="A190" s="9" t="s">
        <v>336</v>
      </c>
      <c r="B190" s="10">
        <v>45856</v>
      </c>
      <c r="C190" s="9" t="s">
        <v>160</v>
      </c>
      <c r="D190" s="11">
        <v>0.54166666666666663</v>
      </c>
      <c r="E190" s="11">
        <v>0.64583333333333337</v>
      </c>
      <c r="F190" s="12">
        <v>26314</v>
      </c>
      <c r="G190" s="13">
        <v>78</v>
      </c>
      <c r="H190" s="13">
        <v>54693</v>
      </c>
      <c r="I190" s="13">
        <v>539</v>
      </c>
    </row>
    <row r="191" spans="1:9" x14ac:dyDescent="0.3">
      <c r="A191" s="9" t="s">
        <v>337</v>
      </c>
      <c r="B191" s="10">
        <v>45856</v>
      </c>
      <c r="C191" s="9" t="s">
        <v>149</v>
      </c>
      <c r="D191" s="11">
        <v>0.66666666666666663</v>
      </c>
      <c r="E191" s="11">
        <v>0.79166666666666663</v>
      </c>
      <c r="F191" s="12">
        <v>25555</v>
      </c>
      <c r="G191" s="13">
        <v>74</v>
      </c>
      <c r="H191" s="13">
        <v>68369</v>
      </c>
      <c r="I191" s="13">
        <v>677</v>
      </c>
    </row>
    <row r="192" spans="1:9" x14ac:dyDescent="0.3">
      <c r="A192" s="9" t="s">
        <v>338</v>
      </c>
      <c r="B192" s="10">
        <v>45856</v>
      </c>
      <c r="C192" s="9" t="s">
        <v>149</v>
      </c>
      <c r="D192" s="11">
        <v>0.79166666666666663</v>
      </c>
      <c r="E192" s="11">
        <v>0.875</v>
      </c>
      <c r="F192" s="12">
        <v>21881</v>
      </c>
      <c r="G192" s="13">
        <v>71</v>
      </c>
      <c r="H192" s="13">
        <v>81836</v>
      </c>
      <c r="I192" s="13">
        <v>966</v>
      </c>
    </row>
    <row r="193" spans="1:9" x14ac:dyDescent="0.3">
      <c r="A193" s="9" t="s">
        <v>339</v>
      </c>
      <c r="B193" s="10">
        <v>45856</v>
      </c>
      <c r="C193" s="9" t="s">
        <v>149</v>
      </c>
      <c r="D193" s="11">
        <v>0.91666666666666663</v>
      </c>
      <c r="E193" s="11">
        <v>2.0833333333333329E-2</v>
      </c>
      <c r="F193" s="12">
        <v>35803</v>
      </c>
      <c r="G193" s="13">
        <v>106</v>
      </c>
      <c r="H193" s="13">
        <v>136284</v>
      </c>
      <c r="I193" s="13">
        <v>1236</v>
      </c>
    </row>
    <row r="194" spans="1:9" x14ac:dyDescent="0.3">
      <c r="A194" s="9" t="s">
        <v>340</v>
      </c>
      <c r="B194" s="10">
        <v>45857</v>
      </c>
      <c r="C194" s="9" t="s">
        <v>219</v>
      </c>
      <c r="D194" s="11">
        <v>0.54166666666666663</v>
      </c>
      <c r="E194" s="11">
        <v>0.625</v>
      </c>
      <c r="F194" s="12">
        <v>16265</v>
      </c>
      <c r="G194" s="13">
        <v>51</v>
      </c>
      <c r="H194" s="13">
        <v>29214</v>
      </c>
      <c r="I194" s="13">
        <v>148</v>
      </c>
    </row>
    <row r="195" spans="1:9" x14ac:dyDescent="0.3">
      <c r="A195" s="9" t="s">
        <v>341</v>
      </c>
      <c r="B195" s="10">
        <v>45857</v>
      </c>
      <c r="C195" s="9" t="s">
        <v>147</v>
      </c>
      <c r="D195" s="11">
        <v>0.66666666666666663</v>
      </c>
      <c r="E195" s="11">
        <v>0.75</v>
      </c>
      <c r="F195" s="12">
        <v>43552</v>
      </c>
      <c r="G195" s="13">
        <v>118</v>
      </c>
      <c r="H195" s="13">
        <v>194146</v>
      </c>
      <c r="I195" s="13">
        <v>2513</v>
      </c>
    </row>
    <row r="196" spans="1:9" x14ac:dyDescent="0.3">
      <c r="A196" s="9" t="s">
        <v>342</v>
      </c>
      <c r="B196" s="10">
        <v>45857</v>
      </c>
      <c r="C196" s="9" t="s">
        <v>160</v>
      </c>
      <c r="D196" s="11">
        <v>0.79166666666666663</v>
      </c>
      <c r="E196" s="11">
        <v>0.875</v>
      </c>
      <c r="F196" s="12">
        <v>51938</v>
      </c>
      <c r="G196" s="13">
        <v>160</v>
      </c>
      <c r="H196" s="13">
        <v>168720</v>
      </c>
      <c r="I196" s="13">
        <v>1021</v>
      </c>
    </row>
    <row r="197" spans="1:9" x14ac:dyDescent="0.3">
      <c r="A197" s="9" t="s">
        <v>343</v>
      </c>
      <c r="B197" s="10">
        <v>45858</v>
      </c>
      <c r="C197" s="9" t="s">
        <v>149</v>
      </c>
      <c r="D197" s="11">
        <v>0.41666666666666669</v>
      </c>
      <c r="E197" s="11">
        <v>0.54166666666666663</v>
      </c>
      <c r="F197" s="12">
        <v>24821</v>
      </c>
      <c r="G197" s="13">
        <v>74</v>
      </c>
      <c r="H197" s="13">
        <v>97170</v>
      </c>
      <c r="I197" s="13">
        <v>589</v>
      </c>
    </row>
    <row r="198" spans="1:9" x14ac:dyDescent="0.3">
      <c r="A198" s="9" t="s">
        <v>344</v>
      </c>
      <c r="B198" s="10">
        <v>45858</v>
      </c>
      <c r="C198" s="9" t="s">
        <v>160</v>
      </c>
      <c r="D198" s="11">
        <v>0.66666666666666663</v>
      </c>
      <c r="E198" s="11">
        <v>0.75</v>
      </c>
      <c r="F198" s="12">
        <v>32932</v>
      </c>
      <c r="G198" s="13">
        <v>91</v>
      </c>
      <c r="H198" s="13">
        <v>139631</v>
      </c>
      <c r="I198" s="13">
        <v>922</v>
      </c>
    </row>
    <row r="199" spans="1:9" x14ac:dyDescent="0.3">
      <c r="A199" s="9" t="s">
        <v>345</v>
      </c>
      <c r="B199" s="10">
        <v>45858</v>
      </c>
      <c r="C199" s="9" t="s">
        <v>151</v>
      </c>
      <c r="D199" s="11">
        <v>0.79166666666666663</v>
      </c>
      <c r="E199" s="11">
        <v>0.89583333333333337</v>
      </c>
      <c r="F199" s="12">
        <v>153229</v>
      </c>
      <c r="G199" s="13">
        <v>495</v>
      </c>
      <c r="H199" s="13">
        <v>633742</v>
      </c>
      <c r="I199" s="13">
        <v>3773</v>
      </c>
    </row>
    <row r="200" spans="1:9" x14ac:dyDescent="0.3">
      <c r="A200" s="9" t="s">
        <v>346</v>
      </c>
      <c r="B200" s="10">
        <v>45859</v>
      </c>
      <c r="C200" s="9" t="s">
        <v>160</v>
      </c>
      <c r="D200" s="11">
        <v>0.41666666666666669</v>
      </c>
      <c r="E200" s="11">
        <v>0.5</v>
      </c>
      <c r="F200" s="12">
        <v>10534</v>
      </c>
      <c r="G200" s="13">
        <v>29</v>
      </c>
      <c r="H200" s="13">
        <v>35428</v>
      </c>
      <c r="I200" s="13">
        <v>163</v>
      </c>
    </row>
    <row r="201" spans="1:9" x14ac:dyDescent="0.3">
      <c r="A201" s="9" t="s">
        <v>347</v>
      </c>
      <c r="B201" s="10">
        <v>45859</v>
      </c>
      <c r="C201" s="9" t="s">
        <v>160</v>
      </c>
      <c r="D201" s="11">
        <v>0.54166666666666663</v>
      </c>
      <c r="E201" s="11">
        <v>0.60416666666666663</v>
      </c>
      <c r="F201" s="12">
        <v>14342</v>
      </c>
      <c r="G201" s="13">
        <v>36</v>
      </c>
      <c r="H201" s="13">
        <v>43924</v>
      </c>
      <c r="I201" s="13">
        <v>216</v>
      </c>
    </row>
    <row r="202" spans="1:9" x14ac:dyDescent="0.3">
      <c r="A202" s="9" t="s">
        <v>348</v>
      </c>
      <c r="B202" s="10">
        <v>45859</v>
      </c>
      <c r="C202" s="9" t="s">
        <v>149</v>
      </c>
      <c r="D202" s="11">
        <v>0.66666666666666663</v>
      </c>
      <c r="E202" s="11">
        <v>0.79166666666666663</v>
      </c>
      <c r="F202" s="12">
        <v>20322</v>
      </c>
      <c r="G202" s="13">
        <v>58</v>
      </c>
      <c r="H202" s="13">
        <v>76359</v>
      </c>
      <c r="I202" s="13">
        <v>548</v>
      </c>
    </row>
    <row r="203" spans="1:9" x14ac:dyDescent="0.3">
      <c r="A203" s="9" t="s">
        <v>349</v>
      </c>
      <c r="B203" s="10">
        <v>45859</v>
      </c>
      <c r="C203" s="9" t="s">
        <v>149</v>
      </c>
      <c r="D203" s="11">
        <v>0.79166666666666663</v>
      </c>
      <c r="E203" s="11">
        <v>0.85416666666666663</v>
      </c>
      <c r="F203" s="12">
        <v>20231</v>
      </c>
      <c r="G203" s="13">
        <v>59</v>
      </c>
      <c r="H203" s="13">
        <v>69813</v>
      </c>
      <c r="I203" s="13">
        <v>751</v>
      </c>
    </row>
    <row r="204" spans="1:9" x14ac:dyDescent="0.3">
      <c r="A204" s="9" t="s">
        <v>350</v>
      </c>
      <c r="B204" s="10">
        <v>45859</v>
      </c>
      <c r="C204" s="9" t="s">
        <v>149</v>
      </c>
      <c r="D204" s="11">
        <v>0.91666666666666663</v>
      </c>
      <c r="E204" s="11">
        <v>0</v>
      </c>
      <c r="F204" s="12">
        <v>24553</v>
      </c>
      <c r="G204" s="13">
        <v>84</v>
      </c>
      <c r="H204" s="13">
        <v>72156</v>
      </c>
      <c r="I204" s="13">
        <v>427</v>
      </c>
    </row>
    <row r="205" spans="1:9" x14ac:dyDescent="0.3">
      <c r="A205" s="9" t="s">
        <v>351</v>
      </c>
      <c r="B205" s="10">
        <v>45860</v>
      </c>
      <c r="C205" s="9" t="s">
        <v>160</v>
      </c>
      <c r="D205" s="11">
        <v>0.41666666666666669</v>
      </c>
      <c r="E205" s="11">
        <v>0.54166666666666663</v>
      </c>
      <c r="F205" s="12">
        <v>7300</v>
      </c>
      <c r="G205" s="13">
        <v>20</v>
      </c>
      <c r="H205" s="13">
        <v>19817</v>
      </c>
      <c r="I205" s="13">
        <v>100</v>
      </c>
    </row>
    <row r="206" spans="1:9" x14ac:dyDescent="0.3">
      <c r="A206" s="9" t="s">
        <v>352</v>
      </c>
      <c r="B206" s="10">
        <v>45860</v>
      </c>
      <c r="C206" s="9" t="s">
        <v>149</v>
      </c>
      <c r="D206" s="11">
        <v>0.54166666666666663</v>
      </c>
      <c r="E206" s="11">
        <v>0.625</v>
      </c>
      <c r="F206" s="12">
        <v>9901</v>
      </c>
      <c r="G206" s="13">
        <v>32</v>
      </c>
      <c r="H206" s="13">
        <v>37025</v>
      </c>
      <c r="I206" s="13">
        <v>411</v>
      </c>
    </row>
    <row r="207" spans="1:9" x14ac:dyDescent="0.3">
      <c r="A207" s="9" t="s">
        <v>353</v>
      </c>
      <c r="B207" s="10">
        <v>45860</v>
      </c>
      <c r="C207" s="9" t="s">
        <v>149</v>
      </c>
      <c r="D207" s="11">
        <v>0.66666666666666663</v>
      </c>
      <c r="E207" s="11">
        <v>0.75</v>
      </c>
      <c r="F207" s="12">
        <v>14441</v>
      </c>
      <c r="G207" s="13">
        <v>39</v>
      </c>
      <c r="H207" s="13">
        <v>38238</v>
      </c>
      <c r="I207" s="13">
        <v>351</v>
      </c>
    </row>
    <row r="208" spans="1:9" x14ac:dyDescent="0.3">
      <c r="A208" s="9" t="s">
        <v>354</v>
      </c>
      <c r="B208" s="10">
        <v>45860</v>
      </c>
      <c r="C208" s="9" t="s">
        <v>151</v>
      </c>
      <c r="D208" s="11">
        <v>0.79166666666666663</v>
      </c>
      <c r="E208" s="11">
        <v>0.85416666666666663</v>
      </c>
      <c r="F208" s="12">
        <v>25121</v>
      </c>
      <c r="G208" s="13">
        <v>77</v>
      </c>
      <c r="H208" s="13">
        <v>81621</v>
      </c>
      <c r="I208" s="13">
        <v>480</v>
      </c>
    </row>
    <row r="209" spans="1:9" x14ac:dyDescent="0.3">
      <c r="A209" s="9" t="s">
        <v>355</v>
      </c>
      <c r="B209" s="10">
        <v>45861</v>
      </c>
      <c r="C209" s="9" t="s">
        <v>219</v>
      </c>
      <c r="D209" s="11">
        <v>0.41666666666666669</v>
      </c>
      <c r="E209" s="11">
        <v>0.54166666666666663</v>
      </c>
      <c r="F209" s="12">
        <v>15304</v>
      </c>
      <c r="G209" s="13">
        <v>45</v>
      </c>
      <c r="H209" s="13">
        <v>37825</v>
      </c>
      <c r="I209" s="13">
        <v>291</v>
      </c>
    </row>
    <row r="210" spans="1:9" x14ac:dyDescent="0.3">
      <c r="A210" s="9" t="s">
        <v>356</v>
      </c>
      <c r="B210" s="10">
        <v>45861</v>
      </c>
      <c r="C210" s="9" t="s">
        <v>147</v>
      </c>
      <c r="D210" s="11">
        <v>0.54166666666666663</v>
      </c>
      <c r="E210" s="11">
        <v>0.60416666666666663</v>
      </c>
      <c r="F210" s="12">
        <v>11125</v>
      </c>
      <c r="G210" s="13">
        <v>31</v>
      </c>
      <c r="H210" s="13">
        <v>38375</v>
      </c>
      <c r="I210" s="13">
        <v>232</v>
      </c>
    </row>
    <row r="211" spans="1:9" x14ac:dyDescent="0.3">
      <c r="A211" s="9" t="s">
        <v>357</v>
      </c>
      <c r="B211" s="10">
        <v>45861</v>
      </c>
      <c r="C211" s="9" t="s">
        <v>149</v>
      </c>
      <c r="D211" s="11">
        <v>0.66666666666666663</v>
      </c>
      <c r="E211" s="11">
        <v>0.79166666666666663</v>
      </c>
      <c r="F211" s="12">
        <v>18205</v>
      </c>
      <c r="G211" s="13">
        <v>49</v>
      </c>
      <c r="H211" s="13">
        <v>67129</v>
      </c>
      <c r="I211" s="13">
        <v>773</v>
      </c>
    </row>
    <row r="212" spans="1:9" x14ac:dyDescent="0.3">
      <c r="A212" s="9" t="s">
        <v>358</v>
      </c>
      <c r="B212" s="10">
        <v>45861</v>
      </c>
      <c r="C212" s="9" t="s">
        <v>149</v>
      </c>
      <c r="D212" s="11">
        <v>0.79166666666666663</v>
      </c>
      <c r="E212" s="11">
        <v>0.875</v>
      </c>
      <c r="F212" s="12">
        <v>16011</v>
      </c>
      <c r="G212" s="13">
        <v>49</v>
      </c>
      <c r="H212" s="13">
        <v>54460</v>
      </c>
      <c r="I212" s="13">
        <v>368</v>
      </c>
    </row>
    <row r="213" spans="1:9" x14ac:dyDescent="0.3">
      <c r="A213" s="9" t="s">
        <v>359</v>
      </c>
      <c r="B213" s="10">
        <v>45861</v>
      </c>
      <c r="C213" s="9" t="s">
        <v>147</v>
      </c>
      <c r="D213" s="11">
        <v>0.91666666666666663</v>
      </c>
      <c r="E213" s="11">
        <v>4.1666666666666657E-2</v>
      </c>
      <c r="F213" s="12">
        <v>41100</v>
      </c>
      <c r="G213" s="13">
        <v>122</v>
      </c>
      <c r="H213" s="13">
        <v>197817</v>
      </c>
      <c r="I213" s="13">
        <v>1436</v>
      </c>
    </row>
    <row r="214" spans="1:9" x14ac:dyDescent="0.3">
      <c r="A214" s="9" t="s">
        <v>360</v>
      </c>
      <c r="B214" s="10">
        <v>45862</v>
      </c>
      <c r="C214" s="9" t="s">
        <v>147</v>
      </c>
      <c r="D214" s="11">
        <v>0.41666666666666669</v>
      </c>
      <c r="E214" s="11">
        <v>0.47916666666666669</v>
      </c>
      <c r="F214" s="12">
        <v>11485</v>
      </c>
      <c r="G214" s="13">
        <v>33</v>
      </c>
      <c r="H214" s="13">
        <v>42586</v>
      </c>
      <c r="I214" s="13">
        <v>311</v>
      </c>
    </row>
    <row r="215" spans="1:9" x14ac:dyDescent="0.3">
      <c r="A215" s="9" t="s">
        <v>361</v>
      </c>
      <c r="B215" s="10">
        <v>45862</v>
      </c>
      <c r="C215" s="9" t="s">
        <v>219</v>
      </c>
      <c r="D215" s="11">
        <v>0.66666666666666663</v>
      </c>
      <c r="E215" s="11">
        <v>0.77083333333333337</v>
      </c>
      <c r="F215" s="12">
        <v>46277</v>
      </c>
      <c r="G215" s="13">
        <v>123</v>
      </c>
      <c r="H215" s="13">
        <v>186653</v>
      </c>
      <c r="I215" s="13">
        <v>1277</v>
      </c>
    </row>
    <row r="216" spans="1:9" x14ac:dyDescent="0.3">
      <c r="A216" s="9" t="s">
        <v>362</v>
      </c>
      <c r="B216" s="10">
        <v>45862</v>
      </c>
      <c r="C216" s="9" t="s">
        <v>147</v>
      </c>
      <c r="D216" s="11">
        <v>0.79166666666666663</v>
      </c>
      <c r="E216" s="11">
        <v>0.91666666666666663</v>
      </c>
      <c r="F216" s="12">
        <v>84839</v>
      </c>
      <c r="G216" s="13">
        <v>272</v>
      </c>
      <c r="H216" s="13">
        <v>330828</v>
      </c>
      <c r="I216" s="13">
        <v>1521</v>
      </c>
    </row>
    <row r="217" spans="1:9" x14ac:dyDescent="0.3">
      <c r="A217" s="9" t="s">
        <v>363</v>
      </c>
      <c r="B217" s="10">
        <v>45862</v>
      </c>
      <c r="C217" s="9" t="s">
        <v>149</v>
      </c>
      <c r="D217" s="11">
        <v>0.91666666666666663</v>
      </c>
      <c r="E217" s="11">
        <v>2.0833333333333329E-2</v>
      </c>
      <c r="F217" s="12">
        <v>20505</v>
      </c>
      <c r="G217" s="13">
        <v>62</v>
      </c>
      <c r="H217" s="13">
        <v>91180</v>
      </c>
      <c r="I217" s="13">
        <v>1111</v>
      </c>
    </row>
    <row r="218" spans="1:9" x14ac:dyDescent="0.3">
      <c r="A218" s="9" t="s">
        <v>364</v>
      </c>
      <c r="B218" s="10">
        <v>45863</v>
      </c>
      <c r="C218" s="9" t="s">
        <v>160</v>
      </c>
      <c r="D218" s="11">
        <v>0.41666666666666669</v>
      </c>
      <c r="E218" s="11">
        <v>0.52083333333333337</v>
      </c>
      <c r="F218" s="12">
        <v>13578</v>
      </c>
      <c r="G218" s="13">
        <v>38</v>
      </c>
      <c r="H218" s="13">
        <v>38516</v>
      </c>
      <c r="I218" s="13">
        <v>348</v>
      </c>
    </row>
    <row r="219" spans="1:9" x14ac:dyDescent="0.3">
      <c r="A219" s="9" t="s">
        <v>365</v>
      </c>
      <c r="B219" s="10">
        <v>45863</v>
      </c>
      <c r="C219" s="9" t="s">
        <v>160</v>
      </c>
      <c r="D219" s="11">
        <v>0.54166666666666663</v>
      </c>
      <c r="E219" s="11">
        <v>0.66666666666666663</v>
      </c>
      <c r="F219" s="12">
        <v>39652</v>
      </c>
      <c r="G219" s="13">
        <v>109</v>
      </c>
      <c r="H219" s="13">
        <v>190706</v>
      </c>
      <c r="I219" s="13">
        <v>1377</v>
      </c>
    </row>
    <row r="220" spans="1:9" x14ac:dyDescent="0.3">
      <c r="A220" s="9" t="s">
        <v>366</v>
      </c>
      <c r="B220" s="10">
        <v>45863</v>
      </c>
      <c r="C220" s="9" t="s">
        <v>149</v>
      </c>
      <c r="D220" s="11">
        <v>0.66666666666666663</v>
      </c>
      <c r="E220" s="11">
        <v>0.75</v>
      </c>
      <c r="F220" s="12">
        <v>36297</v>
      </c>
      <c r="G220" s="13">
        <v>109</v>
      </c>
      <c r="H220" s="13">
        <v>149848</v>
      </c>
      <c r="I220" s="13">
        <v>1184</v>
      </c>
    </row>
    <row r="221" spans="1:9" x14ac:dyDescent="0.3">
      <c r="A221" s="9" t="s">
        <v>367</v>
      </c>
      <c r="B221" s="10">
        <v>45863</v>
      </c>
      <c r="C221" s="9" t="s">
        <v>147</v>
      </c>
      <c r="D221" s="11">
        <v>0.79166666666666663</v>
      </c>
      <c r="E221" s="11">
        <v>0.89583333333333337</v>
      </c>
      <c r="F221" s="12">
        <v>33143</v>
      </c>
      <c r="G221" s="13">
        <v>93</v>
      </c>
      <c r="H221" s="13">
        <v>106580</v>
      </c>
      <c r="I221" s="13">
        <v>486</v>
      </c>
    </row>
    <row r="222" spans="1:9" x14ac:dyDescent="0.3">
      <c r="A222" s="9" t="s">
        <v>368</v>
      </c>
      <c r="B222" s="10">
        <v>45863</v>
      </c>
      <c r="C222" s="9" t="s">
        <v>149</v>
      </c>
      <c r="D222" s="11">
        <v>0.91666666666666663</v>
      </c>
      <c r="E222" s="11">
        <v>4.1666666666666657E-2</v>
      </c>
      <c r="F222" s="12">
        <v>26915</v>
      </c>
      <c r="G222" s="13">
        <v>75</v>
      </c>
      <c r="H222" s="13">
        <v>90662</v>
      </c>
      <c r="I222" s="13">
        <v>1095</v>
      </c>
    </row>
    <row r="223" spans="1:9" x14ac:dyDescent="0.3">
      <c r="A223" s="9" t="s">
        <v>369</v>
      </c>
      <c r="B223" s="10">
        <v>45864</v>
      </c>
      <c r="C223" s="9" t="s">
        <v>160</v>
      </c>
      <c r="D223" s="11">
        <v>0.41666666666666669</v>
      </c>
      <c r="E223" s="11">
        <v>0.5</v>
      </c>
      <c r="F223" s="12">
        <v>9298</v>
      </c>
      <c r="G223" s="13">
        <v>25</v>
      </c>
      <c r="H223" s="13">
        <v>25498</v>
      </c>
      <c r="I223" s="13">
        <v>240</v>
      </c>
    </row>
    <row r="224" spans="1:9" x14ac:dyDescent="0.3">
      <c r="A224" s="9" t="s">
        <v>370</v>
      </c>
      <c r="B224" s="10">
        <v>45864</v>
      </c>
      <c r="C224" s="9" t="s">
        <v>147</v>
      </c>
      <c r="D224" s="11">
        <v>0.54166666666666663</v>
      </c>
      <c r="E224" s="11">
        <v>0.60416666666666663</v>
      </c>
      <c r="F224" s="12">
        <v>22226</v>
      </c>
      <c r="G224" s="13">
        <v>86</v>
      </c>
      <c r="H224" s="13">
        <v>63729</v>
      </c>
      <c r="I224" s="13">
        <v>817</v>
      </c>
    </row>
    <row r="225" spans="1:9" x14ac:dyDescent="0.3">
      <c r="A225" s="9" t="s">
        <v>371</v>
      </c>
      <c r="B225" s="10">
        <v>45864</v>
      </c>
      <c r="C225" s="9" t="s">
        <v>149</v>
      </c>
      <c r="D225" s="11">
        <v>0.79166666666666663</v>
      </c>
      <c r="E225" s="11">
        <v>0.91666666666666663</v>
      </c>
      <c r="F225" s="12">
        <v>54732</v>
      </c>
      <c r="G225" s="13">
        <v>164</v>
      </c>
      <c r="H225" s="13">
        <v>180418</v>
      </c>
      <c r="I225" s="13">
        <v>1985</v>
      </c>
    </row>
    <row r="226" spans="1:9" x14ac:dyDescent="0.3">
      <c r="A226" s="9" t="s">
        <v>372</v>
      </c>
      <c r="B226" s="10">
        <v>45864</v>
      </c>
      <c r="C226" s="9" t="s">
        <v>149</v>
      </c>
      <c r="D226" s="11">
        <v>0.91666666666666663</v>
      </c>
      <c r="E226" s="11">
        <v>0</v>
      </c>
      <c r="F226" s="12">
        <v>20474</v>
      </c>
      <c r="G226" s="13">
        <v>68</v>
      </c>
      <c r="H226" s="13">
        <v>32871</v>
      </c>
      <c r="I226" s="13">
        <v>337</v>
      </c>
    </row>
    <row r="227" spans="1:9" x14ac:dyDescent="0.3">
      <c r="A227" s="9" t="s">
        <v>373</v>
      </c>
      <c r="B227" s="10">
        <v>45865</v>
      </c>
      <c r="C227" s="9" t="s">
        <v>149</v>
      </c>
      <c r="D227" s="11">
        <v>0.41666666666666669</v>
      </c>
      <c r="E227" s="11">
        <v>0.5</v>
      </c>
      <c r="F227" s="12">
        <v>22673</v>
      </c>
      <c r="G227" s="13">
        <v>63</v>
      </c>
      <c r="H227" s="13">
        <v>97695</v>
      </c>
      <c r="I227" s="13">
        <v>517</v>
      </c>
    </row>
    <row r="228" spans="1:9" x14ac:dyDescent="0.3">
      <c r="A228" s="9" t="s">
        <v>374</v>
      </c>
      <c r="B228" s="10">
        <v>45865</v>
      </c>
      <c r="C228" s="9" t="s">
        <v>149</v>
      </c>
      <c r="D228" s="11">
        <v>0.54166666666666663</v>
      </c>
      <c r="E228" s="11">
        <v>0.66666666666666663</v>
      </c>
      <c r="F228" s="12">
        <v>20913</v>
      </c>
      <c r="G228" s="13">
        <v>65</v>
      </c>
      <c r="H228" s="13">
        <v>96771</v>
      </c>
      <c r="I228" s="13">
        <v>600</v>
      </c>
    </row>
    <row r="229" spans="1:9" x14ac:dyDescent="0.3">
      <c r="A229" s="9" t="s">
        <v>375</v>
      </c>
      <c r="B229" s="10">
        <v>45865</v>
      </c>
      <c r="C229" s="9" t="s">
        <v>147</v>
      </c>
      <c r="D229" s="11">
        <v>0.66666666666666663</v>
      </c>
      <c r="E229" s="11">
        <v>0.77083333333333337</v>
      </c>
      <c r="F229" s="12">
        <v>42841</v>
      </c>
      <c r="G229" s="13">
        <v>131</v>
      </c>
      <c r="H229" s="13">
        <v>125664</v>
      </c>
      <c r="I229" s="13">
        <v>1095</v>
      </c>
    </row>
    <row r="230" spans="1:9" x14ac:dyDescent="0.3">
      <c r="A230" s="9" t="s">
        <v>376</v>
      </c>
      <c r="B230" s="10">
        <v>45865</v>
      </c>
      <c r="C230" s="9" t="s">
        <v>160</v>
      </c>
      <c r="D230" s="11">
        <v>0.79166666666666663</v>
      </c>
      <c r="E230" s="11">
        <v>0.91666666666666663</v>
      </c>
      <c r="F230" s="12">
        <v>8052</v>
      </c>
      <c r="G230" s="13">
        <v>25</v>
      </c>
      <c r="H230" s="13">
        <v>26547</v>
      </c>
      <c r="I230" s="13">
        <v>242</v>
      </c>
    </row>
    <row r="231" spans="1:9" x14ac:dyDescent="0.3">
      <c r="A231" s="9" t="s">
        <v>377</v>
      </c>
      <c r="B231" s="10">
        <v>45865</v>
      </c>
      <c r="C231" s="9" t="s">
        <v>219</v>
      </c>
      <c r="D231" s="11">
        <v>0.91666666666666663</v>
      </c>
      <c r="E231" s="11">
        <v>0</v>
      </c>
      <c r="F231" s="12">
        <v>28428</v>
      </c>
      <c r="G231" s="13">
        <v>99</v>
      </c>
      <c r="H231" s="13">
        <v>68244</v>
      </c>
      <c r="I231" s="13">
        <v>378</v>
      </c>
    </row>
    <row r="232" spans="1:9" x14ac:dyDescent="0.3">
      <c r="A232" s="9" t="s">
        <v>378</v>
      </c>
      <c r="B232" s="10">
        <v>45866</v>
      </c>
      <c r="C232" s="9" t="s">
        <v>160</v>
      </c>
      <c r="D232" s="11">
        <v>0.41666666666666669</v>
      </c>
      <c r="E232" s="11">
        <v>0.52083333333333337</v>
      </c>
      <c r="F232" s="12">
        <v>6555</v>
      </c>
      <c r="G232" s="13">
        <v>20</v>
      </c>
      <c r="H232" s="13">
        <v>15659</v>
      </c>
      <c r="I232" s="13">
        <v>121</v>
      </c>
    </row>
    <row r="233" spans="1:9" x14ac:dyDescent="0.3">
      <c r="A233" s="9" t="s">
        <v>379</v>
      </c>
      <c r="B233" s="10">
        <v>45866</v>
      </c>
      <c r="C233" s="9" t="s">
        <v>147</v>
      </c>
      <c r="D233" s="11">
        <v>0.66666666666666663</v>
      </c>
      <c r="E233" s="11">
        <v>0.75</v>
      </c>
      <c r="F233" s="12">
        <v>23806</v>
      </c>
      <c r="G233" s="13">
        <v>64</v>
      </c>
      <c r="H233" s="13">
        <v>80134</v>
      </c>
      <c r="I233" s="13">
        <v>753</v>
      </c>
    </row>
    <row r="234" spans="1:9" x14ac:dyDescent="0.3">
      <c r="A234" s="9" t="s">
        <v>380</v>
      </c>
      <c r="B234" s="10">
        <v>45866</v>
      </c>
      <c r="C234" s="9" t="s">
        <v>151</v>
      </c>
      <c r="D234" s="11">
        <v>0.79166666666666663</v>
      </c>
      <c r="E234" s="11">
        <v>0.89583333333333337</v>
      </c>
      <c r="F234" s="12">
        <v>54392</v>
      </c>
      <c r="G234" s="13">
        <v>160</v>
      </c>
      <c r="H234" s="13">
        <v>223221</v>
      </c>
      <c r="I234" s="13">
        <v>2774</v>
      </c>
    </row>
    <row r="235" spans="1:9" x14ac:dyDescent="0.3">
      <c r="A235" s="9" t="s">
        <v>381</v>
      </c>
      <c r="B235" s="10">
        <v>45866</v>
      </c>
      <c r="C235" s="9" t="s">
        <v>151</v>
      </c>
      <c r="D235" s="11">
        <v>0.91666666666666663</v>
      </c>
      <c r="E235" s="11">
        <v>0</v>
      </c>
      <c r="F235" s="12">
        <v>20910</v>
      </c>
      <c r="G235" s="13">
        <v>61</v>
      </c>
      <c r="H235" s="13">
        <v>52502</v>
      </c>
      <c r="I235" s="13">
        <v>562</v>
      </c>
    </row>
    <row r="236" spans="1:9" x14ac:dyDescent="0.3">
      <c r="A236" s="9" t="s">
        <v>382</v>
      </c>
      <c r="B236" s="10">
        <v>45867</v>
      </c>
      <c r="C236" s="9" t="s">
        <v>160</v>
      </c>
      <c r="D236" s="11">
        <v>0.54166666666666663</v>
      </c>
      <c r="E236" s="11">
        <v>0.64583333333333337</v>
      </c>
      <c r="F236" s="12">
        <v>18571</v>
      </c>
      <c r="G236" s="13">
        <v>53</v>
      </c>
      <c r="H236" s="13">
        <v>71180</v>
      </c>
      <c r="I236" s="13">
        <v>793</v>
      </c>
    </row>
    <row r="237" spans="1:9" x14ac:dyDescent="0.3">
      <c r="A237" s="9" t="s">
        <v>383</v>
      </c>
      <c r="B237" s="10">
        <v>45867</v>
      </c>
      <c r="C237" s="9" t="s">
        <v>151</v>
      </c>
      <c r="D237" s="11">
        <v>0.66666666666666663</v>
      </c>
      <c r="E237" s="11">
        <v>0.77083333333333337</v>
      </c>
      <c r="F237" s="12">
        <v>83476</v>
      </c>
      <c r="G237" s="13">
        <v>246</v>
      </c>
      <c r="H237" s="13">
        <v>181953</v>
      </c>
      <c r="I237" s="13">
        <v>837</v>
      </c>
    </row>
    <row r="238" spans="1:9" x14ac:dyDescent="0.3">
      <c r="A238" s="9" t="s">
        <v>384</v>
      </c>
      <c r="B238" s="10">
        <v>45867</v>
      </c>
      <c r="C238" s="9" t="s">
        <v>160</v>
      </c>
      <c r="D238" s="11">
        <v>0.79166666666666663</v>
      </c>
      <c r="E238" s="11">
        <v>0.89583333333333337</v>
      </c>
      <c r="F238" s="12">
        <v>26328</v>
      </c>
      <c r="G238" s="13">
        <v>86</v>
      </c>
      <c r="H238" s="13">
        <v>145642</v>
      </c>
      <c r="I238" s="13">
        <v>1577</v>
      </c>
    </row>
    <row r="239" spans="1:9" x14ac:dyDescent="0.3">
      <c r="A239" s="9" t="s">
        <v>385</v>
      </c>
      <c r="B239" s="10">
        <v>45867</v>
      </c>
      <c r="C239" s="9" t="s">
        <v>160</v>
      </c>
      <c r="D239" s="11">
        <v>0.91666666666666663</v>
      </c>
      <c r="E239" s="11">
        <v>2.0833333333333329E-2</v>
      </c>
      <c r="F239" s="12">
        <v>21150</v>
      </c>
      <c r="G239" s="13">
        <v>51</v>
      </c>
      <c r="H239" s="13">
        <v>114440</v>
      </c>
      <c r="I239" s="13">
        <v>1219</v>
      </c>
    </row>
    <row r="240" spans="1:9" x14ac:dyDescent="0.3">
      <c r="A240" s="9" t="s">
        <v>386</v>
      </c>
      <c r="B240" s="10">
        <v>45868</v>
      </c>
      <c r="C240" s="9" t="s">
        <v>160</v>
      </c>
      <c r="D240" s="11">
        <v>0.41666666666666669</v>
      </c>
      <c r="E240" s="11">
        <v>0.54166666666666663</v>
      </c>
      <c r="F240" s="12">
        <v>12603</v>
      </c>
      <c r="G240" s="13">
        <v>36</v>
      </c>
      <c r="H240" s="13">
        <v>54384</v>
      </c>
      <c r="I240" s="13">
        <v>669</v>
      </c>
    </row>
    <row r="241" spans="1:9" x14ac:dyDescent="0.3">
      <c r="A241" s="9" t="s">
        <v>387</v>
      </c>
      <c r="B241" s="10">
        <v>45868</v>
      </c>
      <c r="C241" s="9" t="s">
        <v>151</v>
      </c>
      <c r="D241" s="11">
        <v>0.54166666666666663</v>
      </c>
      <c r="E241" s="11">
        <v>0.60416666666666663</v>
      </c>
      <c r="F241" s="12">
        <v>19096</v>
      </c>
      <c r="G241" s="13">
        <v>58</v>
      </c>
      <c r="H241" s="13">
        <v>70214</v>
      </c>
      <c r="I241" s="13">
        <v>618</v>
      </c>
    </row>
    <row r="242" spans="1:9" x14ac:dyDescent="0.3">
      <c r="A242" s="9" t="s">
        <v>388</v>
      </c>
      <c r="B242" s="10">
        <v>45868</v>
      </c>
      <c r="C242" s="9" t="s">
        <v>149</v>
      </c>
      <c r="D242" s="11">
        <v>0.66666666666666663</v>
      </c>
      <c r="E242" s="11">
        <v>0.79166666666666663</v>
      </c>
      <c r="F242" s="12">
        <v>35152</v>
      </c>
      <c r="G242" s="13">
        <v>109</v>
      </c>
      <c r="H242" s="13">
        <v>105743</v>
      </c>
      <c r="I242" s="13">
        <v>1072</v>
      </c>
    </row>
    <row r="243" spans="1:9" x14ac:dyDescent="0.3">
      <c r="A243" s="9" t="s">
        <v>389</v>
      </c>
      <c r="B243" s="10">
        <v>45868</v>
      </c>
      <c r="C243" s="9" t="s">
        <v>149</v>
      </c>
      <c r="D243" s="11">
        <v>0.79166666666666663</v>
      </c>
      <c r="E243" s="11">
        <v>0.91666666666666663</v>
      </c>
      <c r="F243" s="12">
        <v>67564</v>
      </c>
      <c r="G243" s="13">
        <v>257</v>
      </c>
      <c r="H243" s="13">
        <v>188976</v>
      </c>
      <c r="I243" s="13">
        <v>839</v>
      </c>
    </row>
    <row r="244" spans="1:9" x14ac:dyDescent="0.3">
      <c r="A244" s="9" t="s">
        <v>390</v>
      </c>
      <c r="B244" s="10">
        <v>45868</v>
      </c>
      <c r="C244" s="9" t="s">
        <v>147</v>
      </c>
      <c r="D244" s="11">
        <v>0.91666666666666663</v>
      </c>
      <c r="E244" s="11">
        <v>4.1666666666666657E-2</v>
      </c>
      <c r="F244" s="12">
        <v>62787</v>
      </c>
      <c r="G244" s="13">
        <v>179</v>
      </c>
      <c r="H244" s="13">
        <v>239422</v>
      </c>
      <c r="I244" s="13">
        <v>1969</v>
      </c>
    </row>
    <row r="245" spans="1:9" x14ac:dyDescent="0.3">
      <c r="A245" s="9" t="s">
        <v>391</v>
      </c>
      <c r="B245" s="10">
        <v>45869</v>
      </c>
      <c r="C245" s="9" t="s">
        <v>160</v>
      </c>
      <c r="D245" s="11">
        <v>0.41666666666666669</v>
      </c>
      <c r="E245" s="11">
        <v>0.5</v>
      </c>
      <c r="F245" s="12">
        <v>3175</v>
      </c>
      <c r="G245" s="13">
        <v>10</v>
      </c>
      <c r="H245" s="13">
        <v>10246</v>
      </c>
      <c r="I245" s="13">
        <v>85</v>
      </c>
    </row>
    <row r="246" spans="1:9" x14ac:dyDescent="0.3">
      <c r="A246" s="9" t="s">
        <v>392</v>
      </c>
      <c r="B246" s="10">
        <v>45869</v>
      </c>
      <c r="C246" s="9" t="s">
        <v>149</v>
      </c>
      <c r="D246" s="11">
        <v>0.54166666666666663</v>
      </c>
      <c r="E246" s="11">
        <v>0.625</v>
      </c>
      <c r="F246" s="12">
        <v>18387</v>
      </c>
      <c r="G246" s="13">
        <v>52</v>
      </c>
      <c r="H246" s="13">
        <v>68841</v>
      </c>
      <c r="I246" s="13">
        <v>726</v>
      </c>
    </row>
    <row r="247" spans="1:9" x14ac:dyDescent="0.3">
      <c r="A247" s="9" t="s">
        <v>393</v>
      </c>
      <c r="B247" s="10">
        <v>45869</v>
      </c>
      <c r="C247" s="9" t="s">
        <v>147</v>
      </c>
      <c r="D247" s="11">
        <v>0.66666666666666663</v>
      </c>
      <c r="E247" s="11">
        <v>0.75</v>
      </c>
      <c r="F247" s="12">
        <v>40595</v>
      </c>
      <c r="G247" s="13">
        <v>130</v>
      </c>
      <c r="H247" s="13">
        <v>231619</v>
      </c>
      <c r="I247" s="13">
        <v>2784</v>
      </c>
    </row>
    <row r="248" spans="1:9" x14ac:dyDescent="0.3">
      <c r="A248" s="9" t="s">
        <v>394</v>
      </c>
      <c r="B248" s="10">
        <v>45869</v>
      </c>
      <c r="C248" s="9" t="s">
        <v>151</v>
      </c>
      <c r="D248" s="11">
        <v>0.79166666666666663</v>
      </c>
      <c r="E248" s="11">
        <v>0.91666666666666663</v>
      </c>
      <c r="F248" s="12">
        <v>84455</v>
      </c>
      <c r="G248" s="13">
        <v>322</v>
      </c>
      <c r="H248" s="13">
        <v>373346</v>
      </c>
      <c r="I248" s="13">
        <v>2372</v>
      </c>
    </row>
    <row r="249" spans="1:9" x14ac:dyDescent="0.3">
      <c r="A249" s="9" t="s">
        <v>395</v>
      </c>
      <c r="B249" s="10">
        <v>45870</v>
      </c>
      <c r="C249" s="9" t="s">
        <v>149</v>
      </c>
      <c r="D249" s="11">
        <v>0.41666666666666669</v>
      </c>
      <c r="E249" s="11">
        <v>0.54166666666666663</v>
      </c>
      <c r="F249" s="12">
        <v>38038</v>
      </c>
      <c r="G249" s="13">
        <v>119</v>
      </c>
      <c r="H249" s="13">
        <v>110722</v>
      </c>
      <c r="I249" s="13">
        <v>1202</v>
      </c>
    </row>
    <row r="250" spans="1:9" x14ac:dyDescent="0.3">
      <c r="A250" s="9" t="s">
        <v>396</v>
      </c>
      <c r="B250" s="10">
        <v>45870</v>
      </c>
      <c r="C250" s="9" t="s">
        <v>149</v>
      </c>
      <c r="D250" s="11">
        <v>0.66666666666666663</v>
      </c>
      <c r="E250" s="11">
        <v>0.75</v>
      </c>
      <c r="F250" s="12">
        <v>60248</v>
      </c>
      <c r="G250" s="13">
        <v>190</v>
      </c>
      <c r="H250" s="13">
        <v>267455</v>
      </c>
      <c r="I250" s="13">
        <v>2996</v>
      </c>
    </row>
    <row r="251" spans="1:9" x14ac:dyDescent="0.3">
      <c r="A251" s="9" t="s">
        <v>397</v>
      </c>
      <c r="B251" s="10">
        <v>45870</v>
      </c>
      <c r="C251" s="9" t="s">
        <v>149</v>
      </c>
      <c r="D251" s="11">
        <v>0.79166666666666663</v>
      </c>
      <c r="E251" s="11">
        <v>0.875</v>
      </c>
      <c r="F251" s="12">
        <v>29945</v>
      </c>
      <c r="G251" s="13">
        <v>78</v>
      </c>
      <c r="H251" s="13">
        <v>91709</v>
      </c>
      <c r="I251" s="13">
        <v>942</v>
      </c>
    </row>
    <row r="252" spans="1:9" x14ac:dyDescent="0.3">
      <c r="A252" s="9" t="s">
        <v>398</v>
      </c>
      <c r="B252" s="10">
        <v>45870</v>
      </c>
      <c r="C252" s="9" t="s">
        <v>149</v>
      </c>
      <c r="D252" s="11">
        <v>0.91666666666666663</v>
      </c>
      <c r="E252" s="11">
        <v>4.1666666666666657E-2</v>
      </c>
      <c r="F252" s="12">
        <v>56031</v>
      </c>
      <c r="G252" s="13">
        <v>176</v>
      </c>
      <c r="H252" s="13">
        <v>149462</v>
      </c>
      <c r="I252" s="13">
        <v>1748</v>
      </c>
    </row>
    <row r="253" spans="1:9" x14ac:dyDescent="0.3">
      <c r="A253" s="9" t="s">
        <v>399</v>
      </c>
      <c r="B253" s="10">
        <v>45871</v>
      </c>
      <c r="C253" s="9" t="s">
        <v>149</v>
      </c>
      <c r="D253" s="11">
        <v>0.41666666666666669</v>
      </c>
      <c r="E253" s="11">
        <v>0.52083333333333337</v>
      </c>
      <c r="F253" s="12">
        <v>25650</v>
      </c>
      <c r="G253" s="13">
        <v>76</v>
      </c>
      <c r="H253" s="13">
        <v>81923</v>
      </c>
      <c r="I253" s="13">
        <v>393</v>
      </c>
    </row>
    <row r="254" spans="1:9" x14ac:dyDescent="0.3">
      <c r="A254" s="9" t="s">
        <v>400</v>
      </c>
      <c r="B254" s="10">
        <v>45871</v>
      </c>
      <c r="C254" s="9" t="s">
        <v>219</v>
      </c>
      <c r="D254" s="11">
        <v>0.54166666666666663</v>
      </c>
      <c r="E254" s="11">
        <v>0.64583333333333337</v>
      </c>
      <c r="F254" s="12">
        <v>33877</v>
      </c>
      <c r="G254" s="13">
        <v>90</v>
      </c>
      <c r="H254" s="13">
        <v>168835</v>
      </c>
      <c r="I254" s="13">
        <v>941</v>
      </c>
    </row>
    <row r="255" spans="1:9" x14ac:dyDescent="0.3">
      <c r="A255" s="9" t="s">
        <v>401</v>
      </c>
      <c r="B255" s="10">
        <v>45871</v>
      </c>
      <c r="C255" s="9" t="s">
        <v>149</v>
      </c>
      <c r="D255" s="11">
        <v>0.66666666666666663</v>
      </c>
      <c r="E255" s="11">
        <v>0.79166666666666663</v>
      </c>
      <c r="F255" s="12">
        <v>49749</v>
      </c>
      <c r="G255" s="13">
        <v>133</v>
      </c>
      <c r="H255" s="13">
        <v>160086</v>
      </c>
      <c r="I255" s="13">
        <v>1606</v>
      </c>
    </row>
    <row r="256" spans="1:9" x14ac:dyDescent="0.3">
      <c r="A256" s="9" t="s">
        <v>402</v>
      </c>
      <c r="B256" s="10">
        <v>45871</v>
      </c>
      <c r="C256" s="9" t="s">
        <v>149</v>
      </c>
      <c r="D256" s="11">
        <v>0.79166666666666663</v>
      </c>
      <c r="E256" s="11">
        <v>0.875</v>
      </c>
      <c r="F256" s="12">
        <v>51124</v>
      </c>
      <c r="G256" s="13">
        <v>188</v>
      </c>
      <c r="H256" s="13">
        <v>191325</v>
      </c>
      <c r="I256" s="13">
        <v>802</v>
      </c>
    </row>
    <row r="257" spans="1:9" x14ac:dyDescent="0.3">
      <c r="A257" s="9" t="s">
        <v>403</v>
      </c>
      <c r="B257" s="10">
        <v>45871</v>
      </c>
      <c r="C257" s="9" t="s">
        <v>147</v>
      </c>
      <c r="D257" s="11">
        <v>0.91666666666666663</v>
      </c>
      <c r="E257" s="11">
        <v>2.0833333333333329E-2</v>
      </c>
      <c r="F257" s="12">
        <v>52537</v>
      </c>
      <c r="G257" s="13">
        <v>171</v>
      </c>
      <c r="H257" s="13">
        <v>127371</v>
      </c>
      <c r="I257" s="13">
        <v>1078</v>
      </c>
    </row>
    <row r="258" spans="1:9" x14ac:dyDescent="0.3">
      <c r="A258" s="9" t="s">
        <v>404</v>
      </c>
      <c r="B258" s="10">
        <v>45872</v>
      </c>
      <c r="C258" s="9" t="s">
        <v>147</v>
      </c>
      <c r="D258" s="11">
        <v>0.41666666666666669</v>
      </c>
      <c r="E258" s="11">
        <v>0.5</v>
      </c>
      <c r="F258" s="12">
        <v>24709</v>
      </c>
      <c r="G258" s="13">
        <v>64</v>
      </c>
      <c r="H258" s="13">
        <v>75123</v>
      </c>
      <c r="I258" s="13">
        <v>312</v>
      </c>
    </row>
    <row r="259" spans="1:9" x14ac:dyDescent="0.3">
      <c r="A259" s="9" t="s">
        <v>405</v>
      </c>
      <c r="B259" s="10">
        <v>45872</v>
      </c>
      <c r="C259" s="9" t="s">
        <v>149</v>
      </c>
      <c r="D259" s="11">
        <v>0.54166666666666663</v>
      </c>
      <c r="E259" s="11">
        <v>0.66666666666666663</v>
      </c>
      <c r="F259" s="12">
        <v>29438</v>
      </c>
      <c r="G259" s="13">
        <v>95</v>
      </c>
      <c r="H259" s="13">
        <v>100247</v>
      </c>
      <c r="I259" s="13">
        <v>659</v>
      </c>
    </row>
    <row r="260" spans="1:9" x14ac:dyDescent="0.3">
      <c r="A260" s="9" t="s">
        <v>406</v>
      </c>
      <c r="B260" s="10">
        <v>45872</v>
      </c>
      <c r="C260" s="9" t="s">
        <v>147</v>
      </c>
      <c r="D260" s="11">
        <v>0.66666666666666663</v>
      </c>
      <c r="E260" s="11">
        <v>0.75</v>
      </c>
      <c r="F260" s="12">
        <v>36295</v>
      </c>
      <c r="G260" s="13">
        <v>131</v>
      </c>
      <c r="H260" s="13">
        <v>157509</v>
      </c>
      <c r="I260" s="13">
        <v>900</v>
      </c>
    </row>
    <row r="261" spans="1:9" x14ac:dyDescent="0.3">
      <c r="A261" s="9" t="s">
        <v>407</v>
      </c>
      <c r="B261" s="10">
        <v>45872</v>
      </c>
      <c r="C261" s="9" t="s">
        <v>151</v>
      </c>
      <c r="D261" s="11">
        <v>0.79166666666666663</v>
      </c>
      <c r="E261" s="11">
        <v>0.89583333333333337</v>
      </c>
      <c r="F261" s="12">
        <v>83618</v>
      </c>
      <c r="G261" s="13">
        <v>234</v>
      </c>
      <c r="H261" s="13">
        <v>345227</v>
      </c>
      <c r="I261" s="13">
        <v>1997</v>
      </c>
    </row>
    <row r="262" spans="1:9" x14ac:dyDescent="0.3">
      <c r="A262" s="9" t="s">
        <v>408</v>
      </c>
      <c r="B262" s="10">
        <v>45873</v>
      </c>
      <c r="C262" s="9" t="s">
        <v>160</v>
      </c>
      <c r="D262" s="11">
        <v>0.41666666666666669</v>
      </c>
      <c r="E262" s="11">
        <v>0.5</v>
      </c>
      <c r="F262" s="12">
        <v>9360</v>
      </c>
      <c r="G262" s="13">
        <v>25</v>
      </c>
      <c r="H262" s="13">
        <v>29517</v>
      </c>
      <c r="I262" s="13">
        <v>232</v>
      </c>
    </row>
    <row r="263" spans="1:9" x14ac:dyDescent="0.3">
      <c r="A263" s="9" t="s">
        <v>409</v>
      </c>
      <c r="B263" s="10">
        <v>45873</v>
      </c>
      <c r="C263" s="9" t="s">
        <v>219</v>
      </c>
      <c r="D263" s="11">
        <v>0.66666666666666663</v>
      </c>
      <c r="E263" s="11">
        <v>0.79166666666666663</v>
      </c>
      <c r="F263" s="12">
        <v>30615</v>
      </c>
      <c r="G263" s="13">
        <v>97</v>
      </c>
      <c r="H263" s="13">
        <v>73391</v>
      </c>
      <c r="I263" s="13">
        <v>782</v>
      </c>
    </row>
    <row r="264" spans="1:9" x14ac:dyDescent="0.3">
      <c r="A264" s="9" t="s">
        <v>410</v>
      </c>
      <c r="B264" s="10">
        <v>45873</v>
      </c>
      <c r="C264" s="9" t="s">
        <v>149</v>
      </c>
      <c r="D264" s="11">
        <v>0.79166666666666663</v>
      </c>
      <c r="E264" s="11">
        <v>0.91666666666666663</v>
      </c>
      <c r="F264" s="12">
        <v>24933</v>
      </c>
      <c r="G264" s="13">
        <v>76</v>
      </c>
      <c r="H264" s="13">
        <v>79269</v>
      </c>
      <c r="I264" s="13">
        <v>804</v>
      </c>
    </row>
    <row r="265" spans="1:9" x14ac:dyDescent="0.3">
      <c r="A265" s="9" t="s">
        <v>411</v>
      </c>
      <c r="B265" s="10">
        <v>45873</v>
      </c>
      <c r="C265" s="9" t="s">
        <v>149</v>
      </c>
      <c r="D265" s="11">
        <v>0.91666666666666663</v>
      </c>
      <c r="E265" s="11">
        <v>2.0833333333333329E-2</v>
      </c>
      <c r="F265" s="12">
        <v>22685</v>
      </c>
      <c r="G265" s="13">
        <v>64</v>
      </c>
      <c r="H265" s="13">
        <v>70850</v>
      </c>
      <c r="I265" s="13">
        <v>693</v>
      </c>
    </row>
    <row r="266" spans="1:9" x14ac:dyDescent="0.3">
      <c r="A266" s="9" t="s">
        <v>412</v>
      </c>
      <c r="B266" s="10">
        <v>45874</v>
      </c>
      <c r="C266" s="9" t="s">
        <v>160</v>
      </c>
      <c r="D266" s="11">
        <v>0.41666666666666669</v>
      </c>
      <c r="E266" s="11">
        <v>0.52083333333333337</v>
      </c>
      <c r="F266" s="12">
        <v>8353</v>
      </c>
      <c r="G266" s="13">
        <v>25</v>
      </c>
      <c r="H266" s="13">
        <v>26913</v>
      </c>
      <c r="I266" s="13">
        <v>108</v>
      </c>
    </row>
    <row r="267" spans="1:9" x14ac:dyDescent="0.3">
      <c r="A267" s="9" t="s">
        <v>413</v>
      </c>
      <c r="B267" s="10">
        <v>45874</v>
      </c>
      <c r="C267" s="9" t="s">
        <v>160</v>
      </c>
      <c r="D267" s="11">
        <v>0.54166666666666663</v>
      </c>
      <c r="E267" s="11">
        <v>0.625</v>
      </c>
      <c r="F267" s="12">
        <v>15999</v>
      </c>
      <c r="G267" s="13">
        <v>45</v>
      </c>
      <c r="H267" s="13">
        <v>72852</v>
      </c>
      <c r="I267" s="13">
        <v>375</v>
      </c>
    </row>
    <row r="268" spans="1:9" x14ac:dyDescent="0.3">
      <c r="A268" s="9" t="s">
        <v>414</v>
      </c>
      <c r="B268" s="10">
        <v>45874</v>
      </c>
      <c r="C268" s="9" t="s">
        <v>149</v>
      </c>
      <c r="D268" s="11">
        <v>0.66666666666666663</v>
      </c>
      <c r="E268" s="11">
        <v>0.79166666666666663</v>
      </c>
      <c r="F268" s="12">
        <v>6639</v>
      </c>
      <c r="G268" s="13">
        <v>20</v>
      </c>
      <c r="H268" s="13">
        <v>30487</v>
      </c>
      <c r="I268" s="13">
        <v>277</v>
      </c>
    </row>
    <row r="269" spans="1:9" x14ac:dyDescent="0.3">
      <c r="A269" s="9" t="s">
        <v>415</v>
      </c>
      <c r="B269" s="10">
        <v>45874</v>
      </c>
      <c r="C269" s="9" t="s">
        <v>147</v>
      </c>
      <c r="D269" s="11">
        <v>0.79166666666666663</v>
      </c>
      <c r="E269" s="11">
        <v>0.875</v>
      </c>
      <c r="F269" s="12">
        <v>30593</v>
      </c>
      <c r="G269" s="13">
        <v>89</v>
      </c>
      <c r="H269" s="13">
        <v>96539</v>
      </c>
      <c r="I269" s="13">
        <v>570</v>
      </c>
    </row>
    <row r="270" spans="1:9" x14ac:dyDescent="0.3">
      <c r="A270" s="9" t="s">
        <v>416</v>
      </c>
      <c r="B270" s="10">
        <v>45874</v>
      </c>
      <c r="C270" s="9" t="s">
        <v>149</v>
      </c>
      <c r="D270" s="11">
        <v>0.91666666666666663</v>
      </c>
      <c r="E270" s="11">
        <v>0</v>
      </c>
      <c r="F270" s="12">
        <v>21396</v>
      </c>
      <c r="G270" s="13">
        <v>56</v>
      </c>
      <c r="H270" s="13">
        <v>66159</v>
      </c>
      <c r="I270" s="13">
        <v>526</v>
      </c>
    </row>
    <row r="271" spans="1:9" x14ac:dyDescent="0.3">
      <c r="A271" s="9" t="s">
        <v>417</v>
      </c>
      <c r="B271" s="10">
        <v>45875</v>
      </c>
      <c r="C271" s="9" t="s">
        <v>149</v>
      </c>
      <c r="D271" s="11">
        <v>0.41666666666666669</v>
      </c>
      <c r="E271" s="11">
        <v>0.54166666666666663</v>
      </c>
      <c r="F271" s="12">
        <v>21562</v>
      </c>
      <c r="G271" s="13">
        <v>67</v>
      </c>
      <c r="H271" s="13">
        <v>105583</v>
      </c>
      <c r="I271" s="13">
        <v>1109</v>
      </c>
    </row>
    <row r="272" spans="1:9" x14ac:dyDescent="0.3">
      <c r="A272" s="9" t="s">
        <v>418</v>
      </c>
      <c r="B272" s="10">
        <v>45875</v>
      </c>
      <c r="C272" s="9" t="s">
        <v>149</v>
      </c>
      <c r="D272" s="11">
        <v>0.66666666666666663</v>
      </c>
      <c r="E272" s="11">
        <v>0.79166666666666663</v>
      </c>
      <c r="F272" s="12">
        <v>36879</v>
      </c>
      <c r="G272" s="13">
        <v>100</v>
      </c>
      <c r="H272" s="13">
        <v>89412</v>
      </c>
      <c r="I272" s="13">
        <v>1081</v>
      </c>
    </row>
    <row r="273" spans="1:9" x14ac:dyDescent="0.3">
      <c r="A273" s="9" t="s">
        <v>419</v>
      </c>
      <c r="B273" s="10">
        <v>45875</v>
      </c>
      <c r="C273" s="9" t="s">
        <v>149</v>
      </c>
      <c r="D273" s="11">
        <v>0.79166666666666663</v>
      </c>
      <c r="E273" s="11">
        <v>0.875</v>
      </c>
      <c r="F273" s="12">
        <v>25940</v>
      </c>
      <c r="G273" s="13">
        <v>76</v>
      </c>
      <c r="H273" s="13">
        <v>84451</v>
      </c>
      <c r="I273" s="13">
        <v>609</v>
      </c>
    </row>
    <row r="274" spans="1:9" x14ac:dyDescent="0.3">
      <c r="A274" s="9" t="s">
        <v>420</v>
      </c>
      <c r="B274" s="10">
        <v>45875</v>
      </c>
      <c r="C274" s="9" t="s">
        <v>151</v>
      </c>
      <c r="D274" s="11">
        <v>0.91666666666666663</v>
      </c>
      <c r="E274" s="11">
        <v>0.97916666666666663</v>
      </c>
      <c r="F274" s="12">
        <v>14932</v>
      </c>
      <c r="G274" s="13">
        <v>47</v>
      </c>
      <c r="H274" s="13">
        <v>81018</v>
      </c>
      <c r="I274" s="13">
        <v>561</v>
      </c>
    </row>
    <row r="275" spans="1:9" x14ac:dyDescent="0.3">
      <c r="A275" s="9" t="s">
        <v>421</v>
      </c>
      <c r="B275" s="10">
        <v>45876</v>
      </c>
      <c r="C275" s="9" t="s">
        <v>160</v>
      </c>
      <c r="D275" s="11">
        <v>0.54166666666666663</v>
      </c>
      <c r="E275" s="11">
        <v>0.625</v>
      </c>
      <c r="F275" s="12">
        <v>13484</v>
      </c>
      <c r="G275" s="13">
        <v>41</v>
      </c>
      <c r="H275" s="13">
        <v>68535</v>
      </c>
      <c r="I275" s="13">
        <v>657</v>
      </c>
    </row>
    <row r="276" spans="1:9" x14ac:dyDescent="0.3">
      <c r="A276" s="9" t="s">
        <v>422</v>
      </c>
      <c r="B276" s="10">
        <v>45876</v>
      </c>
      <c r="C276" s="9" t="s">
        <v>219</v>
      </c>
      <c r="D276" s="11">
        <v>0.66666666666666663</v>
      </c>
      <c r="E276" s="11">
        <v>0.79166666666666663</v>
      </c>
      <c r="F276" s="12">
        <v>62139</v>
      </c>
      <c r="G276" s="13">
        <v>166</v>
      </c>
      <c r="H276" s="13">
        <v>222832</v>
      </c>
      <c r="I276" s="13">
        <v>1174</v>
      </c>
    </row>
    <row r="277" spans="1:9" x14ac:dyDescent="0.3">
      <c r="A277" s="9" t="s">
        <v>423</v>
      </c>
      <c r="B277" s="10">
        <v>45876</v>
      </c>
      <c r="C277" s="9" t="s">
        <v>151</v>
      </c>
      <c r="D277" s="11">
        <v>0.79166666666666663</v>
      </c>
      <c r="E277" s="11">
        <v>0.875</v>
      </c>
      <c r="F277" s="12">
        <v>53438</v>
      </c>
      <c r="G277" s="13">
        <v>147</v>
      </c>
      <c r="H277" s="13">
        <v>182958</v>
      </c>
      <c r="I277" s="13">
        <v>1384</v>
      </c>
    </row>
    <row r="278" spans="1:9" x14ac:dyDescent="0.3">
      <c r="A278" s="9" t="s">
        <v>424</v>
      </c>
      <c r="B278" s="10">
        <v>45876</v>
      </c>
      <c r="C278" s="9" t="s">
        <v>160</v>
      </c>
      <c r="D278" s="11">
        <v>0.91666666666666663</v>
      </c>
      <c r="E278" s="11">
        <v>0.97916666666666663</v>
      </c>
      <c r="F278" s="12">
        <v>19160</v>
      </c>
      <c r="G278" s="13">
        <v>55</v>
      </c>
      <c r="H278" s="13">
        <v>71931</v>
      </c>
      <c r="I278" s="13">
        <v>397</v>
      </c>
    </row>
    <row r="279" spans="1:9" x14ac:dyDescent="0.3">
      <c r="A279" s="9" t="s">
        <v>425</v>
      </c>
      <c r="B279" s="10">
        <v>45877</v>
      </c>
      <c r="C279" s="9" t="s">
        <v>149</v>
      </c>
      <c r="D279" s="11">
        <v>0.41666666666666669</v>
      </c>
      <c r="E279" s="11">
        <v>0.54166666666666663</v>
      </c>
      <c r="F279" s="12">
        <v>38731</v>
      </c>
      <c r="G279" s="13">
        <v>122</v>
      </c>
      <c r="H279" s="13">
        <v>115592</v>
      </c>
      <c r="I279" s="13">
        <v>1242</v>
      </c>
    </row>
    <row r="280" spans="1:9" x14ac:dyDescent="0.3">
      <c r="A280" s="9" t="s">
        <v>426</v>
      </c>
      <c r="B280" s="10">
        <v>45877</v>
      </c>
      <c r="C280" s="9" t="s">
        <v>160</v>
      </c>
      <c r="D280" s="11">
        <v>0.54166666666666663</v>
      </c>
      <c r="E280" s="11">
        <v>0.64583333333333337</v>
      </c>
      <c r="F280" s="12">
        <v>32994</v>
      </c>
      <c r="G280" s="13">
        <v>91</v>
      </c>
      <c r="H280" s="13">
        <v>130251</v>
      </c>
      <c r="I280" s="13">
        <v>1672</v>
      </c>
    </row>
    <row r="281" spans="1:9" x14ac:dyDescent="0.3">
      <c r="A281" s="9" t="s">
        <v>427</v>
      </c>
      <c r="B281" s="10">
        <v>45877</v>
      </c>
      <c r="C281" s="9" t="s">
        <v>160</v>
      </c>
      <c r="D281" s="11">
        <v>0.66666666666666663</v>
      </c>
      <c r="E281" s="11">
        <v>0.79166666666666663</v>
      </c>
      <c r="F281" s="12">
        <v>31649</v>
      </c>
      <c r="G281" s="13">
        <v>82</v>
      </c>
      <c r="H281" s="13">
        <v>105814</v>
      </c>
      <c r="I281" s="13">
        <v>742</v>
      </c>
    </row>
    <row r="282" spans="1:9" x14ac:dyDescent="0.3">
      <c r="A282" s="9" t="s">
        <v>428</v>
      </c>
      <c r="B282" s="10">
        <v>45877</v>
      </c>
      <c r="C282" s="9" t="s">
        <v>149</v>
      </c>
      <c r="D282" s="11">
        <v>0.79166666666666663</v>
      </c>
      <c r="E282" s="11">
        <v>0.85416666666666663</v>
      </c>
      <c r="F282" s="12">
        <v>44555</v>
      </c>
      <c r="G282" s="13">
        <v>152</v>
      </c>
      <c r="H282" s="13">
        <v>206612</v>
      </c>
      <c r="I282" s="13">
        <v>999</v>
      </c>
    </row>
    <row r="283" spans="1:9" x14ac:dyDescent="0.3">
      <c r="A283" s="9" t="s">
        <v>429</v>
      </c>
      <c r="B283" s="10">
        <v>45877</v>
      </c>
      <c r="C283" s="9" t="s">
        <v>160</v>
      </c>
      <c r="D283" s="11">
        <v>0.91666666666666663</v>
      </c>
      <c r="E283" s="11">
        <v>4.1666666666666657E-2</v>
      </c>
      <c r="F283" s="12">
        <v>92607</v>
      </c>
      <c r="G283" s="13">
        <v>287</v>
      </c>
      <c r="H283" s="13">
        <v>356190</v>
      </c>
      <c r="I283" s="13">
        <v>2879</v>
      </c>
    </row>
    <row r="284" spans="1:9" x14ac:dyDescent="0.3">
      <c r="A284" s="9" t="s">
        <v>430</v>
      </c>
      <c r="B284" s="10">
        <v>45878</v>
      </c>
      <c r="C284" s="9" t="s">
        <v>147</v>
      </c>
      <c r="D284" s="11">
        <v>0.54166666666666663</v>
      </c>
      <c r="E284" s="11">
        <v>0.66666666666666663</v>
      </c>
      <c r="F284" s="12">
        <v>62930</v>
      </c>
      <c r="G284" s="13">
        <v>183</v>
      </c>
      <c r="H284" s="13">
        <v>198323</v>
      </c>
      <c r="I284" s="13">
        <v>1579</v>
      </c>
    </row>
    <row r="285" spans="1:9" x14ac:dyDescent="0.3">
      <c r="A285" s="9" t="s">
        <v>431</v>
      </c>
      <c r="B285" s="10">
        <v>45878</v>
      </c>
      <c r="C285" s="9" t="s">
        <v>160</v>
      </c>
      <c r="D285" s="11">
        <v>0.66666666666666663</v>
      </c>
      <c r="E285" s="11">
        <v>0.77083333333333337</v>
      </c>
      <c r="F285" s="12">
        <v>31269</v>
      </c>
      <c r="G285" s="13">
        <v>89</v>
      </c>
      <c r="H285" s="13">
        <v>134745</v>
      </c>
      <c r="I285" s="13">
        <v>1323</v>
      </c>
    </row>
    <row r="286" spans="1:9" x14ac:dyDescent="0.3">
      <c r="A286" s="9" t="s">
        <v>432</v>
      </c>
      <c r="B286" s="10">
        <v>45878</v>
      </c>
      <c r="C286" s="9" t="s">
        <v>147</v>
      </c>
      <c r="D286" s="11">
        <v>0.79166666666666663</v>
      </c>
      <c r="E286" s="11">
        <v>0.89583333333333337</v>
      </c>
      <c r="F286" s="12">
        <v>38825</v>
      </c>
      <c r="G286" s="13">
        <v>102</v>
      </c>
      <c r="H286" s="13">
        <v>106341</v>
      </c>
      <c r="I286" s="13">
        <v>1021</v>
      </c>
    </row>
    <row r="287" spans="1:9" x14ac:dyDescent="0.3">
      <c r="A287" s="9" t="s">
        <v>433</v>
      </c>
      <c r="B287" s="10">
        <v>45878</v>
      </c>
      <c r="C287" s="9" t="s">
        <v>147</v>
      </c>
      <c r="D287" s="11">
        <v>0.91666666666666663</v>
      </c>
      <c r="E287" s="11">
        <v>2.0833333333333329E-2</v>
      </c>
      <c r="F287" s="12">
        <v>40987</v>
      </c>
      <c r="G287" s="13">
        <v>114</v>
      </c>
      <c r="H287" s="13">
        <v>135592</v>
      </c>
      <c r="I287" s="13">
        <v>590</v>
      </c>
    </row>
    <row r="288" spans="1:9" x14ac:dyDescent="0.3">
      <c r="A288" s="9" t="s">
        <v>434</v>
      </c>
      <c r="B288" s="10">
        <v>45879</v>
      </c>
      <c r="C288" s="9" t="s">
        <v>147</v>
      </c>
      <c r="D288" s="11">
        <v>0.41666666666666669</v>
      </c>
      <c r="E288" s="11">
        <v>0.52083333333333337</v>
      </c>
      <c r="F288" s="12">
        <v>25287</v>
      </c>
      <c r="G288" s="13">
        <v>76</v>
      </c>
      <c r="H288" s="13">
        <v>75910</v>
      </c>
      <c r="I288" s="13">
        <v>318</v>
      </c>
    </row>
    <row r="289" spans="1:9" x14ac:dyDescent="0.3">
      <c r="A289" s="9" t="s">
        <v>435</v>
      </c>
      <c r="B289" s="10">
        <v>45879</v>
      </c>
      <c r="C289" s="9" t="s">
        <v>147</v>
      </c>
      <c r="D289" s="11">
        <v>0.54166666666666663</v>
      </c>
      <c r="E289" s="11">
        <v>0.625</v>
      </c>
      <c r="F289" s="12">
        <v>29986</v>
      </c>
      <c r="G289" s="13">
        <v>91</v>
      </c>
      <c r="H289" s="13">
        <v>120953</v>
      </c>
      <c r="I289" s="13">
        <v>1496</v>
      </c>
    </row>
    <row r="290" spans="1:9" x14ac:dyDescent="0.3">
      <c r="A290" s="9" t="s">
        <v>436</v>
      </c>
      <c r="B290" s="10">
        <v>45879</v>
      </c>
      <c r="C290" s="9" t="s">
        <v>160</v>
      </c>
      <c r="D290" s="11">
        <v>0.66666666666666663</v>
      </c>
      <c r="E290" s="11">
        <v>0.79166666666666663</v>
      </c>
      <c r="F290" s="12">
        <v>42556</v>
      </c>
      <c r="G290" s="13">
        <v>130</v>
      </c>
      <c r="H290" s="13">
        <v>199276</v>
      </c>
      <c r="I290" s="13">
        <v>1054</v>
      </c>
    </row>
    <row r="291" spans="1:9" x14ac:dyDescent="0.3">
      <c r="A291" s="9" t="s">
        <v>437</v>
      </c>
      <c r="B291" s="10">
        <v>45879</v>
      </c>
      <c r="C291" s="9" t="s">
        <v>149</v>
      </c>
      <c r="D291" s="11">
        <v>0.79166666666666663</v>
      </c>
      <c r="E291" s="11">
        <v>0.91666666666666663</v>
      </c>
      <c r="F291" s="12">
        <v>67742</v>
      </c>
      <c r="G291" s="13">
        <v>190</v>
      </c>
      <c r="H291" s="13">
        <v>295145</v>
      </c>
      <c r="I291" s="13">
        <v>3096</v>
      </c>
    </row>
    <row r="292" spans="1:9" x14ac:dyDescent="0.3">
      <c r="A292" s="9" t="s">
        <v>438</v>
      </c>
      <c r="B292" s="10">
        <v>45879</v>
      </c>
      <c r="C292" s="9" t="s">
        <v>147</v>
      </c>
      <c r="D292" s="11">
        <v>0.91666666666666663</v>
      </c>
      <c r="E292" s="11">
        <v>2.0833333333333329E-2</v>
      </c>
      <c r="F292" s="12">
        <v>40243</v>
      </c>
      <c r="G292" s="13">
        <v>102</v>
      </c>
      <c r="H292" s="13">
        <v>111771</v>
      </c>
      <c r="I292" s="13">
        <v>1119</v>
      </c>
    </row>
    <row r="293" spans="1:9" x14ac:dyDescent="0.3">
      <c r="A293" s="9" t="s">
        <v>439</v>
      </c>
      <c r="B293" s="10">
        <v>45880</v>
      </c>
      <c r="C293" s="9" t="s">
        <v>149</v>
      </c>
      <c r="D293" s="11">
        <v>0.41666666666666669</v>
      </c>
      <c r="E293" s="11">
        <v>0.5</v>
      </c>
      <c r="F293" s="12">
        <v>16178</v>
      </c>
      <c r="G293" s="13">
        <v>49</v>
      </c>
      <c r="H293" s="13">
        <v>46228</v>
      </c>
      <c r="I293" s="13">
        <v>597</v>
      </c>
    </row>
    <row r="294" spans="1:9" x14ac:dyDescent="0.3">
      <c r="A294" s="9" t="s">
        <v>440</v>
      </c>
      <c r="B294" s="10">
        <v>45880</v>
      </c>
      <c r="C294" s="9" t="s">
        <v>219</v>
      </c>
      <c r="D294" s="11">
        <v>0.54166666666666663</v>
      </c>
      <c r="E294" s="11">
        <v>0.625</v>
      </c>
      <c r="F294" s="12">
        <v>38634</v>
      </c>
      <c r="G294" s="13">
        <v>122</v>
      </c>
      <c r="H294" s="13">
        <v>142886</v>
      </c>
      <c r="I294" s="13">
        <v>1206</v>
      </c>
    </row>
    <row r="295" spans="1:9" x14ac:dyDescent="0.3">
      <c r="A295" s="9" t="s">
        <v>441</v>
      </c>
      <c r="B295" s="10">
        <v>45880</v>
      </c>
      <c r="C295" s="9" t="s">
        <v>149</v>
      </c>
      <c r="D295" s="11">
        <v>0.79166666666666663</v>
      </c>
      <c r="E295" s="11">
        <v>0.875</v>
      </c>
      <c r="F295" s="12">
        <v>33676</v>
      </c>
      <c r="G295" s="13">
        <v>85</v>
      </c>
      <c r="H295" s="13">
        <v>92442</v>
      </c>
      <c r="I295" s="13">
        <v>503</v>
      </c>
    </row>
    <row r="296" spans="1:9" x14ac:dyDescent="0.3">
      <c r="A296" s="9" t="s">
        <v>442</v>
      </c>
      <c r="B296" s="10">
        <v>45880</v>
      </c>
      <c r="C296" s="9" t="s">
        <v>149</v>
      </c>
      <c r="D296" s="11">
        <v>0.91666666666666663</v>
      </c>
      <c r="E296" s="11">
        <v>0</v>
      </c>
      <c r="F296" s="12">
        <v>39699</v>
      </c>
      <c r="G296" s="13">
        <v>105</v>
      </c>
      <c r="H296" s="13">
        <v>230863</v>
      </c>
      <c r="I296" s="13">
        <v>2736</v>
      </c>
    </row>
    <row r="297" spans="1:9" x14ac:dyDescent="0.3">
      <c r="A297" s="9" t="s">
        <v>443</v>
      </c>
      <c r="B297" s="10">
        <v>45881</v>
      </c>
      <c r="C297" s="9" t="s">
        <v>151</v>
      </c>
      <c r="D297" s="11">
        <v>0.66666666666666663</v>
      </c>
      <c r="E297" s="11">
        <v>0.77083333333333337</v>
      </c>
      <c r="F297" s="12">
        <v>35711</v>
      </c>
      <c r="G297" s="13">
        <v>84</v>
      </c>
      <c r="H297" s="13">
        <v>65012</v>
      </c>
      <c r="I297" s="13">
        <v>368</v>
      </c>
    </row>
    <row r="298" spans="1:9" x14ac:dyDescent="0.3">
      <c r="A298" s="9" t="s">
        <v>444</v>
      </c>
      <c r="B298" s="10">
        <v>45881</v>
      </c>
      <c r="C298" s="9" t="s">
        <v>149</v>
      </c>
      <c r="D298" s="11">
        <v>0.79166666666666663</v>
      </c>
      <c r="E298" s="11">
        <v>0.91666666666666663</v>
      </c>
      <c r="F298" s="12">
        <v>24699</v>
      </c>
      <c r="G298" s="13">
        <v>63</v>
      </c>
      <c r="H298" s="13">
        <v>54108</v>
      </c>
      <c r="I298" s="13">
        <v>642</v>
      </c>
    </row>
    <row r="299" spans="1:9" x14ac:dyDescent="0.3">
      <c r="A299" s="9" t="s">
        <v>445</v>
      </c>
      <c r="B299" s="10">
        <v>45881</v>
      </c>
      <c r="C299" s="9" t="s">
        <v>149</v>
      </c>
      <c r="D299" s="11">
        <v>0.91666666666666663</v>
      </c>
      <c r="E299" s="11">
        <v>4.1666666666666657E-2</v>
      </c>
      <c r="F299" s="12">
        <v>25620</v>
      </c>
      <c r="G299" s="13">
        <v>79</v>
      </c>
      <c r="H299" s="13">
        <v>61517</v>
      </c>
      <c r="I299" s="13">
        <v>620</v>
      </c>
    </row>
    <row r="300" spans="1:9" x14ac:dyDescent="0.3">
      <c r="A300" s="9" t="s">
        <v>446</v>
      </c>
      <c r="B300" s="10">
        <v>45882</v>
      </c>
      <c r="C300" s="9" t="s">
        <v>149</v>
      </c>
      <c r="D300" s="11">
        <v>0.54166666666666663</v>
      </c>
      <c r="E300" s="11">
        <v>0.625</v>
      </c>
      <c r="F300" s="12">
        <v>20973</v>
      </c>
      <c r="G300" s="13">
        <v>61</v>
      </c>
      <c r="H300" s="13">
        <v>67507</v>
      </c>
      <c r="I300" s="13">
        <v>450</v>
      </c>
    </row>
    <row r="301" spans="1:9" x14ac:dyDescent="0.3">
      <c r="A301" s="9" t="s">
        <v>447</v>
      </c>
      <c r="B301" s="10">
        <v>45882</v>
      </c>
      <c r="C301" s="9" t="s">
        <v>149</v>
      </c>
      <c r="D301" s="11">
        <v>0.66666666666666663</v>
      </c>
      <c r="E301" s="11">
        <v>0.77083333333333337</v>
      </c>
      <c r="F301" s="12">
        <v>20945</v>
      </c>
      <c r="G301" s="13">
        <v>75</v>
      </c>
      <c r="H301" s="13">
        <v>32069</v>
      </c>
      <c r="I301" s="13">
        <v>332</v>
      </c>
    </row>
    <row r="302" spans="1:9" x14ac:dyDescent="0.3">
      <c r="A302" s="9" t="s">
        <v>448</v>
      </c>
      <c r="B302" s="10">
        <v>45882</v>
      </c>
      <c r="C302" s="9" t="s">
        <v>149</v>
      </c>
      <c r="D302" s="11">
        <v>0.79166666666666663</v>
      </c>
      <c r="E302" s="11">
        <v>0.85416666666666663</v>
      </c>
      <c r="F302" s="12">
        <v>35988</v>
      </c>
      <c r="G302" s="13">
        <v>115</v>
      </c>
      <c r="H302" s="13">
        <v>110197</v>
      </c>
      <c r="I302" s="13">
        <v>1022</v>
      </c>
    </row>
    <row r="303" spans="1:9" x14ac:dyDescent="0.3">
      <c r="A303" s="9" t="s">
        <v>449</v>
      </c>
      <c r="B303" s="10">
        <v>45883</v>
      </c>
      <c r="C303" s="9" t="s">
        <v>160</v>
      </c>
      <c r="D303" s="11">
        <v>0.41666666666666669</v>
      </c>
      <c r="E303" s="11">
        <v>0.5</v>
      </c>
      <c r="F303" s="12">
        <v>10556</v>
      </c>
      <c r="G303" s="13">
        <v>29</v>
      </c>
      <c r="H303" s="13">
        <v>45818</v>
      </c>
      <c r="I303" s="13">
        <v>364</v>
      </c>
    </row>
    <row r="304" spans="1:9" x14ac:dyDescent="0.3">
      <c r="A304" s="9" t="s">
        <v>450</v>
      </c>
      <c r="B304" s="10">
        <v>45883</v>
      </c>
      <c r="C304" s="9" t="s">
        <v>219</v>
      </c>
      <c r="D304" s="11">
        <v>0.54166666666666663</v>
      </c>
      <c r="E304" s="11">
        <v>0.625</v>
      </c>
      <c r="F304" s="12">
        <v>16738</v>
      </c>
      <c r="G304" s="13">
        <v>46</v>
      </c>
      <c r="H304" s="13">
        <v>43549</v>
      </c>
      <c r="I304" s="13">
        <v>362</v>
      </c>
    </row>
    <row r="305" spans="1:9" x14ac:dyDescent="0.3">
      <c r="A305" s="9" t="s">
        <v>451</v>
      </c>
      <c r="B305" s="10">
        <v>45883</v>
      </c>
      <c r="C305" s="9" t="s">
        <v>160</v>
      </c>
      <c r="D305" s="11">
        <v>0.66666666666666663</v>
      </c>
      <c r="E305" s="11">
        <v>0.77083333333333337</v>
      </c>
      <c r="F305" s="12">
        <v>36001</v>
      </c>
      <c r="G305" s="13">
        <v>115</v>
      </c>
      <c r="H305" s="13">
        <v>91090</v>
      </c>
      <c r="I305" s="13">
        <v>854</v>
      </c>
    </row>
    <row r="306" spans="1:9" x14ac:dyDescent="0.3">
      <c r="A306" s="9" t="s">
        <v>452</v>
      </c>
      <c r="B306" s="10">
        <v>45883</v>
      </c>
      <c r="C306" s="9" t="s">
        <v>219</v>
      </c>
      <c r="D306" s="11">
        <v>0.79166666666666663</v>
      </c>
      <c r="E306" s="11">
        <v>0.85416666666666663</v>
      </c>
      <c r="F306" s="12">
        <v>27446</v>
      </c>
      <c r="G306" s="13">
        <v>79</v>
      </c>
      <c r="H306" s="13">
        <v>103558</v>
      </c>
      <c r="I306" s="13">
        <v>448</v>
      </c>
    </row>
    <row r="307" spans="1:9" x14ac:dyDescent="0.3">
      <c r="A307" s="9" t="s">
        <v>453</v>
      </c>
      <c r="B307" s="10">
        <v>45883</v>
      </c>
      <c r="C307" s="9" t="s">
        <v>149</v>
      </c>
      <c r="D307" s="11">
        <v>0.91666666666666663</v>
      </c>
      <c r="E307" s="11">
        <v>0</v>
      </c>
      <c r="F307" s="12">
        <v>31783</v>
      </c>
      <c r="G307" s="13">
        <v>89</v>
      </c>
      <c r="H307" s="13">
        <v>100744</v>
      </c>
      <c r="I307" s="13">
        <v>1009</v>
      </c>
    </row>
    <row r="308" spans="1:9" x14ac:dyDescent="0.3">
      <c r="A308" s="9" t="s">
        <v>454</v>
      </c>
      <c r="B308" s="10">
        <v>45884</v>
      </c>
      <c r="C308" s="9" t="s">
        <v>149</v>
      </c>
      <c r="D308" s="11">
        <v>0.41666666666666669</v>
      </c>
      <c r="E308" s="11">
        <v>0.52083333333333337</v>
      </c>
      <c r="F308" s="12">
        <v>13668</v>
      </c>
      <c r="G308" s="13">
        <v>36</v>
      </c>
      <c r="H308" s="13">
        <v>38352</v>
      </c>
      <c r="I308" s="13">
        <v>251</v>
      </c>
    </row>
    <row r="309" spans="1:9" x14ac:dyDescent="0.3">
      <c r="A309" s="9" t="s">
        <v>455</v>
      </c>
      <c r="B309" s="10">
        <v>45884</v>
      </c>
      <c r="C309" s="9" t="s">
        <v>149</v>
      </c>
      <c r="D309" s="11">
        <v>0.66666666666666663</v>
      </c>
      <c r="E309" s="11">
        <v>0.79166666666666663</v>
      </c>
      <c r="F309" s="12">
        <v>50526</v>
      </c>
      <c r="G309" s="13">
        <v>163</v>
      </c>
      <c r="H309" s="13">
        <v>209524</v>
      </c>
      <c r="I309" s="13">
        <v>875</v>
      </c>
    </row>
    <row r="310" spans="1:9" x14ac:dyDescent="0.3">
      <c r="A310" s="9" t="s">
        <v>456</v>
      </c>
      <c r="B310" s="10">
        <v>45884</v>
      </c>
      <c r="C310" s="9" t="s">
        <v>149</v>
      </c>
      <c r="D310" s="11">
        <v>0.79166666666666663</v>
      </c>
      <c r="E310" s="11">
        <v>0.85416666666666663</v>
      </c>
      <c r="F310" s="12">
        <v>37128</v>
      </c>
      <c r="G310" s="13">
        <v>96</v>
      </c>
      <c r="H310" s="13">
        <v>108383</v>
      </c>
      <c r="I310" s="13">
        <v>841</v>
      </c>
    </row>
    <row r="311" spans="1:9" x14ac:dyDescent="0.3">
      <c r="A311" s="9" t="s">
        <v>457</v>
      </c>
      <c r="B311" s="10">
        <v>45884</v>
      </c>
      <c r="C311" s="9" t="s">
        <v>147</v>
      </c>
      <c r="D311" s="11">
        <v>0.91666666666666663</v>
      </c>
      <c r="E311" s="11">
        <v>2.0833333333333329E-2</v>
      </c>
      <c r="F311" s="12">
        <v>25224</v>
      </c>
      <c r="G311" s="13">
        <v>84</v>
      </c>
      <c r="H311" s="13">
        <v>115095</v>
      </c>
      <c r="I311" s="13">
        <v>848</v>
      </c>
    </row>
    <row r="312" spans="1:9" x14ac:dyDescent="0.3">
      <c r="A312" s="9" t="s">
        <v>458</v>
      </c>
      <c r="B312" s="10">
        <v>45885</v>
      </c>
      <c r="C312" s="9" t="s">
        <v>149</v>
      </c>
      <c r="D312" s="11">
        <v>0.41666666666666669</v>
      </c>
      <c r="E312" s="11">
        <v>0.54166666666666663</v>
      </c>
      <c r="F312" s="12">
        <v>33471</v>
      </c>
      <c r="G312" s="13">
        <v>112</v>
      </c>
      <c r="H312" s="13">
        <v>66517</v>
      </c>
      <c r="I312" s="13">
        <v>505</v>
      </c>
    </row>
    <row r="313" spans="1:9" x14ac:dyDescent="0.3">
      <c r="A313" s="9" t="s">
        <v>459</v>
      </c>
      <c r="B313" s="10">
        <v>45885</v>
      </c>
      <c r="C313" s="9" t="s">
        <v>147</v>
      </c>
      <c r="D313" s="11">
        <v>0.54166666666666663</v>
      </c>
      <c r="E313" s="11">
        <v>0.625</v>
      </c>
      <c r="F313" s="12">
        <v>38520</v>
      </c>
      <c r="G313" s="13">
        <v>108</v>
      </c>
      <c r="H313" s="13">
        <v>87911</v>
      </c>
      <c r="I313" s="13">
        <v>1028</v>
      </c>
    </row>
    <row r="314" spans="1:9" x14ac:dyDescent="0.3">
      <c r="A314" s="9" t="s">
        <v>460</v>
      </c>
      <c r="B314" s="10">
        <v>45885</v>
      </c>
      <c r="C314" s="9" t="s">
        <v>147</v>
      </c>
      <c r="D314" s="11">
        <v>0.66666666666666663</v>
      </c>
      <c r="E314" s="11">
        <v>0.72916666666666663</v>
      </c>
      <c r="F314" s="12">
        <v>18975</v>
      </c>
      <c r="G314" s="13">
        <v>56</v>
      </c>
      <c r="H314" s="13">
        <v>58214</v>
      </c>
      <c r="I314" s="13">
        <v>512</v>
      </c>
    </row>
    <row r="315" spans="1:9" x14ac:dyDescent="0.3">
      <c r="A315" s="9" t="s">
        <v>461</v>
      </c>
      <c r="B315" s="10">
        <v>45885</v>
      </c>
      <c r="C315" s="9" t="s">
        <v>151</v>
      </c>
      <c r="D315" s="11">
        <v>0.79166666666666663</v>
      </c>
      <c r="E315" s="11">
        <v>0.85416666666666663</v>
      </c>
      <c r="F315" s="12">
        <v>40059</v>
      </c>
      <c r="G315" s="13">
        <v>124</v>
      </c>
      <c r="H315" s="13">
        <v>119053</v>
      </c>
      <c r="I315" s="13">
        <v>894</v>
      </c>
    </row>
    <row r="316" spans="1:9" x14ac:dyDescent="0.3">
      <c r="A316" s="9" t="s">
        <v>462</v>
      </c>
      <c r="B316" s="10">
        <v>45885</v>
      </c>
      <c r="C316" s="9" t="s">
        <v>149</v>
      </c>
      <c r="D316" s="11">
        <v>0.91666666666666663</v>
      </c>
      <c r="E316" s="11">
        <v>0</v>
      </c>
      <c r="F316" s="12">
        <v>27311</v>
      </c>
      <c r="G316" s="13">
        <v>97</v>
      </c>
      <c r="H316" s="13">
        <v>54597</v>
      </c>
      <c r="I316" s="13">
        <v>443</v>
      </c>
    </row>
    <row r="317" spans="1:9" x14ac:dyDescent="0.3">
      <c r="A317" s="9" t="s">
        <v>463</v>
      </c>
      <c r="B317" s="10">
        <v>45886</v>
      </c>
      <c r="C317" s="9" t="s">
        <v>149</v>
      </c>
      <c r="D317" s="11">
        <v>0.41666666666666669</v>
      </c>
      <c r="E317" s="11">
        <v>0.54166666666666663</v>
      </c>
      <c r="F317" s="12">
        <v>26161</v>
      </c>
      <c r="G317" s="13">
        <v>85</v>
      </c>
      <c r="H317" s="13">
        <v>65430</v>
      </c>
      <c r="I317" s="13">
        <v>831</v>
      </c>
    </row>
    <row r="318" spans="1:9" x14ac:dyDescent="0.3">
      <c r="A318" s="9" t="s">
        <v>464</v>
      </c>
      <c r="B318" s="10">
        <v>45886</v>
      </c>
      <c r="C318" s="9" t="s">
        <v>149</v>
      </c>
      <c r="D318" s="11">
        <v>0.54166666666666663</v>
      </c>
      <c r="E318" s="11">
        <v>0.66666666666666663</v>
      </c>
      <c r="F318" s="12">
        <v>33972</v>
      </c>
      <c r="G318" s="13">
        <v>84</v>
      </c>
      <c r="H318" s="13">
        <v>149328</v>
      </c>
      <c r="I318" s="13">
        <v>1266</v>
      </c>
    </row>
    <row r="319" spans="1:9" x14ac:dyDescent="0.3">
      <c r="A319" s="9" t="s">
        <v>465</v>
      </c>
      <c r="B319" s="10">
        <v>45886</v>
      </c>
      <c r="C319" s="9" t="s">
        <v>219</v>
      </c>
      <c r="D319" s="11">
        <v>0.66666666666666663</v>
      </c>
      <c r="E319" s="11">
        <v>0.79166666666666663</v>
      </c>
      <c r="F319" s="12">
        <v>47979</v>
      </c>
      <c r="G319" s="13">
        <v>150</v>
      </c>
      <c r="H319" s="13">
        <v>223946</v>
      </c>
      <c r="I319" s="13">
        <v>2296</v>
      </c>
    </row>
    <row r="320" spans="1:9" x14ac:dyDescent="0.3">
      <c r="A320" s="9" t="s">
        <v>466</v>
      </c>
      <c r="B320" s="10">
        <v>45886</v>
      </c>
      <c r="C320" s="9" t="s">
        <v>147</v>
      </c>
      <c r="D320" s="11">
        <v>0.79166666666666663</v>
      </c>
      <c r="E320" s="11">
        <v>0.91666666666666663</v>
      </c>
      <c r="F320" s="12">
        <v>37124</v>
      </c>
      <c r="G320" s="13">
        <v>111</v>
      </c>
      <c r="H320" s="13">
        <v>110108</v>
      </c>
      <c r="I320" s="13">
        <v>1003</v>
      </c>
    </row>
    <row r="321" spans="1:9" x14ac:dyDescent="0.3">
      <c r="A321" s="9" t="s">
        <v>467</v>
      </c>
      <c r="B321" s="10">
        <v>45886</v>
      </c>
      <c r="C321" s="9" t="s">
        <v>219</v>
      </c>
      <c r="D321" s="11">
        <v>0.91666666666666663</v>
      </c>
      <c r="E321" s="11">
        <v>2.0833333333333329E-2</v>
      </c>
      <c r="F321" s="12">
        <v>43315</v>
      </c>
      <c r="G321" s="13">
        <v>140</v>
      </c>
      <c r="H321" s="13">
        <v>133238</v>
      </c>
      <c r="I321" s="13">
        <v>876</v>
      </c>
    </row>
    <row r="322" spans="1:9" x14ac:dyDescent="0.3">
      <c r="A322" s="9" t="s">
        <v>468</v>
      </c>
      <c r="B322" s="10">
        <v>45887</v>
      </c>
      <c r="C322" s="9" t="s">
        <v>147</v>
      </c>
      <c r="D322" s="11">
        <v>0.41666666666666669</v>
      </c>
      <c r="E322" s="11">
        <v>0.5</v>
      </c>
      <c r="F322" s="12">
        <v>12224</v>
      </c>
      <c r="G322" s="13">
        <v>36</v>
      </c>
      <c r="H322" s="13">
        <v>40756</v>
      </c>
      <c r="I322" s="13">
        <v>377</v>
      </c>
    </row>
    <row r="323" spans="1:9" x14ac:dyDescent="0.3">
      <c r="A323" s="9" t="s">
        <v>469</v>
      </c>
      <c r="B323" s="10">
        <v>45887</v>
      </c>
      <c r="C323" s="9" t="s">
        <v>219</v>
      </c>
      <c r="D323" s="11">
        <v>0.54166666666666663</v>
      </c>
      <c r="E323" s="11">
        <v>0.64583333333333337</v>
      </c>
      <c r="F323" s="12">
        <v>86109</v>
      </c>
      <c r="G323" s="13">
        <v>209</v>
      </c>
      <c r="H323" s="13">
        <v>211288</v>
      </c>
      <c r="I323" s="13">
        <v>888</v>
      </c>
    </row>
    <row r="324" spans="1:9" x14ac:dyDescent="0.3">
      <c r="A324" s="9" t="s">
        <v>470</v>
      </c>
      <c r="B324" s="10">
        <v>45887</v>
      </c>
      <c r="C324" s="9" t="s">
        <v>149</v>
      </c>
      <c r="D324" s="11">
        <v>0.66666666666666663</v>
      </c>
      <c r="E324" s="11">
        <v>0.75</v>
      </c>
      <c r="F324" s="12">
        <v>15210</v>
      </c>
      <c r="G324" s="13">
        <v>44</v>
      </c>
      <c r="H324" s="13">
        <v>55639</v>
      </c>
      <c r="I324" s="13">
        <v>538</v>
      </c>
    </row>
    <row r="325" spans="1:9" x14ac:dyDescent="0.3">
      <c r="A325" s="9" t="s">
        <v>471</v>
      </c>
      <c r="B325" s="10">
        <v>45887</v>
      </c>
      <c r="C325" s="9" t="s">
        <v>147</v>
      </c>
      <c r="D325" s="11">
        <v>0.79166666666666663</v>
      </c>
      <c r="E325" s="11">
        <v>0.89583333333333337</v>
      </c>
      <c r="F325" s="12">
        <v>33770</v>
      </c>
      <c r="G325" s="13">
        <v>94</v>
      </c>
      <c r="H325" s="13">
        <v>124472</v>
      </c>
      <c r="I325" s="13">
        <v>1177</v>
      </c>
    </row>
    <row r="326" spans="1:9" x14ac:dyDescent="0.3">
      <c r="A326" s="9" t="s">
        <v>472</v>
      </c>
      <c r="B326" s="10">
        <v>45887</v>
      </c>
      <c r="C326" s="9" t="s">
        <v>149</v>
      </c>
      <c r="D326" s="11">
        <v>0.91666666666666663</v>
      </c>
      <c r="E326" s="11">
        <v>4.1666666666666657E-2</v>
      </c>
      <c r="F326" s="12">
        <v>39969</v>
      </c>
      <c r="G326" s="13">
        <v>137</v>
      </c>
      <c r="H326" s="13">
        <v>101745</v>
      </c>
      <c r="I326" s="13">
        <v>1130</v>
      </c>
    </row>
    <row r="327" spans="1:9" x14ac:dyDescent="0.3">
      <c r="A327" s="9" t="s">
        <v>473</v>
      </c>
      <c r="B327" s="10">
        <v>45888</v>
      </c>
      <c r="C327" s="9" t="s">
        <v>160</v>
      </c>
      <c r="D327" s="11">
        <v>0.41666666666666669</v>
      </c>
      <c r="E327" s="11">
        <v>0.52083333333333337</v>
      </c>
      <c r="F327" s="12">
        <v>11542</v>
      </c>
      <c r="G327" s="13">
        <v>35</v>
      </c>
      <c r="H327" s="13">
        <v>43448</v>
      </c>
      <c r="I327" s="13">
        <v>351</v>
      </c>
    </row>
    <row r="328" spans="1:9" x14ac:dyDescent="0.3">
      <c r="A328" s="9" t="s">
        <v>474</v>
      </c>
      <c r="B328" s="10">
        <v>45888</v>
      </c>
      <c r="C328" s="9" t="s">
        <v>219</v>
      </c>
      <c r="D328" s="11">
        <v>0.54166666666666663</v>
      </c>
      <c r="E328" s="11">
        <v>0.64583333333333337</v>
      </c>
      <c r="F328" s="12">
        <v>32360</v>
      </c>
      <c r="G328" s="13">
        <v>90</v>
      </c>
      <c r="H328" s="13">
        <v>80475</v>
      </c>
      <c r="I328" s="13">
        <v>811</v>
      </c>
    </row>
    <row r="329" spans="1:9" x14ac:dyDescent="0.3">
      <c r="A329" s="9" t="s">
        <v>475</v>
      </c>
      <c r="B329" s="10">
        <v>45888</v>
      </c>
      <c r="C329" s="9" t="s">
        <v>147</v>
      </c>
      <c r="D329" s="11">
        <v>0.66666666666666663</v>
      </c>
      <c r="E329" s="11">
        <v>0.75</v>
      </c>
      <c r="F329" s="12">
        <v>29494</v>
      </c>
      <c r="G329" s="13">
        <v>86</v>
      </c>
      <c r="H329" s="13">
        <v>125641</v>
      </c>
      <c r="I329" s="13">
        <v>901</v>
      </c>
    </row>
    <row r="330" spans="1:9" x14ac:dyDescent="0.3">
      <c r="A330" s="9" t="s">
        <v>476</v>
      </c>
      <c r="B330" s="10">
        <v>45888</v>
      </c>
      <c r="C330" s="9" t="s">
        <v>149</v>
      </c>
      <c r="D330" s="11">
        <v>0.79166666666666663</v>
      </c>
      <c r="E330" s="11">
        <v>0.875</v>
      </c>
      <c r="F330" s="12">
        <v>25959</v>
      </c>
      <c r="G330" s="13">
        <v>88</v>
      </c>
      <c r="H330" s="13">
        <v>77588</v>
      </c>
      <c r="I330" s="13">
        <v>613</v>
      </c>
    </row>
    <row r="331" spans="1:9" x14ac:dyDescent="0.3">
      <c r="A331" s="9" t="s">
        <v>477</v>
      </c>
      <c r="B331" s="10">
        <v>45889</v>
      </c>
      <c r="C331" s="9" t="s">
        <v>149</v>
      </c>
      <c r="D331" s="11">
        <v>0.41666666666666669</v>
      </c>
      <c r="E331" s="11">
        <v>0.52083333333333337</v>
      </c>
      <c r="F331" s="12">
        <v>15142</v>
      </c>
      <c r="G331" s="13">
        <v>44</v>
      </c>
      <c r="H331" s="13">
        <v>76525</v>
      </c>
      <c r="I331" s="13">
        <v>650</v>
      </c>
    </row>
    <row r="332" spans="1:9" x14ac:dyDescent="0.3">
      <c r="A332" s="9" t="s">
        <v>478</v>
      </c>
      <c r="B332" s="10">
        <v>45889</v>
      </c>
      <c r="C332" s="9" t="s">
        <v>219</v>
      </c>
      <c r="D332" s="11">
        <v>0.54166666666666663</v>
      </c>
      <c r="E332" s="11">
        <v>0.625</v>
      </c>
      <c r="F332" s="12">
        <v>16806</v>
      </c>
      <c r="G332" s="13">
        <v>43</v>
      </c>
      <c r="H332" s="13">
        <v>55280</v>
      </c>
      <c r="I332" s="13">
        <v>231</v>
      </c>
    </row>
    <row r="333" spans="1:9" x14ac:dyDescent="0.3">
      <c r="A333" s="9" t="s">
        <v>479</v>
      </c>
      <c r="B333" s="10">
        <v>45889</v>
      </c>
      <c r="C333" s="9" t="s">
        <v>147</v>
      </c>
      <c r="D333" s="11">
        <v>0.66666666666666663</v>
      </c>
      <c r="E333" s="11">
        <v>0.79166666666666663</v>
      </c>
      <c r="F333" s="12">
        <v>30320</v>
      </c>
      <c r="G333" s="13">
        <v>87</v>
      </c>
      <c r="H333" s="13">
        <v>117436</v>
      </c>
      <c r="I333" s="13">
        <v>822</v>
      </c>
    </row>
    <row r="334" spans="1:9" x14ac:dyDescent="0.3">
      <c r="A334" s="9" t="s">
        <v>480</v>
      </c>
      <c r="B334" s="10">
        <v>45889</v>
      </c>
      <c r="C334" s="9" t="s">
        <v>147</v>
      </c>
      <c r="D334" s="11">
        <v>0.79166666666666663</v>
      </c>
      <c r="E334" s="11">
        <v>0.89583333333333337</v>
      </c>
      <c r="F334" s="12">
        <v>44239</v>
      </c>
      <c r="G334" s="13">
        <v>116</v>
      </c>
      <c r="H334" s="13">
        <v>127000</v>
      </c>
      <c r="I334" s="13">
        <v>1239</v>
      </c>
    </row>
    <row r="335" spans="1:9" x14ac:dyDescent="0.3">
      <c r="A335" s="9" t="s">
        <v>481</v>
      </c>
      <c r="B335" s="10">
        <v>45889</v>
      </c>
      <c r="C335" s="9" t="s">
        <v>149</v>
      </c>
      <c r="D335" s="11">
        <v>0.91666666666666663</v>
      </c>
      <c r="E335" s="11">
        <v>4.1666666666666657E-2</v>
      </c>
      <c r="F335" s="12">
        <v>21661</v>
      </c>
      <c r="G335" s="13">
        <v>62</v>
      </c>
      <c r="H335" s="13">
        <v>83908</v>
      </c>
      <c r="I335" s="13">
        <v>515</v>
      </c>
    </row>
    <row r="336" spans="1:9" x14ac:dyDescent="0.3">
      <c r="A336" s="9" t="s">
        <v>482</v>
      </c>
      <c r="B336" s="10">
        <v>45890</v>
      </c>
      <c r="C336" s="9" t="s">
        <v>149</v>
      </c>
      <c r="D336" s="11">
        <v>0.41666666666666669</v>
      </c>
      <c r="E336" s="11">
        <v>0.5</v>
      </c>
      <c r="F336" s="12">
        <v>16412</v>
      </c>
      <c r="G336" s="13">
        <v>52</v>
      </c>
      <c r="H336" s="13">
        <v>62112</v>
      </c>
      <c r="I336" s="13">
        <v>524</v>
      </c>
    </row>
    <row r="337" spans="1:9" x14ac:dyDescent="0.3">
      <c r="A337" s="9" t="s">
        <v>483</v>
      </c>
      <c r="B337" s="10">
        <v>45890</v>
      </c>
      <c r="C337" s="9" t="s">
        <v>219</v>
      </c>
      <c r="D337" s="11">
        <v>0.54166666666666663</v>
      </c>
      <c r="E337" s="11">
        <v>0.66666666666666663</v>
      </c>
      <c r="F337" s="12">
        <v>26518</v>
      </c>
      <c r="G337" s="13">
        <v>73</v>
      </c>
      <c r="H337" s="13">
        <v>82872</v>
      </c>
      <c r="I337" s="13">
        <v>475</v>
      </c>
    </row>
    <row r="338" spans="1:9" x14ac:dyDescent="0.3">
      <c r="A338" s="9" t="s">
        <v>484</v>
      </c>
      <c r="B338" s="10">
        <v>45890</v>
      </c>
      <c r="C338" s="9" t="s">
        <v>149</v>
      </c>
      <c r="D338" s="11">
        <v>0.66666666666666663</v>
      </c>
      <c r="E338" s="11">
        <v>0.77083333333333337</v>
      </c>
      <c r="F338" s="12">
        <v>26328</v>
      </c>
      <c r="G338" s="13">
        <v>90</v>
      </c>
      <c r="H338" s="13">
        <v>92454</v>
      </c>
      <c r="I338" s="13">
        <v>934</v>
      </c>
    </row>
    <row r="339" spans="1:9" x14ac:dyDescent="0.3">
      <c r="A339" s="9" t="s">
        <v>485</v>
      </c>
      <c r="B339" s="10">
        <v>45890</v>
      </c>
      <c r="C339" s="9" t="s">
        <v>149</v>
      </c>
      <c r="D339" s="11">
        <v>0.79166666666666663</v>
      </c>
      <c r="E339" s="11">
        <v>0.85416666666666663</v>
      </c>
      <c r="F339" s="12">
        <v>16159</v>
      </c>
      <c r="G339" s="13">
        <v>50</v>
      </c>
      <c r="H339" s="13">
        <v>73302</v>
      </c>
      <c r="I339" s="13">
        <v>669</v>
      </c>
    </row>
    <row r="340" spans="1:9" x14ac:dyDescent="0.3">
      <c r="A340" s="9" t="s">
        <v>486</v>
      </c>
      <c r="B340" s="10">
        <v>45890</v>
      </c>
      <c r="C340" s="9" t="s">
        <v>147</v>
      </c>
      <c r="D340" s="11">
        <v>0.91666666666666663</v>
      </c>
      <c r="E340" s="11">
        <v>2.0833333333333329E-2</v>
      </c>
      <c r="F340" s="12">
        <v>9120</v>
      </c>
      <c r="G340" s="13">
        <v>26</v>
      </c>
      <c r="H340" s="13">
        <v>28020</v>
      </c>
      <c r="I340" s="13">
        <v>156</v>
      </c>
    </row>
    <row r="341" spans="1:9" x14ac:dyDescent="0.3">
      <c r="A341" s="9" t="s">
        <v>487</v>
      </c>
      <c r="B341" s="10">
        <v>45891</v>
      </c>
      <c r="C341" s="9" t="s">
        <v>160</v>
      </c>
      <c r="D341" s="11">
        <v>0.54166666666666663</v>
      </c>
      <c r="E341" s="11">
        <v>0.66666666666666663</v>
      </c>
      <c r="F341" s="12">
        <v>15612</v>
      </c>
      <c r="G341" s="13">
        <v>43</v>
      </c>
      <c r="H341" s="13">
        <v>49666</v>
      </c>
      <c r="I341" s="13">
        <v>325</v>
      </c>
    </row>
    <row r="342" spans="1:9" x14ac:dyDescent="0.3">
      <c r="A342" s="9" t="s">
        <v>488</v>
      </c>
      <c r="B342" s="10">
        <v>45891</v>
      </c>
      <c r="C342" s="9" t="s">
        <v>147</v>
      </c>
      <c r="D342" s="11">
        <v>0.66666666666666663</v>
      </c>
      <c r="E342" s="11">
        <v>0.75</v>
      </c>
      <c r="F342" s="12">
        <v>18798</v>
      </c>
      <c r="G342" s="13">
        <v>55</v>
      </c>
      <c r="H342" s="13">
        <v>75657</v>
      </c>
      <c r="I342" s="13">
        <v>804</v>
      </c>
    </row>
    <row r="343" spans="1:9" x14ac:dyDescent="0.3">
      <c r="A343" s="9" t="s">
        <v>489</v>
      </c>
      <c r="B343" s="10">
        <v>45891</v>
      </c>
      <c r="C343" s="9" t="s">
        <v>219</v>
      </c>
      <c r="D343" s="11">
        <v>0.79166666666666663</v>
      </c>
      <c r="E343" s="11">
        <v>0.85416666666666663</v>
      </c>
      <c r="F343" s="12">
        <v>46782</v>
      </c>
      <c r="G343" s="13">
        <v>125</v>
      </c>
      <c r="H343" s="13">
        <v>155369</v>
      </c>
      <c r="I343" s="13">
        <v>1372</v>
      </c>
    </row>
    <row r="344" spans="1:9" x14ac:dyDescent="0.3">
      <c r="A344" s="9" t="s">
        <v>490</v>
      </c>
      <c r="B344" s="10">
        <v>45892</v>
      </c>
      <c r="C344" s="9" t="s">
        <v>149</v>
      </c>
      <c r="D344" s="11">
        <v>0.41666666666666669</v>
      </c>
      <c r="E344" s="11">
        <v>0.54166666666666663</v>
      </c>
      <c r="F344" s="12">
        <v>31110</v>
      </c>
      <c r="G344" s="13">
        <v>83</v>
      </c>
      <c r="H344" s="13">
        <v>111351</v>
      </c>
      <c r="I344" s="13">
        <v>1330</v>
      </c>
    </row>
    <row r="345" spans="1:9" x14ac:dyDescent="0.3">
      <c r="A345" s="9" t="s">
        <v>491</v>
      </c>
      <c r="B345" s="10">
        <v>45892</v>
      </c>
      <c r="C345" s="9" t="s">
        <v>149</v>
      </c>
      <c r="D345" s="11">
        <v>0.54166666666666663</v>
      </c>
      <c r="E345" s="11">
        <v>0.625</v>
      </c>
      <c r="F345" s="12">
        <v>21170</v>
      </c>
      <c r="G345" s="13">
        <v>60</v>
      </c>
      <c r="H345" s="13">
        <v>97766</v>
      </c>
      <c r="I345" s="13">
        <v>610</v>
      </c>
    </row>
    <row r="346" spans="1:9" x14ac:dyDescent="0.3">
      <c r="A346" s="9" t="s">
        <v>492</v>
      </c>
      <c r="B346" s="10">
        <v>45892</v>
      </c>
      <c r="C346" s="9" t="s">
        <v>160</v>
      </c>
      <c r="D346" s="11">
        <v>0.66666666666666663</v>
      </c>
      <c r="E346" s="11">
        <v>0.77083333333333337</v>
      </c>
      <c r="F346" s="12">
        <v>44129</v>
      </c>
      <c r="G346" s="13">
        <v>102</v>
      </c>
      <c r="H346" s="13">
        <v>164262</v>
      </c>
      <c r="I346" s="13">
        <v>1895</v>
      </c>
    </row>
    <row r="347" spans="1:9" x14ac:dyDescent="0.3">
      <c r="A347" s="9" t="s">
        <v>493</v>
      </c>
      <c r="B347" s="10">
        <v>45892</v>
      </c>
      <c r="C347" s="9" t="s">
        <v>219</v>
      </c>
      <c r="D347" s="11">
        <v>0.79166666666666663</v>
      </c>
      <c r="E347" s="11">
        <v>0.91666666666666663</v>
      </c>
      <c r="F347" s="12">
        <v>50037</v>
      </c>
      <c r="G347" s="13">
        <v>131</v>
      </c>
      <c r="H347" s="13">
        <v>183655</v>
      </c>
      <c r="I347" s="13">
        <v>1538</v>
      </c>
    </row>
    <row r="348" spans="1:9" x14ac:dyDescent="0.3">
      <c r="A348" s="9" t="s">
        <v>494</v>
      </c>
      <c r="B348" s="10">
        <v>45893</v>
      </c>
      <c r="C348" s="9" t="s">
        <v>219</v>
      </c>
      <c r="D348" s="11">
        <v>0.41666666666666669</v>
      </c>
      <c r="E348" s="11">
        <v>0.5</v>
      </c>
      <c r="F348" s="12">
        <v>16916</v>
      </c>
      <c r="G348" s="13">
        <v>51</v>
      </c>
      <c r="H348" s="13">
        <v>47928</v>
      </c>
      <c r="I348" s="13">
        <v>435</v>
      </c>
    </row>
    <row r="349" spans="1:9" x14ac:dyDescent="0.3">
      <c r="A349" s="9" t="s">
        <v>495</v>
      </c>
      <c r="B349" s="10">
        <v>45893</v>
      </c>
      <c r="C349" s="9" t="s">
        <v>219</v>
      </c>
      <c r="D349" s="11">
        <v>0.54166666666666663</v>
      </c>
      <c r="E349" s="11">
        <v>0.64583333333333337</v>
      </c>
      <c r="F349" s="12">
        <v>28620</v>
      </c>
      <c r="G349" s="13">
        <v>95</v>
      </c>
      <c r="H349" s="13">
        <v>133494</v>
      </c>
      <c r="I349" s="13">
        <v>727</v>
      </c>
    </row>
    <row r="350" spans="1:9" x14ac:dyDescent="0.3">
      <c r="A350" s="9" t="s">
        <v>496</v>
      </c>
      <c r="B350" s="10">
        <v>45893</v>
      </c>
      <c r="C350" s="9" t="s">
        <v>151</v>
      </c>
      <c r="D350" s="11">
        <v>0.66666666666666663</v>
      </c>
      <c r="E350" s="11">
        <v>0.75</v>
      </c>
      <c r="F350" s="12">
        <v>31272</v>
      </c>
      <c r="G350" s="13">
        <v>100</v>
      </c>
      <c r="H350" s="13">
        <v>99045</v>
      </c>
      <c r="I350" s="13">
        <v>708</v>
      </c>
    </row>
    <row r="351" spans="1:9" x14ac:dyDescent="0.3">
      <c r="A351" s="9" t="s">
        <v>497</v>
      </c>
      <c r="B351" s="10">
        <v>45893</v>
      </c>
      <c r="C351" s="9" t="s">
        <v>147</v>
      </c>
      <c r="D351" s="11">
        <v>0.79166666666666663</v>
      </c>
      <c r="E351" s="11">
        <v>0.89583333333333337</v>
      </c>
      <c r="F351" s="12">
        <v>43181</v>
      </c>
      <c r="G351" s="13">
        <v>138</v>
      </c>
      <c r="H351" s="13">
        <v>86521</v>
      </c>
      <c r="I351" s="13">
        <v>500</v>
      </c>
    </row>
    <row r="352" spans="1:9" x14ac:dyDescent="0.3">
      <c r="A352" s="9" t="s">
        <v>498</v>
      </c>
      <c r="B352" s="10">
        <v>45893</v>
      </c>
      <c r="C352" s="9" t="s">
        <v>151</v>
      </c>
      <c r="D352" s="11">
        <v>0.91666666666666663</v>
      </c>
      <c r="E352" s="11">
        <v>0.97916666666666663</v>
      </c>
      <c r="F352" s="12">
        <v>49662</v>
      </c>
      <c r="G352" s="13">
        <v>153</v>
      </c>
      <c r="H352" s="13">
        <v>169935</v>
      </c>
      <c r="I352" s="13">
        <v>1917</v>
      </c>
    </row>
    <row r="353" spans="1:9" x14ac:dyDescent="0.3">
      <c r="A353" s="9" t="s">
        <v>499</v>
      </c>
      <c r="B353" s="10">
        <v>45894</v>
      </c>
      <c r="C353" s="9" t="s">
        <v>149</v>
      </c>
      <c r="D353" s="11">
        <v>0.41666666666666669</v>
      </c>
      <c r="E353" s="11">
        <v>0.5</v>
      </c>
      <c r="F353" s="12">
        <v>17326</v>
      </c>
      <c r="G353" s="13">
        <v>50</v>
      </c>
      <c r="H353" s="13">
        <v>46400</v>
      </c>
      <c r="I353" s="13">
        <v>489</v>
      </c>
    </row>
    <row r="354" spans="1:9" x14ac:dyDescent="0.3">
      <c r="A354" s="9" t="s">
        <v>500</v>
      </c>
      <c r="B354" s="10">
        <v>45894</v>
      </c>
      <c r="C354" s="9" t="s">
        <v>149</v>
      </c>
      <c r="D354" s="11">
        <v>0.54166666666666663</v>
      </c>
      <c r="E354" s="11">
        <v>0.66666666666666663</v>
      </c>
      <c r="F354" s="12">
        <v>21852</v>
      </c>
      <c r="G354" s="13">
        <v>59</v>
      </c>
      <c r="H354" s="13">
        <v>63022</v>
      </c>
      <c r="I354" s="13">
        <v>780</v>
      </c>
    </row>
    <row r="355" spans="1:9" x14ac:dyDescent="0.3">
      <c r="A355" s="9" t="s">
        <v>501</v>
      </c>
      <c r="B355" s="10">
        <v>45894</v>
      </c>
      <c r="C355" s="9" t="s">
        <v>160</v>
      </c>
      <c r="D355" s="11">
        <v>0.66666666666666663</v>
      </c>
      <c r="E355" s="11">
        <v>0.77083333333333337</v>
      </c>
      <c r="F355" s="12">
        <v>15545</v>
      </c>
      <c r="G355" s="13">
        <v>49</v>
      </c>
      <c r="H355" s="13">
        <v>65219</v>
      </c>
      <c r="I355" s="13">
        <v>616</v>
      </c>
    </row>
    <row r="356" spans="1:9" x14ac:dyDescent="0.3">
      <c r="A356" s="9" t="s">
        <v>502</v>
      </c>
      <c r="B356" s="10">
        <v>45894</v>
      </c>
      <c r="C356" s="9" t="s">
        <v>151</v>
      </c>
      <c r="D356" s="11">
        <v>0.79166666666666663</v>
      </c>
      <c r="E356" s="11">
        <v>0.85416666666666663</v>
      </c>
      <c r="F356" s="12">
        <v>32308</v>
      </c>
      <c r="G356" s="13">
        <v>102</v>
      </c>
      <c r="H356" s="13">
        <v>100552</v>
      </c>
      <c r="I356" s="13">
        <v>527</v>
      </c>
    </row>
    <row r="357" spans="1:9" x14ac:dyDescent="0.3">
      <c r="A357" s="9" t="s">
        <v>503</v>
      </c>
      <c r="B357" s="10">
        <v>45895</v>
      </c>
      <c r="C357" s="9" t="s">
        <v>160</v>
      </c>
      <c r="D357" s="11">
        <v>0.54166666666666663</v>
      </c>
      <c r="E357" s="11">
        <v>0.66666666666666663</v>
      </c>
      <c r="F357" s="12">
        <v>20379</v>
      </c>
      <c r="G357" s="13">
        <v>48</v>
      </c>
      <c r="H357" s="13">
        <v>60070</v>
      </c>
      <c r="I357" s="13">
        <v>511</v>
      </c>
    </row>
    <row r="358" spans="1:9" x14ac:dyDescent="0.3">
      <c r="A358" s="9" t="s">
        <v>504</v>
      </c>
      <c r="B358" s="10">
        <v>45895</v>
      </c>
      <c r="C358" s="9" t="s">
        <v>147</v>
      </c>
      <c r="D358" s="11">
        <v>0.66666666666666663</v>
      </c>
      <c r="E358" s="11">
        <v>0.75</v>
      </c>
      <c r="F358" s="12">
        <v>16941</v>
      </c>
      <c r="G358" s="13">
        <v>44</v>
      </c>
      <c r="H358" s="13">
        <v>84149</v>
      </c>
      <c r="I358" s="13">
        <v>1038</v>
      </c>
    </row>
    <row r="359" spans="1:9" x14ac:dyDescent="0.3">
      <c r="A359" s="9" t="s">
        <v>505</v>
      </c>
      <c r="B359" s="10">
        <v>45895</v>
      </c>
      <c r="C359" s="9" t="s">
        <v>147</v>
      </c>
      <c r="D359" s="11">
        <v>0.79166666666666663</v>
      </c>
      <c r="E359" s="11">
        <v>0.875</v>
      </c>
      <c r="F359" s="12">
        <v>36213</v>
      </c>
      <c r="G359" s="13">
        <v>95</v>
      </c>
      <c r="H359" s="13">
        <v>158591</v>
      </c>
      <c r="I359" s="13">
        <v>1480</v>
      </c>
    </row>
    <row r="360" spans="1:9" x14ac:dyDescent="0.3">
      <c r="A360" s="9" t="s">
        <v>506</v>
      </c>
      <c r="B360" s="10">
        <v>45896</v>
      </c>
      <c r="C360" s="9" t="s">
        <v>149</v>
      </c>
      <c r="D360" s="11">
        <v>0.41666666666666669</v>
      </c>
      <c r="E360" s="11">
        <v>0.52083333333333337</v>
      </c>
      <c r="F360" s="12">
        <v>23453</v>
      </c>
      <c r="G360" s="13">
        <v>71</v>
      </c>
      <c r="H360" s="13">
        <v>95516</v>
      </c>
      <c r="I360" s="13">
        <v>959</v>
      </c>
    </row>
    <row r="361" spans="1:9" x14ac:dyDescent="0.3">
      <c r="A361" s="9" t="s">
        <v>507</v>
      </c>
      <c r="B361" s="10">
        <v>45896</v>
      </c>
      <c r="C361" s="9" t="s">
        <v>219</v>
      </c>
      <c r="D361" s="11">
        <v>0.54166666666666663</v>
      </c>
      <c r="E361" s="11">
        <v>0.625</v>
      </c>
      <c r="F361" s="12">
        <v>39922</v>
      </c>
      <c r="G361" s="13">
        <v>124</v>
      </c>
      <c r="H361" s="13">
        <v>181951</v>
      </c>
      <c r="I361" s="13">
        <v>1004</v>
      </c>
    </row>
    <row r="362" spans="1:9" x14ac:dyDescent="0.3">
      <c r="A362" s="9" t="s">
        <v>508</v>
      </c>
      <c r="B362" s="10">
        <v>45896</v>
      </c>
      <c r="C362" s="9" t="s">
        <v>219</v>
      </c>
      <c r="D362" s="11">
        <v>0.66666666666666663</v>
      </c>
      <c r="E362" s="11">
        <v>0.75</v>
      </c>
      <c r="F362" s="12">
        <v>38853</v>
      </c>
      <c r="G362" s="13">
        <v>109</v>
      </c>
      <c r="H362" s="13">
        <v>123380</v>
      </c>
      <c r="I362" s="13">
        <v>1519</v>
      </c>
    </row>
    <row r="363" spans="1:9" x14ac:dyDescent="0.3">
      <c r="A363" s="9" t="s">
        <v>509</v>
      </c>
      <c r="B363" s="10">
        <v>45896</v>
      </c>
      <c r="C363" s="9" t="s">
        <v>147</v>
      </c>
      <c r="D363" s="11">
        <v>0.79166666666666663</v>
      </c>
      <c r="E363" s="11">
        <v>0.89583333333333337</v>
      </c>
      <c r="F363" s="12">
        <v>10338</v>
      </c>
      <c r="G363" s="13">
        <v>35</v>
      </c>
      <c r="H363" s="13">
        <v>28558</v>
      </c>
      <c r="I363" s="13">
        <v>271</v>
      </c>
    </row>
    <row r="364" spans="1:9" x14ac:dyDescent="0.3">
      <c r="A364" s="9" t="s">
        <v>510</v>
      </c>
      <c r="B364" s="10">
        <v>45896</v>
      </c>
      <c r="C364" s="9" t="s">
        <v>149</v>
      </c>
      <c r="D364" s="11">
        <v>0.91666666666666663</v>
      </c>
      <c r="E364" s="11">
        <v>2.0833333333333329E-2</v>
      </c>
      <c r="F364" s="12">
        <v>23079</v>
      </c>
      <c r="G364" s="13">
        <v>75</v>
      </c>
      <c r="H364" s="13">
        <v>97363</v>
      </c>
      <c r="I364" s="13">
        <v>982</v>
      </c>
    </row>
    <row r="365" spans="1:9" x14ac:dyDescent="0.3">
      <c r="A365" s="9" t="s">
        <v>511</v>
      </c>
      <c r="B365" s="10">
        <v>45897</v>
      </c>
      <c r="C365" s="9" t="s">
        <v>160</v>
      </c>
      <c r="D365" s="11">
        <v>0.41666666666666669</v>
      </c>
      <c r="E365" s="11">
        <v>0.54166666666666663</v>
      </c>
      <c r="F365" s="12">
        <v>16229</v>
      </c>
      <c r="G365" s="13">
        <v>43</v>
      </c>
      <c r="H365" s="13">
        <v>57135</v>
      </c>
      <c r="I365" s="13">
        <v>286</v>
      </c>
    </row>
    <row r="366" spans="1:9" x14ac:dyDescent="0.3">
      <c r="A366" s="9" t="s">
        <v>512</v>
      </c>
      <c r="B366" s="10">
        <v>45897</v>
      </c>
      <c r="C366" s="9" t="s">
        <v>149</v>
      </c>
      <c r="D366" s="11">
        <v>0.54166666666666663</v>
      </c>
      <c r="E366" s="11">
        <v>0.64583333333333337</v>
      </c>
      <c r="F366" s="12">
        <v>17128</v>
      </c>
      <c r="G366" s="13">
        <v>47</v>
      </c>
      <c r="H366" s="13">
        <v>81045</v>
      </c>
      <c r="I366" s="13">
        <v>738</v>
      </c>
    </row>
    <row r="367" spans="1:9" x14ac:dyDescent="0.3">
      <c r="A367" s="9" t="s">
        <v>513</v>
      </c>
      <c r="B367" s="10">
        <v>45897</v>
      </c>
      <c r="C367" s="9" t="s">
        <v>149</v>
      </c>
      <c r="D367" s="11">
        <v>0.66666666666666663</v>
      </c>
      <c r="E367" s="11">
        <v>0.75</v>
      </c>
      <c r="F367" s="12">
        <v>20714</v>
      </c>
      <c r="G367" s="13">
        <v>58</v>
      </c>
      <c r="H367" s="13">
        <v>77928</v>
      </c>
      <c r="I367" s="13">
        <v>433</v>
      </c>
    </row>
    <row r="368" spans="1:9" x14ac:dyDescent="0.3">
      <c r="A368" s="9" t="s">
        <v>514</v>
      </c>
      <c r="B368" s="10">
        <v>45897</v>
      </c>
      <c r="C368" s="9" t="s">
        <v>151</v>
      </c>
      <c r="D368" s="11">
        <v>0.79166666666666663</v>
      </c>
      <c r="E368" s="11">
        <v>0.875</v>
      </c>
      <c r="F368" s="12">
        <v>61963</v>
      </c>
      <c r="G368" s="13">
        <v>207</v>
      </c>
      <c r="H368" s="13">
        <v>179449</v>
      </c>
      <c r="I368" s="13">
        <v>1807</v>
      </c>
    </row>
    <row r="369" spans="1:9" x14ac:dyDescent="0.3">
      <c r="A369" s="9" t="s">
        <v>515</v>
      </c>
      <c r="B369" s="10">
        <v>45898</v>
      </c>
      <c r="C369" s="9" t="s">
        <v>149</v>
      </c>
      <c r="D369" s="11">
        <v>0.41666666666666669</v>
      </c>
      <c r="E369" s="11">
        <v>0.5</v>
      </c>
      <c r="F369" s="12">
        <v>25387</v>
      </c>
      <c r="G369" s="13">
        <v>76</v>
      </c>
      <c r="H369" s="13">
        <v>62312</v>
      </c>
      <c r="I369" s="13">
        <v>793</v>
      </c>
    </row>
    <row r="370" spans="1:9" x14ac:dyDescent="0.3">
      <c r="A370" s="9" t="s">
        <v>516</v>
      </c>
      <c r="B370" s="10">
        <v>45898</v>
      </c>
      <c r="C370" s="9" t="s">
        <v>219</v>
      </c>
      <c r="D370" s="11">
        <v>0.66666666666666663</v>
      </c>
      <c r="E370" s="11">
        <v>0.77083333333333337</v>
      </c>
      <c r="F370" s="12">
        <v>36750</v>
      </c>
      <c r="G370" s="13">
        <v>106</v>
      </c>
      <c r="H370" s="13">
        <v>99539</v>
      </c>
      <c r="I370" s="13">
        <v>698</v>
      </c>
    </row>
    <row r="371" spans="1:9" x14ac:dyDescent="0.3">
      <c r="A371" s="9" t="s">
        <v>517</v>
      </c>
      <c r="B371" s="10">
        <v>45898</v>
      </c>
      <c r="C371" s="9" t="s">
        <v>149</v>
      </c>
      <c r="D371" s="11">
        <v>0.79166666666666663</v>
      </c>
      <c r="E371" s="11">
        <v>0.91666666666666663</v>
      </c>
      <c r="F371" s="12">
        <v>50810</v>
      </c>
      <c r="G371" s="13">
        <v>153</v>
      </c>
      <c r="H371" s="13">
        <v>128056</v>
      </c>
      <c r="I371" s="13">
        <v>589</v>
      </c>
    </row>
    <row r="372" spans="1:9" x14ac:dyDescent="0.3">
      <c r="A372" s="9" t="s">
        <v>518</v>
      </c>
      <c r="B372" s="10">
        <v>45899</v>
      </c>
      <c r="C372" s="9" t="s">
        <v>149</v>
      </c>
      <c r="D372" s="11">
        <v>0.41666666666666669</v>
      </c>
      <c r="E372" s="11">
        <v>0.5</v>
      </c>
      <c r="F372" s="12">
        <v>30119</v>
      </c>
      <c r="G372" s="13">
        <v>79</v>
      </c>
      <c r="H372" s="13">
        <v>74416</v>
      </c>
      <c r="I372" s="13">
        <v>946</v>
      </c>
    </row>
    <row r="373" spans="1:9" x14ac:dyDescent="0.3">
      <c r="A373" s="9" t="s">
        <v>519</v>
      </c>
      <c r="B373" s="10">
        <v>45899</v>
      </c>
      <c r="C373" s="9" t="s">
        <v>219</v>
      </c>
      <c r="D373" s="11">
        <v>0.54166666666666663</v>
      </c>
      <c r="E373" s="11">
        <v>0.625</v>
      </c>
      <c r="F373" s="12">
        <v>26079</v>
      </c>
      <c r="G373" s="13">
        <v>81</v>
      </c>
      <c r="H373" s="13">
        <v>110574</v>
      </c>
      <c r="I373" s="13">
        <v>1075</v>
      </c>
    </row>
    <row r="374" spans="1:9" x14ac:dyDescent="0.3">
      <c r="A374" s="9" t="s">
        <v>520</v>
      </c>
      <c r="B374" s="10">
        <v>45899</v>
      </c>
      <c r="C374" s="9" t="s">
        <v>151</v>
      </c>
      <c r="D374" s="11">
        <v>0.66666666666666663</v>
      </c>
      <c r="E374" s="11">
        <v>0.75</v>
      </c>
      <c r="F374" s="12">
        <v>49151</v>
      </c>
      <c r="G374" s="13">
        <v>164</v>
      </c>
      <c r="H374" s="13">
        <v>227569</v>
      </c>
      <c r="I374" s="13">
        <v>2729</v>
      </c>
    </row>
    <row r="375" spans="1:9" x14ac:dyDescent="0.3">
      <c r="A375" s="9" t="s">
        <v>521</v>
      </c>
      <c r="B375" s="10">
        <v>45899</v>
      </c>
      <c r="C375" s="9" t="s">
        <v>160</v>
      </c>
      <c r="D375" s="11">
        <v>0.79166666666666663</v>
      </c>
      <c r="E375" s="11">
        <v>0.85416666666666663</v>
      </c>
      <c r="F375" s="12">
        <v>27486</v>
      </c>
      <c r="G375" s="13">
        <v>71</v>
      </c>
      <c r="H375" s="13">
        <v>104723</v>
      </c>
      <c r="I375" s="13">
        <v>1147</v>
      </c>
    </row>
    <row r="376" spans="1:9" x14ac:dyDescent="0.3">
      <c r="A376" s="9" t="s">
        <v>522</v>
      </c>
      <c r="B376" s="10">
        <v>45900</v>
      </c>
      <c r="C376" s="9" t="s">
        <v>219</v>
      </c>
      <c r="D376" s="11">
        <v>0.54166666666666663</v>
      </c>
      <c r="E376" s="11">
        <v>0.625</v>
      </c>
      <c r="F376" s="12">
        <v>43387</v>
      </c>
      <c r="G376" s="13">
        <v>126</v>
      </c>
      <c r="H376" s="13">
        <v>141347</v>
      </c>
      <c r="I376" s="13">
        <v>601</v>
      </c>
    </row>
    <row r="377" spans="1:9" x14ac:dyDescent="0.3">
      <c r="A377" s="9" t="s">
        <v>523</v>
      </c>
      <c r="B377" s="10">
        <v>45900</v>
      </c>
      <c r="C377" s="9" t="s">
        <v>147</v>
      </c>
      <c r="D377" s="11">
        <v>0.79166666666666663</v>
      </c>
      <c r="E377" s="11">
        <v>0.85416666666666663</v>
      </c>
      <c r="F377" s="12">
        <v>40573</v>
      </c>
      <c r="G377" s="13">
        <v>120</v>
      </c>
      <c r="H377" s="13">
        <v>176299</v>
      </c>
      <c r="I377" s="13">
        <v>2122</v>
      </c>
    </row>
    <row r="378" spans="1:9" x14ac:dyDescent="0.3">
      <c r="A378" s="9" t="s">
        <v>524</v>
      </c>
      <c r="B378" s="10">
        <v>45900</v>
      </c>
      <c r="C378" s="9" t="s">
        <v>147</v>
      </c>
      <c r="D378" s="11">
        <v>0.91666666666666663</v>
      </c>
      <c r="E378" s="11">
        <v>2.0833333333333329E-2</v>
      </c>
      <c r="F378" s="12">
        <v>51021</v>
      </c>
      <c r="G378" s="13">
        <v>139</v>
      </c>
      <c r="H378" s="13">
        <v>216876</v>
      </c>
      <c r="I378" s="13">
        <v>1414</v>
      </c>
    </row>
  </sheetData>
  <mergeCells count="2">
    <mergeCell ref="A1:I1"/>
    <mergeCell ref="A2:I2"/>
  </mergeCells>
  <dataValidations count="6">
    <dataValidation type="decimal" operator="greaterThanOrEqual" allowBlank="1" showErrorMessage="1" errorTitle="Invalid GMV" error="GMV must be a number greater than or equal to 0." sqref="F5:F1000" xr:uid="{00000000-0002-0000-0100-000000000000}">
      <formula1>0</formula1>
    </dataValidation>
    <dataValidation type="whole" operator="greaterThanOrEqual" allowBlank="1" showErrorMessage="1" errorTitle="Invalid value" error="Items Sold must be a whole number greater than or equal to 0." sqref="G5:G1000" xr:uid="{00000000-0002-0000-0100-000001000000}">
      <formula1>0</formula1>
    </dataValidation>
    <dataValidation type="whole" operator="greaterThanOrEqual" allowBlank="1" showErrorMessage="1" errorTitle="Invalid value" error="Views must be a whole number greater than or equal to 0." sqref="H5:H1000" xr:uid="{00000000-0002-0000-0100-000002000000}">
      <formula1>0</formula1>
    </dataValidation>
    <dataValidation type="whole" operator="greaterThanOrEqual" allowBlank="1" showErrorMessage="1" errorTitle="Invalid value" error="New Followers must be a whole number greater than or equal to 0." sqref="I5:I1000" xr:uid="{00000000-0002-0000-0100-000003000000}">
      <formula1>0</formula1>
    </dataValidation>
    <dataValidation type="list" allowBlank="1" showErrorMessage="1" errorTitle="Unknown host" error="Choose a host from the roster (Cleaned Data sheet, column Z)." sqref="C5:C1000" xr:uid="{00000000-0002-0000-0100-000004000000}">
      <formula1>HostRoster</formula1>
    </dataValidation>
    <dataValidation type="date" operator="greaterThan" allowBlank="1" showErrorMessage="1" errorTitle="Invalid date" error="Enter a valid date." sqref="B5:B1000" xr:uid="{00000000-0002-0000-0100-000005000000}">
      <formula1>36526</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DA9C4"/>
  </sheetPr>
  <dimension ref="A1:Z382"/>
  <sheetViews>
    <sheetView showGridLines="0" workbookViewId="0">
      <pane xSplit="3" ySplit="8" topLeftCell="D9" activePane="bottomRight" state="frozen"/>
      <selection pane="topRight"/>
      <selection pane="bottomLeft"/>
      <selection pane="bottomRight" activeCell="W4" sqref="W4"/>
    </sheetView>
  </sheetViews>
  <sheetFormatPr defaultRowHeight="14.4" x14ac:dyDescent="0.3"/>
  <cols>
    <col min="1" max="1" width="15" customWidth="1"/>
    <col min="2" max="2" width="14" customWidth="1"/>
    <col min="3" max="3" width="20" customWidth="1"/>
    <col min="4" max="5" width="15" customWidth="1"/>
    <col min="6" max="6" width="17" customWidth="1"/>
    <col min="7" max="7" width="15" customWidth="1"/>
    <col min="8" max="8" width="17" customWidth="1"/>
    <col min="9" max="11" width="15" customWidth="1"/>
    <col min="12" max="12" width="14" customWidth="1"/>
    <col min="13" max="13" width="15" customWidth="1"/>
    <col min="14" max="14" width="14" customWidth="1"/>
    <col min="15" max="16" width="12" customWidth="1"/>
    <col min="17" max="17" width="15" customWidth="1"/>
    <col min="18" max="18" width="26" customWidth="1"/>
    <col min="19" max="24" width="14" customWidth="1"/>
    <col min="25" max="25" width="3" customWidth="1"/>
    <col min="26" max="26" width="22" customWidth="1"/>
  </cols>
  <sheetData>
    <row r="1" spans="1:26" ht="28.05" customHeight="1" x14ac:dyDescent="0.3">
      <c r="A1" s="101" t="s">
        <v>525</v>
      </c>
      <c r="B1" s="101"/>
      <c r="C1" s="101"/>
      <c r="D1" s="101"/>
      <c r="E1" s="101"/>
      <c r="F1" s="101"/>
      <c r="G1" s="101"/>
      <c r="H1" s="101"/>
      <c r="I1" s="101"/>
      <c r="J1" s="101"/>
      <c r="K1" s="101"/>
      <c r="L1" s="101"/>
      <c r="M1" s="101"/>
      <c r="N1" s="101"/>
      <c r="O1" s="1"/>
      <c r="P1" s="1"/>
      <c r="Q1" s="1"/>
      <c r="R1" s="1"/>
      <c r="S1" s="1"/>
      <c r="T1" s="1"/>
      <c r="U1" s="1"/>
      <c r="V1" s="1"/>
      <c r="W1" s="1"/>
      <c r="X1" s="1"/>
      <c r="Y1" s="1"/>
      <c r="Z1" s="1"/>
    </row>
    <row r="2" spans="1:26" ht="18" customHeight="1" x14ac:dyDescent="0.3">
      <c r="A2" s="102" t="s">
        <v>526</v>
      </c>
      <c r="B2" s="102"/>
      <c r="C2" s="102"/>
      <c r="D2" s="102"/>
      <c r="E2" s="102"/>
      <c r="F2" s="102"/>
      <c r="G2" s="102"/>
      <c r="H2" s="102"/>
      <c r="I2" s="102"/>
      <c r="J2" s="102"/>
      <c r="K2" s="102"/>
      <c r="L2" s="102"/>
      <c r="M2" s="102"/>
      <c r="N2" s="102"/>
      <c r="O2" s="1"/>
      <c r="P2" s="1"/>
      <c r="Q2" s="1"/>
      <c r="R2" s="1"/>
      <c r="S2" s="1"/>
      <c r="T2" s="1"/>
      <c r="U2" s="1"/>
      <c r="V2" s="1"/>
      <c r="W2" s="1"/>
      <c r="X2" s="1"/>
      <c r="Y2" s="1"/>
      <c r="Z2" s="1"/>
    </row>
    <row r="3" spans="1:26" x14ac:dyDescent="0.3">
      <c r="A3" s="14" t="s">
        <v>527</v>
      </c>
    </row>
    <row r="4" spans="1:26" ht="36" customHeight="1" x14ac:dyDescent="0.3">
      <c r="A4" s="15" t="s">
        <v>528</v>
      </c>
      <c r="B4" s="15" t="s">
        <v>529</v>
      </c>
      <c r="C4" s="15" t="s">
        <v>530</v>
      </c>
      <c r="D4" s="15" t="s">
        <v>531</v>
      </c>
      <c r="E4" s="15" t="s">
        <v>532</v>
      </c>
      <c r="F4" s="15" t="s">
        <v>533</v>
      </c>
      <c r="G4" s="15" t="s">
        <v>534</v>
      </c>
      <c r="H4" s="15" t="s">
        <v>535</v>
      </c>
      <c r="I4" s="15" t="s">
        <v>536</v>
      </c>
    </row>
    <row r="5" spans="1:26" ht="24" customHeight="1" x14ac:dyDescent="0.3">
      <c r="A5" s="16">
        <f>ROWS(tblRaw[Session ID])</f>
        <v>374</v>
      </c>
      <c r="B5" s="16">
        <f>SUM(tblClean[Missing Flag])</f>
        <v>0</v>
      </c>
      <c r="C5" s="16">
        <f>SUM(tblClean[Duplicate Flag])</f>
        <v>0</v>
      </c>
      <c r="D5" s="16">
        <f>SUM(tblClean[Negative Flag])</f>
        <v>0</v>
      </c>
      <c r="E5" s="16">
        <f>SUM(tblClean[Duration Flag])</f>
        <v>0</v>
      </c>
      <c r="F5" s="16">
        <f>SUM(tblClean[Host Flag])</f>
        <v>0</v>
      </c>
      <c r="G5" s="16">
        <f>SUM(tblClean[Include])</f>
        <v>374</v>
      </c>
      <c r="H5" s="17">
        <f>SUM(tblRaw[Attributed GMV PHP])-SUMIFS(tblClean[Attributed GMV PHP],tblClean[Include],1)</f>
        <v>0</v>
      </c>
      <c r="I5" s="16">
        <f>SUM(tblRaw[Items Sold])-SUMIFS(tblClean[Items Sold],tblClean[Include],1)</f>
        <v>0</v>
      </c>
    </row>
    <row r="6" spans="1:26" x14ac:dyDescent="0.3">
      <c r="A6" s="18" t="str">
        <f>IF(A5=ROWS(tblClean[Session ID]),"PASS","REVIEW")</f>
        <v>PASS</v>
      </c>
      <c r="B6" s="18" t="str">
        <f>IF(B5=0,"PASS","REVIEW")</f>
        <v>PASS</v>
      </c>
      <c r="C6" s="18" t="str">
        <f>IF(C5=0,"PASS","REVIEW")</f>
        <v>PASS</v>
      </c>
      <c r="D6" s="18" t="str">
        <f>IF(D5=0,"PASS","REVIEW")</f>
        <v>PASS</v>
      </c>
      <c r="E6" s="18" t="str">
        <f>IF(E5=0,"PASS","REVIEW")</f>
        <v>PASS</v>
      </c>
      <c r="F6" s="18" t="str">
        <f>IF(F5=0,"PASS","REVIEW")</f>
        <v>PASS</v>
      </c>
      <c r="G6" s="18" t="str">
        <f>IF(G5=ROWS(tblRaw[Session ID]),"PASS","REVIEW")</f>
        <v>PASS</v>
      </c>
      <c r="H6" s="18" t="str">
        <f>IF(ROUND(H5,2)=0,"PASS","REVIEW")</f>
        <v>PASS</v>
      </c>
      <c r="I6" s="18" t="str">
        <f>IF(I5=0,"PASS","REVIEW")</f>
        <v>PASS</v>
      </c>
    </row>
    <row r="7" spans="1:26" x14ac:dyDescent="0.3">
      <c r="A7" s="19" t="s">
        <v>537</v>
      </c>
    </row>
    <row r="8" spans="1:26" ht="31.95" customHeight="1" x14ac:dyDescent="0.3">
      <c r="A8" s="5" t="s">
        <v>62</v>
      </c>
      <c r="B8" s="5" t="s">
        <v>66</v>
      </c>
      <c r="C8" s="5" t="s">
        <v>68</v>
      </c>
      <c r="D8" s="5" t="s">
        <v>71</v>
      </c>
      <c r="E8" s="5" t="s">
        <v>74</v>
      </c>
      <c r="F8" s="5" t="s">
        <v>76</v>
      </c>
      <c r="G8" s="5" t="s">
        <v>29</v>
      </c>
      <c r="H8" s="5" t="s">
        <v>82</v>
      </c>
      <c r="I8" s="5" t="s">
        <v>84</v>
      </c>
      <c r="J8" s="5" t="s">
        <v>90</v>
      </c>
      <c r="K8" s="5" t="s">
        <v>33</v>
      </c>
      <c r="L8" s="5" t="s">
        <v>96</v>
      </c>
      <c r="M8" s="5" t="s">
        <v>99</v>
      </c>
      <c r="N8" s="5" t="s">
        <v>102</v>
      </c>
      <c r="O8" s="5" t="s">
        <v>105</v>
      </c>
      <c r="P8" s="5" t="s">
        <v>108</v>
      </c>
      <c r="Q8" s="5" t="s">
        <v>48</v>
      </c>
      <c r="R8" s="5" t="s">
        <v>113</v>
      </c>
      <c r="S8" s="5" t="s">
        <v>116</v>
      </c>
      <c r="T8" s="5" t="s">
        <v>120</v>
      </c>
      <c r="U8" s="5" t="s">
        <v>123</v>
      </c>
      <c r="V8" s="5" t="s">
        <v>126</v>
      </c>
      <c r="W8" s="5" t="s">
        <v>129</v>
      </c>
      <c r="X8" s="5" t="s">
        <v>132</v>
      </c>
      <c r="Z8" s="20" t="s">
        <v>538</v>
      </c>
    </row>
    <row r="9" spans="1:26" x14ac:dyDescent="0.3">
      <c r="A9" s="9" t="str">
        <f>TRIM('Raw Data'!A5)</f>
        <v>LS-0001</v>
      </c>
      <c r="B9" s="10">
        <f>IF(ISNUMBER('Raw Data'!B5),INT('Raw Data'!B5),IFERROR(DATEVALUE('Raw Data'!B5),""))</f>
        <v>45810</v>
      </c>
      <c r="C9" s="9" t="str">
        <f>PROPER(TRIM('Raw Data'!C5))</f>
        <v>Carlo Mendoza</v>
      </c>
      <c r="D9" s="11">
        <f>IF(ISNUMBER('Raw Data'!D5),MOD('Raw Data'!D5,1),IFERROR(TIMEVALUE('Raw Data'!D5),""))</f>
        <v>0.54166666666666663</v>
      </c>
      <c r="E9" s="11">
        <f>IF(ISNUMBER('Raw Data'!E5),MOD('Raw Data'!E5,1),IFERROR(TIMEVALUE('Raw Data'!E5),""))</f>
        <v>0.625</v>
      </c>
      <c r="F9" s="12">
        <f>IF(ISNUMBER('Raw Data'!F5),'Raw Data'!F5,IFERROR(VALUE(SUBSTITUTE('Raw Data'!F5,",","")),""))</f>
        <v>32102</v>
      </c>
      <c r="G9" s="13">
        <f>IF(ISNUMBER('Raw Data'!G5),'Raw Data'!G5,IFERROR(VALUE(SUBSTITUTE('Raw Data'!G5,",","")),""))</f>
        <v>85</v>
      </c>
      <c r="H9" s="13">
        <f>IF(ISNUMBER('Raw Data'!H5),'Raw Data'!H5,IFERROR(VALUE(SUBSTITUTE('Raw Data'!H5,",","")),""))</f>
        <v>125767</v>
      </c>
      <c r="I9" s="13">
        <f>IF(ISNUMBER('Raw Data'!I5),'Raw Data'!I5,IFERROR(VALUE(SUBSTITUTE('Raw Data'!I5,",","")),""))</f>
        <v>748</v>
      </c>
      <c r="J9" s="21">
        <f>IF(AND(ISNUMBER(tblClean[[#This Row],[Start Time]]),ISNUMBER(tblClean[[#This Row],[End Time]])),ROUND(MOD(tblClean[[#This Row],[End Time]]-tblClean[[#This Row],[Start Time]],1)*24,2),"")</f>
        <v>2</v>
      </c>
      <c r="K9" s="12">
        <f>IF(AND(ISNUMBER(tblClean[[#This Row],[Duration Hours]]),ISNUMBER(tblClean[[#This Row],[Attributed GMV PHP]])),IF(tblClean[[#This Row],[Duration Hours]]&gt;0,tblClean[[#This Row],[Attributed GMV PHP]]/tblClean[[#This Row],[Duration Hours]],""),"")</f>
        <v>16051</v>
      </c>
      <c r="L9" s="22">
        <f>IF(ISNUMBER(tblClean[[#This Row],[Date]]),DATE(YEAR(tblClean[[#This Row],[Date]]),MONTH(tblClean[[#This Row],[Date]]),1),"")</f>
        <v>45809</v>
      </c>
      <c r="M9" s="10">
        <f>IF(ISNUMBER(tblClean[[#This Row],[Date]]),tblClean[[#This Row],[Date]]-WEEKDAY(tblClean[[#This Row],[Date]],2)+1,"")</f>
        <v>45810</v>
      </c>
      <c r="N9" s="23">
        <f>IF(ISNUMBER(tblClean[[#This Row],[Week Start]]),(tblClean[[#This Row],[Week Start]]-MIN(tblClean[Week Start]))/7+1,"")</f>
        <v>1</v>
      </c>
      <c r="O9" s="24" t="str">
        <f>IF(ISNUMBER(tblClean[[#This Row],[Date]]),CHOOSE(WEEKDAY(tblClean[[#This Row],[Date]],2),"Mon","Tue","Wed","Thu","Fri","Sat","Sun"),"")</f>
        <v>Mon</v>
      </c>
      <c r="P9" s="24" t="str">
        <f>IF(ISNUMBER(tblClean[[#This Row],[Date]]),IF(WEEKDAY(tblClean[[#This Row],[Date]],2)&gt;=6,"Weekend","Weekday"),"")</f>
        <v>Weekday</v>
      </c>
      <c r="Q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9" s="9" t="str">
        <f>IF(ISNUMBER(tblClean[[#This Row],[Duration Hours]]),IF(tblClean[[#This Row],[Duration Hours]]&lt;2,"Short (under 2h)",IF(tblClean[[#This Row],[Duration Hours]]&lt;3,"Standard (2h to under 3h)","Long (3h or more)")),"")</f>
        <v>Standard (2h to under 3h)</v>
      </c>
      <c r="S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9" s="24">
        <f>IF(COUNTIF(tblClean[Session ID],tblClean[[#This Row],[Session ID]])&gt;1,1,0)</f>
        <v>0</v>
      </c>
      <c r="U9" s="24">
        <f>IF(OR(N(tblClean[[#This Row],[Attributed GMV PHP]])&lt;0,N(tblClean[[#This Row],[Items Sold]])&lt;0,N(tblClean[[#This Row],[Livestream Views]])&lt;0,N(tblClean[[#This Row],[New Followers]])&lt;0),1,0)</f>
        <v>0</v>
      </c>
      <c r="V9" s="24">
        <f>IF(ISNUMBER(tblClean[[#This Row],[Duration Hours]]),IF(OR(tblClean[[#This Row],[Duration Hours]]&lt;=0,tblClean[[#This Row],[Duration Hours]]&gt;12),1,0),1)</f>
        <v>0</v>
      </c>
      <c r="W9" s="24">
        <f>IF(COUNTIF(HostRoster,tblClean[[#This Row],[Host Name]])=0,1,0)</f>
        <v>0</v>
      </c>
      <c r="X9" s="24">
        <f>IF(tblClean[[#This Row],[Missing Flag]]+tblClean[[#This Row],[Duplicate Flag]]+tblClean[[#This Row],[Negative Flag]]+tblClean[[#This Row],[Duration Flag]]+tblClean[[#This Row],[Host Flag]]=0,1,0)</f>
        <v>1</v>
      </c>
      <c r="Z9" s="25" t="s">
        <v>151</v>
      </c>
    </row>
    <row r="10" spans="1:26" x14ac:dyDescent="0.3">
      <c r="A10" s="9" t="str">
        <f>TRIM('Raw Data'!A6)</f>
        <v>LS-0002</v>
      </c>
      <c r="B10" s="10">
        <f>IF(ISNUMBER('Raw Data'!B6),INT('Raw Data'!B6),IFERROR(DATEVALUE('Raw Data'!B6),""))</f>
        <v>45810</v>
      </c>
      <c r="C10" s="9" t="str">
        <f>PROPER(TRIM('Raw Data'!C6))</f>
        <v>Bianca Reyes</v>
      </c>
      <c r="D10" s="11">
        <f>IF(ISNUMBER('Raw Data'!D6),MOD('Raw Data'!D6,1),IFERROR(TIMEVALUE('Raw Data'!D6),""))</f>
        <v>0.66666666666666663</v>
      </c>
      <c r="E10" s="11">
        <f>IF(ISNUMBER('Raw Data'!E6),MOD('Raw Data'!E6,1),IFERROR(TIMEVALUE('Raw Data'!E6),""))</f>
        <v>0.79166666666666663</v>
      </c>
      <c r="F10" s="12">
        <f>IF(ISNUMBER('Raw Data'!F6),'Raw Data'!F6,IFERROR(VALUE(SUBSTITUTE('Raw Data'!F6,",","")),""))</f>
        <v>14260</v>
      </c>
      <c r="G10" s="13">
        <f>IF(ISNUMBER('Raw Data'!G6),'Raw Data'!G6,IFERROR(VALUE(SUBSTITUTE('Raw Data'!G6,",","")),""))</f>
        <v>44</v>
      </c>
      <c r="H10" s="13">
        <f>IF(ISNUMBER('Raw Data'!H6),'Raw Data'!H6,IFERROR(VALUE(SUBSTITUTE('Raw Data'!H6,",","")),""))</f>
        <v>53670</v>
      </c>
      <c r="I10" s="13">
        <f>IF(ISNUMBER('Raw Data'!I6),'Raw Data'!I6,IFERROR(VALUE(SUBSTITUTE('Raw Data'!I6,",","")),""))</f>
        <v>396</v>
      </c>
      <c r="J10" s="21">
        <f>IF(AND(ISNUMBER(tblClean[[#This Row],[Start Time]]),ISNUMBER(tblClean[[#This Row],[End Time]])),ROUND(MOD(tblClean[[#This Row],[End Time]]-tblClean[[#This Row],[Start Time]],1)*24,2),"")</f>
        <v>3</v>
      </c>
      <c r="K10" s="12">
        <f>IF(AND(ISNUMBER(tblClean[[#This Row],[Duration Hours]]),ISNUMBER(tblClean[[#This Row],[Attributed GMV PHP]])),IF(tblClean[[#This Row],[Duration Hours]]&gt;0,tblClean[[#This Row],[Attributed GMV PHP]]/tblClean[[#This Row],[Duration Hours]],""),"")</f>
        <v>4753.333333333333</v>
      </c>
      <c r="L10" s="22">
        <f>IF(ISNUMBER(tblClean[[#This Row],[Date]]),DATE(YEAR(tblClean[[#This Row],[Date]]),MONTH(tblClean[[#This Row],[Date]]),1),"")</f>
        <v>45809</v>
      </c>
      <c r="M10" s="10">
        <f>IF(ISNUMBER(tblClean[[#This Row],[Date]]),tblClean[[#This Row],[Date]]-WEEKDAY(tblClean[[#This Row],[Date]],2)+1,"")</f>
        <v>45810</v>
      </c>
      <c r="N10" s="23">
        <f>IF(ISNUMBER(tblClean[[#This Row],[Week Start]]),(tblClean[[#This Row],[Week Start]]-MIN(tblClean[Week Start]))/7+1,"")</f>
        <v>1</v>
      </c>
      <c r="O10" s="24" t="str">
        <f>IF(ISNUMBER(tblClean[[#This Row],[Date]]),CHOOSE(WEEKDAY(tblClean[[#This Row],[Date]],2),"Mon","Tue","Wed","Thu","Fri","Sat","Sun"),"")</f>
        <v>Mon</v>
      </c>
      <c r="P10" s="24" t="str">
        <f>IF(ISNUMBER(tblClean[[#This Row],[Date]]),IF(WEEKDAY(tblClean[[#This Row],[Date]],2)&gt;=6,"Weekend","Weekday"),"")</f>
        <v>Weekday</v>
      </c>
      <c r="Q1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0" s="9" t="str">
        <f>IF(ISNUMBER(tblClean[[#This Row],[Duration Hours]]),IF(tblClean[[#This Row],[Duration Hours]]&lt;2,"Short (under 2h)",IF(tblClean[[#This Row],[Duration Hours]]&lt;3,"Standard (2h to under 3h)","Long (3h or more)")),"")</f>
        <v>Long (3h or more)</v>
      </c>
      <c r="S1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0" s="24">
        <f>IF(COUNTIF(tblClean[Session ID],tblClean[[#This Row],[Session ID]])&gt;1,1,0)</f>
        <v>0</v>
      </c>
      <c r="U10" s="24">
        <f>IF(OR(N(tblClean[[#This Row],[Attributed GMV PHP]])&lt;0,N(tblClean[[#This Row],[Items Sold]])&lt;0,N(tblClean[[#This Row],[Livestream Views]])&lt;0,N(tblClean[[#This Row],[New Followers]])&lt;0),1,0)</f>
        <v>0</v>
      </c>
      <c r="V10" s="24">
        <f>IF(ISNUMBER(tblClean[[#This Row],[Duration Hours]]),IF(OR(tblClean[[#This Row],[Duration Hours]]&lt;=0,tblClean[[#This Row],[Duration Hours]]&gt;12),1,0),1)</f>
        <v>0</v>
      </c>
      <c r="W10" s="24">
        <f>IF(COUNTIF(HostRoster,tblClean[[#This Row],[Host Name]])=0,1,0)</f>
        <v>0</v>
      </c>
      <c r="X10" s="24">
        <f>IF(tblClean[[#This Row],[Missing Flag]]+tblClean[[#This Row],[Duplicate Flag]]+tblClean[[#This Row],[Negative Flag]]+tblClean[[#This Row],[Duration Flag]]+tblClean[[#This Row],[Host Flag]]=0,1,0)</f>
        <v>1</v>
      </c>
      <c r="Z10" s="25" t="s">
        <v>149</v>
      </c>
    </row>
    <row r="11" spans="1:26" x14ac:dyDescent="0.3">
      <c r="A11" s="9" t="str">
        <f>TRIM('Raw Data'!A7)</f>
        <v>LS-0003</v>
      </c>
      <c r="B11" s="10">
        <f>IF(ISNUMBER('Raw Data'!B7),INT('Raw Data'!B7),IFERROR(DATEVALUE('Raw Data'!B7),""))</f>
        <v>45810</v>
      </c>
      <c r="C11" s="9" t="str">
        <f>PROPER(TRIM('Raw Data'!C7))</f>
        <v>Aira Valdez</v>
      </c>
      <c r="D11" s="11">
        <f>IF(ISNUMBER('Raw Data'!D7),MOD('Raw Data'!D7,1),IFERROR(TIMEVALUE('Raw Data'!D7),""))</f>
        <v>0.79166666666666663</v>
      </c>
      <c r="E11" s="11">
        <f>IF(ISNUMBER('Raw Data'!E7),MOD('Raw Data'!E7,1),IFERROR(TIMEVALUE('Raw Data'!E7),""))</f>
        <v>0.89583333333333337</v>
      </c>
      <c r="F11" s="12">
        <f>IF(ISNUMBER('Raw Data'!F7),'Raw Data'!F7,IFERROR(VALUE(SUBSTITUTE('Raw Data'!F7,",","")),""))</f>
        <v>39064</v>
      </c>
      <c r="G11" s="13">
        <f>IF(ISNUMBER('Raw Data'!G7),'Raw Data'!G7,IFERROR(VALUE(SUBSTITUTE('Raw Data'!G7,",","")),""))</f>
        <v>105</v>
      </c>
      <c r="H11" s="13">
        <f>IF(ISNUMBER('Raw Data'!H7),'Raw Data'!H7,IFERROR(VALUE(SUBSTITUTE('Raw Data'!H7,",","")),""))</f>
        <v>121105</v>
      </c>
      <c r="I11" s="13">
        <f>IF(ISNUMBER('Raw Data'!I7),'Raw Data'!I7,IFERROR(VALUE(SUBSTITUTE('Raw Data'!I7,",","")),""))</f>
        <v>1392</v>
      </c>
      <c r="J11" s="21">
        <f>IF(AND(ISNUMBER(tblClean[[#This Row],[Start Time]]),ISNUMBER(tblClean[[#This Row],[End Time]])),ROUND(MOD(tblClean[[#This Row],[End Time]]-tblClean[[#This Row],[Start Time]],1)*24,2),"")</f>
        <v>2.5</v>
      </c>
      <c r="K11" s="12">
        <f>IF(AND(ISNUMBER(tblClean[[#This Row],[Duration Hours]]),ISNUMBER(tblClean[[#This Row],[Attributed GMV PHP]])),IF(tblClean[[#This Row],[Duration Hours]]&gt;0,tblClean[[#This Row],[Attributed GMV PHP]]/tblClean[[#This Row],[Duration Hours]],""),"")</f>
        <v>15625.6</v>
      </c>
      <c r="L11" s="22">
        <f>IF(ISNUMBER(tblClean[[#This Row],[Date]]),DATE(YEAR(tblClean[[#This Row],[Date]]),MONTH(tblClean[[#This Row],[Date]]),1),"")</f>
        <v>45809</v>
      </c>
      <c r="M11" s="10">
        <f>IF(ISNUMBER(tblClean[[#This Row],[Date]]),tblClean[[#This Row],[Date]]-WEEKDAY(tblClean[[#This Row],[Date]],2)+1,"")</f>
        <v>45810</v>
      </c>
      <c r="N11" s="23">
        <f>IF(ISNUMBER(tblClean[[#This Row],[Week Start]]),(tblClean[[#This Row],[Week Start]]-MIN(tblClean[Week Start]))/7+1,"")</f>
        <v>1</v>
      </c>
      <c r="O11" s="24" t="str">
        <f>IF(ISNUMBER(tblClean[[#This Row],[Date]]),CHOOSE(WEEKDAY(tblClean[[#This Row],[Date]],2),"Mon","Tue","Wed","Thu","Fri","Sat","Sun"),"")</f>
        <v>Mon</v>
      </c>
      <c r="P11" s="24" t="str">
        <f>IF(ISNUMBER(tblClean[[#This Row],[Date]]),IF(WEEKDAY(tblClean[[#This Row],[Date]],2)&gt;=6,"Weekend","Weekday"),"")</f>
        <v>Weekday</v>
      </c>
      <c r="Q1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1" s="9" t="str">
        <f>IF(ISNUMBER(tblClean[[#This Row],[Duration Hours]]),IF(tblClean[[#This Row],[Duration Hours]]&lt;2,"Short (under 2h)",IF(tblClean[[#This Row],[Duration Hours]]&lt;3,"Standard (2h to under 3h)","Long (3h or more)")),"")</f>
        <v>Standard (2h to under 3h)</v>
      </c>
      <c r="S1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1" s="24">
        <f>IF(COUNTIF(tblClean[Session ID],tblClean[[#This Row],[Session ID]])&gt;1,1,0)</f>
        <v>0</v>
      </c>
      <c r="U11" s="24">
        <f>IF(OR(N(tblClean[[#This Row],[Attributed GMV PHP]])&lt;0,N(tblClean[[#This Row],[Items Sold]])&lt;0,N(tblClean[[#This Row],[Livestream Views]])&lt;0,N(tblClean[[#This Row],[New Followers]])&lt;0),1,0)</f>
        <v>0</v>
      </c>
      <c r="V11" s="24">
        <f>IF(ISNUMBER(tblClean[[#This Row],[Duration Hours]]),IF(OR(tblClean[[#This Row],[Duration Hours]]&lt;=0,tblClean[[#This Row],[Duration Hours]]&gt;12),1,0),1)</f>
        <v>0</v>
      </c>
      <c r="W11" s="24">
        <f>IF(COUNTIF(HostRoster,tblClean[[#This Row],[Host Name]])=0,1,0)</f>
        <v>0</v>
      </c>
      <c r="X11" s="24">
        <f>IF(tblClean[[#This Row],[Missing Flag]]+tblClean[[#This Row],[Duplicate Flag]]+tblClean[[#This Row],[Negative Flag]]+tblClean[[#This Row],[Duration Flag]]+tblClean[[#This Row],[Host Flag]]=0,1,0)</f>
        <v>1</v>
      </c>
      <c r="Z11" s="25" t="s">
        <v>147</v>
      </c>
    </row>
    <row r="12" spans="1:26" x14ac:dyDescent="0.3">
      <c r="A12" s="9" t="str">
        <f>TRIM('Raw Data'!A8)</f>
        <v>LS-0004</v>
      </c>
      <c r="B12" s="10">
        <f>IF(ISNUMBER('Raw Data'!B8),INT('Raw Data'!B8),IFERROR(DATEVALUE('Raw Data'!B8),""))</f>
        <v>45811</v>
      </c>
      <c r="C12" s="9" t="str">
        <f>PROPER(TRIM('Raw Data'!C8))</f>
        <v>Carlo Mendoza</v>
      </c>
      <c r="D12" s="11">
        <f>IF(ISNUMBER('Raw Data'!D8),MOD('Raw Data'!D8,1),IFERROR(TIMEVALUE('Raw Data'!D8),""))</f>
        <v>0.41666666666666669</v>
      </c>
      <c r="E12" s="11">
        <f>IF(ISNUMBER('Raw Data'!E8),MOD('Raw Data'!E8,1),IFERROR(TIMEVALUE('Raw Data'!E8),""))</f>
        <v>0.5</v>
      </c>
      <c r="F12" s="12">
        <f>IF(ISNUMBER('Raw Data'!F8),'Raw Data'!F8,IFERROR(VALUE(SUBSTITUTE('Raw Data'!F8,",","")),""))</f>
        <v>11178</v>
      </c>
      <c r="G12" s="13">
        <f>IF(ISNUMBER('Raw Data'!G8),'Raw Data'!G8,IFERROR(VALUE(SUBSTITUTE('Raw Data'!G8,",","")),""))</f>
        <v>27</v>
      </c>
      <c r="H12" s="13">
        <f>IF(ISNUMBER('Raw Data'!H8),'Raw Data'!H8,IFERROR(VALUE(SUBSTITUTE('Raw Data'!H8,",","")),""))</f>
        <v>44877</v>
      </c>
      <c r="I12" s="13">
        <f>IF(ISNUMBER('Raw Data'!I8),'Raw Data'!I8,IFERROR(VALUE(SUBSTITUTE('Raw Data'!I8,",","")),""))</f>
        <v>381</v>
      </c>
      <c r="J12" s="21">
        <f>IF(AND(ISNUMBER(tblClean[[#This Row],[Start Time]]),ISNUMBER(tblClean[[#This Row],[End Time]])),ROUND(MOD(tblClean[[#This Row],[End Time]]-tblClean[[#This Row],[Start Time]],1)*24,2),"")</f>
        <v>2</v>
      </c>
      <c r="K12" s="12">
        <f>IF(AND(ISNUMBER(tblClean[[#This Row],[Duration Hours]]),ISNUMBER(tblClean[[#This Row],[Attributed GMV PHP]])),IF(tblClean[[#This Row],[Duration Hours]]&gt;0,tblClean[[#This Row],[Attributed GMV PHP]]/tblClean[[#This Row],[Duration Hours]],""),"")</f>
        <v>5589</v>
      </c>
      <c r="L12" s="22">
        <f>IF(ISNUMBER(tblClean[[#This Row],[Date]]),DATE(YEAR(tblClean[[#This Row],[Date]]),MONTH(tblClean[[#This Row],[Date]]),1),"")</f>
        <v>45809</v>
      </c>
      <c r="M12" s="10">
        <f>IF(ISNUMBER(tblClean[[#This Row],[Date]]),tblClean[[#This Row],[Date]]-WEEKDAY(tblClean[[#This Row],[Date]],2)+1,"")</f>
        <v>45810</v>
      </c>
      <c r="N12" s="23">
        <f>IF(ISNUMBER(tblClean[[#This Row],[Week Start]]),(tblClean[[#This Row],[Week Start]]-MIN(tblClean[Week Start]))/7+1,"")</f>
        <v>1</v>
      </c>
      <c r="O12" s="24" t="str">
        <f>IF(ISNUMBER(tblClean[[#This Row],[Date]]),CHOOSE(WEEKDAY(tblClean[[#This Row],[Date]],2),"Mon","Tue","Wed","Thu","Fri","Sat","Sun"),"")</f>
        <v>Tue</v>
      </c>
      <c r="P12" s="24" t="str">
        <f>IF(ISNUMBER(tblClean[[#This Row],[Date]]),IF(WEEKDAY(tblClean[[#This Row],[Date]],2)&gt;=6,"Weekend","Weekday"),"")</f>
        <v>Weekday</v>
      </c>
      <c r="Q1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2" s="9" t="str">
        <f>IF(ISNUMBER(tblClean[[#This Row],[Duration Hours]]),IF(tblClean[[#This Row],[Duration Hours]]&lt;2,"Short (under 2h)",IF(tblClean[[#This Row],[Duration Hours]]&lt;3,"Standard (2h to under 3h)","Long (3h or more)")),"")</f>
        <v>Standard (2h to under 3h)</v>
      </c>
      <c r="S1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2" s="24">
        <f>IF(COUNTIF(tblClean[Session ID],tblClean[[#This Row],[Session ID]])&gt;1,1,0)</f>
        <v>0</v>
      </c>
      <c r="U12" s="24">
        <f>IF(OR(N(tblClean[[#This Row],[Attributed GMV PHP]])&lt;0,N(tblClean[[#This Row],[Items Sold]])&lt;0,N(tblClean[[#This Row],[Livestream Views]])&lt;0,N(tblClean[[#This Row],[New Followers]])&lt;0),1,0)</f>
        <v>0</v>
      </c>
      <c r="V12" s="24">
        <f>IF(ISNUMBER(tblClean[[#This Row],[Duration Hours]]),IF(OR(tblClean[[#This Row],[Duration Hours]]&lt;=0,tblClean[[#This Row],[Duration Hours]]&gt;12),1,0),1)</f>
        <v>0</v>
      </c>
      <c r="W12" s="24">
        <f>IF(COUNTIF(HostRoster,tblClean[[#This Row],[Host Name]])=0,1,0)</f>
        <v>0</v>
      </c>
      <c r="X12" s="24">
        <f>IF(tblClean[[#This Row],[Missing Flag]]+tblClean[[#This Row],[Duplicate Flag]]+tblClean[[#This Row],[Negative Flag]]+tblClean[[#This Row],[Duration Flag]]+tblClean[[#This Row],[Host Flag]]=0,1,0)</f>
        <v>1</v>
      </c>
      <c r="Z12" s="25" t="s">
        <v>160</v>
      </c>
    </row>
    <row r="13" spans="1:26" x14ac:dyDescent="0.3">
      <c r="A13" s="9" t="str">
        <f>TRIM('Raw Data'!A9)</f>
        <v>LS-0005</v>
      </c>
      <c r="B13" s="10">
        <f>IF(ISNUMBER('Raw Data'!B9),INT('Raw Data'!B9),IFERROR(DATEVALUE('Raw Data'!B9),""))</f>
        <v>45811</v>
      </c>
      <c r="C13" s="9" t="str">
        <f>PROPER(TRIM('Raw Data'!C9))</f>
        <v>Bianca Reyes</v>
      </c>
      <c r="D13" s="11">
        <f>IF(ISNUMBER('Raw Data'!D9),MOD('Raw Data'!D9,1),IFERROR(TIMEVALUE('Raw Data'!D9),""))</f>
        <v>0.54166666666666663</v>
      </c>
      <c r="E13" s="11">
        <f>IF(ISNUMBER('Raw Data'!E9),MOD('Raw Data'!E9,1),IFERROR(TIMEVALUE('Raw Data'!E9),""))</f>
        <v>0.64583333333333337</v>
      </c>
      <c r="F13" s="12">
        <f>IF(ISNUMBER('Raw Data'!F9),'Raw Data'!F9,IFERROR(VALUE(SUBSTITUTE('Raw Data'!F9,",","")),""))</f>
        <v>19147</v>
      </c>
      <c r="G13" s="13">
        <f>IF(ISNUMBER('Raw Data'!G9),'Raw Data'!G9,IFERROR(VALUE(SUBSTITUTE('Raw Data'!G9,",","")),""))</f>
        <v>56</v>
      </c>
      <c r="H13" s="13">
        <f>IF(ISNUMBER('Raw Data'!H9),'Raw Data'!H9,IFERROR(VALUE(SUBSTITUTE('Raw Data'!H9,",","")),""))</f>
        <v>64713</v>
      </c>
      <c r="I13" s="13">
        <f>IF(ISNUMBER('Raw Data'!I9),'Raw Data'!I9,IFERROR(VALUE(SUBSTITUTE('Raw Data'!I9,",","")),""))</f>
        <v>629</v>
      </c>
      <c r="J13" s="21">
        <f>IF(AND(ISNUMBER(tblClean[[#This Row],[Start Time]]),ISNUMBER(tblClean[[#This Row],[End Time]])),ROUND(MOD(tblClean[[#This Row],[End Time]]-tblClean[[#This Row],[Start Time]],1)*24,2),"")</f>
        <v>2.5</v>
      </c>
      <c r="K13" s="12">
        <f>IF(AND(ISNUMBER(tblClean[[#This Row],[Duration Hours]]),ISNUMBER(tblClean[[#This Row],[Attributed GMV PHP]])),IF(tblClean[[#This Row],[Duration Hours]]&gt;0,tblClean[[#This Row],[Attributed GMV PHP]]/tblClean[[#This Row],[Duration Hours]],""),"")</f>
        <v>7658.8</v>
      </c>
      <c r="L13" s="22">
        <f>IF(ISNUMBER(tblClean[[#This Row],[Date]]),DATE(YEAR(tblClean[[#This Row],[Date]]),MONTH(tblClean[[#This Row],[Date]]),1),"")</f>
        <v>45809</v>
      </c>
      <c r="M13" s="10">
        <f>IF(ISNUMBER(tblClean[[#This Row],[Date]]),tblClean[[#This Row],[Date]]-WEEKDAY(tblClean[[#This Row],[Date]],2)+1,"")</f>
        <v>45810</v>
      </c>
      <c r="N13" s="23">
        <f>IF(ISNUMBER(tblClean[[#This Row],[Week Start]]),(tblClean[[#This Row],[Week Start]]-MIN(tblClean[Week Start]))/7+1,"")</f>
        <v>1</v>
      </c>
      <c r="O13" s="24" t="str">
        <f>IF(ISNUMBER(tblClean[[#This Row],[Date]]),CHOOSE(WEEKDAY(tblClean[[#This Row],[Date]],2),"Mon","Tue","Wed","Thu","Fri","Sat","Sun"),"")</f>
        <v>Tue</v>
      </c>
      <c r="P13" s="24" t="str">
        <f>IF(ISNUMBER(tblClean[[#This Row],[Date]]),IF(WEEKDAY(tblClean[[#This Row],[Date]],2)&gt;=6,"Weekend","Weekday"),"")</f>
        <v>Weekday</v>
      </c>
      <c r="Q1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3" s="9" t="str">
        <f>IF(ISNUMBER(tblClean[[#This Row],[Duration Hours]]),IF(tblClean[[#This Row],[Duration Hours]]&lt;2,"Short (under 2h)",IF(tblClean[[#This Row],[Duration Hours]]&lt;3,"Standard (2h to under 3h)","Long (3h or more)")),"")</f>
        <v>Standard (2h to under 3h)</v>
      </c>
      <c r="S1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3" s="24">
        <f>IF(COUNTIF(tblClean[Session ID],tblClean[[#This Row],[Session ID]])&gt;1,1,0)</f>
        <v>0</v>
      </c>
      <c r="U13" s="24">
        <f>IF(OR(N(tblClean[[#This Row],[Attributed GMV PHP]])&lt;0,N(tblClean[[#This Row],[Items Sold]])&lt;0,N(tblClean[[#This Row],[Livestream Views]])&lt;0,N(tblClean[[#This Row],[New Followers]])&lt;0),1,0)</f>
        <v>0</v>
      </c>
      <c r="V13" s="24">
        <f>IF(ISNUMBER(tblClean[[#This Row],[Duration Hours]]),IF(OR(tblClean[[#This Row],[Duration Hours]]&lt;=0,tblClean[[#This Row],[Duration Hours]]&gt;12),1,0),1)</f>
        <v>0</v>
      </c>
      <c r="W13" s="24">
        <f>IF(COUNTIF(HostRoster,tblClean[[#This Row],[Host Name]])=0,1,0)</f>
        <v>0</v>
      </c>
      <c r="X13" s="24">
        <f>IF(tblClean[[#This Row],[Missing Flag]]+tblClean[[#This Row],[Duplicate Flag]]+tblClean[[#This Row],[Negative Flag]]+tblClean[[#This Row],[Duration Flag]]+tblClean[[#This Row],[Host Flag]]=0,1,0)</f>
        <v>1</v>
      </c>
      <c r="Z13" s="25" t="s">
        <v>219</v>
      </c>
    </row>
    <row r="14" spans="1:26" ht="20.399999999999999" x14ac:dyDescent="0.3">
      <c r="A14" s="9" t="str">
        <f>TRIM('Raw Data'!A10)</f>
        <v>LS-0006</v>
      </c>
      <c r="B14" s="10">
        <f>IF(ISNUMBER('Raw Data'!B10),INT('Raw Data'!B10),IFERROR(DATEVALUE('Raw Data'!B10),""))</f>
        <v>45811</v>
      </c>
      <c r="C14" s="9" t="str">
        <f>PROPER(TRIM('Raw Data'!C10))</f>
        <v>Carlo Mendoza</v>
      </c>
      <c r="D14" s="11">
        <f>IF(ISNUMBER('Raw Data'!D10),MOD('Raw Data'!D10,1),IFERROR(TIMEVALUE('Raw Data'!D10),""))</f>
        <v>0.66666666666666663</v>
      </c>
      <c r="E14" s="11">
        <f>IF(ISNUMBER('Raw Data'!E10),MOD('Raw Data'!E10,1),IFERROR(TIMEVALUE('Raw Data'!E10),""))</f>
        <v>0.77083333333333337</v>
      </c>
      <c r="F14" s="12">
        <f>IF(ISNUMBER('Raw Data'!F10),'Raw Data'!F10,IFERROR(VALUE(SUBSTITUTE('Raw Data'!F10,",","")),""))</f>
        <v>24963</v>
      </c>
      <c r="G14" s="13">
        <f>IF(ISNUMBER('Raw Data'!G10),'Raw Data'!G10,IFERROR(VALUE(SUBSTITUTE('Raw Data'!G10,",","")),""))</f>
        <v>78</v>
      </c>
      <c r="H14" s="13">
        <f>IF(ISNUMBER('Raw Data'!H10),'Raw Data'!H10,IFERROR(VALUE(SUBSTITUTE('Raw Data'!H10,",","")),""))</f>
        <v>77927</v>
      </c>
      <c r="I14" s="13">
        <f>IF(ISNUMBER('Raw Data'!I10),'Raw Data'!I10,IFERROR(VALUE(SUBSTITUTE('Raw Data'!I10,",","")),""))</f>
        <v>344</v>
      </c>
      <c r="J14" s="21">
        <f>IF(AND(ISNUMBER(tblClean[[#This Row],[Start Time]]),ISNUMBER(tblClean[[#This Row],[End Time]])),ROUND(MOD(tblClean[[#This Row],[End Time]]-tblClean[[#This Row],[Start Time]],1)*24,2),"")</f>
        <v>2.5</v>
      </c>
      <c r="K14" s="12">
        <f>IF(AND(ISNUMBER(tblClean[[#This Row],[Duration Hours]]),ISNUMBER(tblClean[[#This Row],[Attributed GMV PHP]])),IF(tblClean[[#This Row],[Duration Hours]]&gt;0,tblClean[[#This Row],[Attributed GMV PHP]]/tblClean[[#This Row],[Duration Hours]],""),"")</f>
        <v>9985.2000000000007</v>
      </c>
      <c r="L14" s="22">
        <f>IF(ISNUMBER(tblClean[[#This Row],[Date]]),DATE(YEAR(tblClean[[#This Row],[Date]]),MONTH(tblClean[[#This Row],[Date]]),1),"")</f>
        <v>45809</v>
      </c>
      <c r="M14" s="10">
        <f>IF(ISNUMBER(tblClean[[#This Row],[Date]]),tblClean[[#This Row],[Date]]-WEEKDAY(tblClean[[#This Row],[Date]],2)+1,"")</f>
        <v>45810</v>
      </c>
      <c r="N14" s="23">
        <f>IF(ISNUMBER(tblClean[[#This Row],[Week Start]]),(tblClean[[#This Row],[Week Start]]-MIN(tblClean[Week Start]))/7+1,"")</f>
        <v>1</v>
      </c>
      <c r="O14" s="24" t="str">
        <f>IF(ISNUMBER(tblClean[[#This Row],[Date]]),CHOOSE(WEEKDAY(tblClean[[#This Row],[Date]],2),"Mon","Tue","Wed","Thu","Fri","Sat","Sun"),"")</f>
        <v>Tue</v>
      </c>
      <c r="P14" s="24" t="str">
        <f>IF(ISNUMBER(tblClean[[#This Row],[Date]]),IF(WEEKDAY(tblClean[[#This Row],[Date]],2)&gt;=6,"Weekend","Weekday"),"")</f>
        <v>Weekday</v>
      </c>
      <c r="Q1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4" s="9" t="str">
        <f>IF(ISNUMBER(tblClean[[#This Row],[Duration Hours]]),IF(tblClean[[#This Row],[Duration Hours]]&lt;2,"Short (under 2h)",IF(tblClean[[#This Row],[Duration Hours]]&lt;3,"Standard (2h to under 3h)","Long (3h or more)")),"")</f>
        <v>Standard (2h to under 3h)</v>
      </c>
      <c r="S1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4" s="24">
        <f>IF(COUNTIF(tblClean[Session ID],tblClean[[#This Row],[Session ID]])&gt;1,1,0)</f>
        <v>0</v>
      </c>
      <c r="U14" s="24">
        <f>IF(OR(N(tblClean[[#This Row],[Attributed GMV PHP]])&lt;0,N(tblClean[[#This Row],[Items Sold]])&lt;0,N(tblClean[[#This Row],[Livestream Views]])&lt;0,N(tblClean[[#This Row],[New Followers]])&lt;0),1,0)</f>
        <v>0</v>
      </c>
      <c r="V14" s="24">
        <f>IF(ISNUMBER(tblClean[[#This Row],[Duration Hours]]),IF(OR(tblClean[[#This Row],[Duration Hours]]&lt;=0,tblClean[[#This Row],[Duration Hours]]&gt;12),1,0),1)</f>
        <v>0</v>
      </c>
      <c r="W14" s="24">
        <f>IF(COUNTIF(HostRoster,tblClean[[#This Row],[Host Name]])=0,1,0)</f>
        <v>0</v>
      </c>
      <c r="X14" s="24">
        <f>IF(tblClean[[#This Row],[Missing Flag]]+tblClean[[#This Row],[Duplicate Flag]]+tblClean[[#This Row],[Negative Flag]]+tblClean[[#This Row],[Duration Flag]]+tblClean[[#This Row],[Host Flag]]=0,1,0)</f>
        <v>1</v>
      </c>
      <c r="Z14" s="26" t="s">
        <v>539</v>
      </c>
    </row>
    <row r="15" spans="1:26" x14ac:dyDescent="0.3">
      <c r="A15" s="9" t="str">
        <f>TRIM('Raw Data'!A11)</f>
        <v>LS-0007</v>
      </c>
      <c r="B15" s="10">
        <f>IF(ISNUMBER('Raw Data'!B11),INT('Raw Data'!B11),IFERROR(DATEVALUE('Raw Data'!B11),""))</f>
        <v>45811</v>
      </c>
      <c r="C15" s="9" t="str">
        <f>PROPER(TRIM('Raw Data'!C11))</f>
        <v>Aira Valdez</v>
      </c>
      <c r="D15" s="11">
        <f>IF(ISNUMBER('Raw Data'!D11),MOD('Raw Data'!D11,1),IFERROR(TIMEVALUE('Raw Data'!D11),""))</f>
        <v>0.79166666666666663</v>
      </c>
      <c r="E15" s="11">
        <f>IF(ISNUMBER('Raw Data'!E11),MOD('Raw Data'!E11,1),IFERROR(TIMEVALUE('Raw Data'!E11),""))</f>
        <v>0.89583333333333337</v>
      </c>
      <c r="F15" s="12">
        <f>IF(ISNUMBER('Raw Data'!F11),'Raw Data'!F11,IFERROR(VALUE(SUBSTITUTE('Raw Data'!F11,",","")),""))</f>
        <v>82257</v>
      </c>
      <c r="G15" s="13">
        <f>IF(ISNUMBER('Raw Data'!G11),'Raw Data'!G11,IFERROR(VALUE(SUBSTITUTE('Raw Data'!G11,",","")),""))</f>
        <v>243</v>
      </c>
      <c r="H15" s="13">
        <f>IF(ISNUMBER('Raw Data'!H11),'Raw Data'!H11,IFERROR(VALUE(SUBSTITUTE('Raw Data'!H11,",","")),""))</f>
        <v>216966</v>
      </c>
      <c r="I15" s="13">
        <f>IF(ISNUMBER('Raw Data'!I11),'Raw Data'!I11,IFERROR(VALUE(SUBSTITUTE('Raw Data'!I11,",","")),""))</f>
        <v>1728</v>
      </c>
      <c r="J15" s="21">
        <f>IF(AND(ISNUMBER(tblClean[[#This Row],[Start Time]]),ISNUMBER(tblClean[[#This Row],[End Time]])),ROUND(MOD(tblClean[[#This Row],[End Time]]-tblClean[[#This Row],[Start Time]],1)*24,2),"")</f>
        <v>2.5</v>
      </c>
      <c r="K15" s="12">
        <f>IF(AND(ISNUMBER(tblClean[[#This Row],[Duration Hours]]),ISNUMBER(tblClean[[#This Row],[Attributed GMV PHP]])),IF(tblClean[[#This Row],[Duration Hours]]&gt;0,tblClean[[#This Row],[Attributed GMV PHP]]/tblClean[[#This Row],[Duration Hours]],""),"")</f>
        <v>32902.800000000003</v>
      </c>
      <c r="L15" s="22">
        <f>IF(ISNUMBER(tblClean[[#This Row],[Date]]),DATE(YEAR(tblClean[[#This Row],[Date]]),MONTH(tblClean[[#This Row],[Date]]),1),"")</f>
        <v>45809</v>
      </c>
      <c r="M15" s="10">
        <f>IF(ISNUMBER(tblClean[[#This Row],[Date]]),tblClean[[#This Row],[Date]]-WEEKDAY(tblClean[[#This Row],[Date]],2)+1,"")</f>
        <v>45810</v>
      </c>
      <c r="N15" s="23">
        <f>IF(ISNUMBER(tblClean[[#This Row],[Week Start]]),(tblClean[[#This Row],[Week Start]]-MIN(tblClean[Week Start]))/7+1,"")</f>
        <v>1</v>
      </c>
      <c r="O15" s="24" t="str">
        <f>IF(ISNUMBER(tblClean[[#This Row],[Date]]),CHOOSE(WEEKDAY(tblClean[[#This Row],[Date]],2),"Mon","Tue","Wed","Thu","Fri","Sat","Sun"),"")</f>
        <v>Tue</v>
      </c>
      <c r="P15" s="24" t="str">
        <f>IF(ISNUMBER(tblClean[[#This Row],[Date]]),IF(WEEKDAY(tblClean[[#This Row],[Date]],2)&gt;=6,"Weekend","Weekday"),"")</f>
        <v>Weekday</v>
      </c>
      <c r="Q1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5" s="9" t="str">
        <f>IF(ISNUMBER(tblClean[[#This Row],[Duration Hours]]),IF(tblClean[[#This Row],[Duration Hours]]&lt;2,"Short (under 2h)",IF(tblClean[[#This Row],[Duration Hours]]&lt;3,"Standard (2h to under 3h)","Long (3h or more)")),"")</f>
        <v>Standard (2h to under 3h)</v>
      </c>
      <c r="S1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5" s="24">
        <f>IF(COUNTIF(tblClean[Session ID],tblClean[[#This Row],[Session ID]])&gt;1,1,0)</f>
        <v>0</v>
      </c>
      <c r="U15" s="24">
        <f>IF(OR(N(tblClean[[#This Row],[Attributed GMV PHP]])&lt;0,N(tblClean[[#This Row],[Items Sold]])&lt;0,N(tblClean[[#This Row],[Livestream Views]])&lt;0,N(tblClean[[#This Row],[New Followers]])&lt;0),1,0)</f>
        <v>0</v>
      </c>
      <c r="V15" s="24">
        <f>IF(ISNUMBER(tblClean[[#This Row],[Duration Hours]]),IF(OR(tblClean[[#This Row],[Duration Hours]]&lt;=0,tblClean[[#This Row],[Duration Hours]]&gt;12),1,0),1)</f>
        <v>0</v>
      </c>
      <c r="W15" s="24">
        <f>IF(COUNTIF(HostRoster,tblClean[[#This Row],[Host Name]])=0,1,0)</f>
        <v>0</v>
      </c>
      <c r="X15" s="24">
        <f>IF(tblClean[[#This Row],[Missing Flag]]+tblClean[[#This Row],[Duplicate Flag]]+tblClean[[#This Row],[Negative Flag]]+tblClean[[#This Row],[Duration Flag]]+tblClean[[#This Row],[Host Flag]]=0,1,0)</f>
        <v>1</v>
      </c>
    </row>
    <row r="16" spans="1:26" x14ac:dyDescent="0.3">
      <c r="A16" s="9" t="str">
        <f>TRIM('Raw Data'!A12)</f>
        <v>LS-0008</v>
      </c>
      <c r="B16" s="10">
        <f>IF(ISNUMBER('Raw Data'!B12),INT('Raw Data'!B12),IFERROR(DATEVALUE('Raw Data'!B12),""))</f>
        <v>45811</v>
      </c>
      <c r="C16" s="9" t="str">
        <f>PROPER(TRIM('Raw Data'!C12))</f>
        <v>Aira Valdez</v>
      </c>
      <c r="D16" s="11">
        <f>IF(ISNUMBER('Raw Data'!D12),MOD('Raw Data'!D12,1),IFERROR(TIMEVALUE('Raw Data'!D12),""))</f>
        <v>0.91666666666666663</v>
      </c>
      <c r="E16" s="11">
        <f>IF(ISNUMBER('Raw Data'!E12),MOD('Raw Data'!E12,1),IFERROR(TIMEVALUE('Raw Data'!E12),""))</f>
        <v>2.0833333333333329E-2</v>
      </c>
      <c r="F16" s="12">
        <f>IF(ISNUMBER('Raw Data'!F12),'Raw Data'!F12,IFERROR(VALUE(SUBSTITUTE('Raw Data'!F12,",","")),""))</f>
        <v>39674</v>
      </c>
      <c r="G16" s="13">
        <f>IF(ISNUMBER('Raw Data'!G12),'Raw Data'!G12,IFERROR(VALUE(SUBSTITUTE('Raw Data'!G12,",","")),""))</f>
        <v>119</v>
      </c>
      <c r="H16" s="13">
        <f>IF(ISNUMBER('Raw Data'!H12),'Raw Data'!H12,IFERROR(VALUE(SUBSTITUTE('Raw Data'!H12,",","")),""))</f>
        <v>102019</v>
      </c>
      <c r="I16" s="13">
        <f>IF(ISNUMBER('Raw Data'!I12),'Raw Data'!I12,IFERROR(VALUE(SUBSTITUTE('Raw Data'!I12,",","")),""))</f>
        <v>825</v>
      </c>
      <c r="J16" s="21">
        <f>IF(AND(ISNUMBER(tblClean[[#This Row],[Start Time]]),ISNUMBER(tblClean[[#This Row],[End Time]])),ROUND(MOD(tblClean[[#This Row],[End Time]]-tblClean[[#This Row],[Start Time]],1)*24,2),"")</f>
        <v>2.5</v>
      </c>
      <c r="K16" s="12">
        <f>IF(AND(ISNUMBER(tblClean[[#This Row],[Duration Hours]]),ISNUMBER(tblClean[[#This Row],[Attributed GMV PHP]])),IF(tblClean[[#This Row],[Duration Hours]]&gt;0,tblClean[[#This Row],[Attributed GMV PHP]]/tblClean[[#This Row],[Duration Hours]],""),"")</f>
        <v>15869.6</v>
      </c>
      <c r="L16" s="22">
        <f>IF(ISNUMBER(tblClean[[#This Row],[Date]]),DATE(YEAR(tblClean[[#This Row],[Date]]),MONTH(tblClean[[#This Row],[Date]]),1),"")</f>
        <v>45809</v>
      </c>
      <c r="M16" s="10">
        <f>IF(ISNUMBER(tblClean[[#This Row],[Date]]),tblClean[[#This Row],[Date]]-WEEKDAY(tblClean[[#This Row],[Date]],2)+1,"")</f>
        <v>45810</v>
      </c>
      <c r="N16" s="23">
        <f>IF(ISNUMBER(tblClean[[#This Row],[Week Start]]),(tblClean[[#This Row],[Week Start]]-MIN(tblClean[Week Start]))/7+1,"")</f>
        <v>1</v>
      </c>
      <c r="O16" s="24" t="str">
        <f>IF(ISNUMBER(tblClean[[#This Row],[Date]]),CHOOSE(WEEKDAY(tblClean[[#This Row],[Date]],2),"Mon","Tue","Wed","Thu","Fri","Sat","Sun"),"")</f>
        <v>Tue</v>
      </c>
      <c r="P16" s="24" t="str">
        <f>IF(ISNUMBER(tblClean[[#This Row],[Date]]),IF(WEEKDAY(tblClean[[#This Row],[Date]],2)&gt;=6,"Weekend","Weekday"),"")</f>
        <v>Weekday</v>
      </c>
      <c r="Q1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6" s="9" t="str">
        <f>IF(ISNUMBER(tblClean[[#This Row],[Duration Hours]]),IF(tblClean[[#This Row],[Duration Hours]]&lt;2,"Short (under 2h)",IF(tblClean[[#This Row],[Duration Hours]]&lt;3,"Standard (2h to under 3h)","Long (3h or more)")),"")</f>
        <v>Standard (2h to under 3h)</v>
      </c>
      <c r="S1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6" s="24">
        <f>IF(COUNTIF(tblClean[Session ID],tblClean[[#This Row],[Session ID]])&gt;1,1,0)</f>
        <v>0</v>
      </c>
      <c r="U16" s="24">
        <f>IF(OR(N(tblClean[[#This Row],[Attributed GMV PHP]])&lt;0,N(tblClean[[#This Row],[Items Sold]])&lt;0,N(tblClean[[#This Row],[Livestream Views]])&lt;0,N(tblClean[[#This Row],[New Followers]])&lt;0),1,0)</f>
        <v>0</v>
      </c>
      <c r="V16" s="24">
        <f>IF(ISNUMBER(tblClean[[#This Row],[Duration Hours]]),IF(OR(tblClean[[#This Row],[Duration Hours]]&lt;=0,tblClean[[#This Row],[Duration Hours]]&gt;12),1,0),1)</f>
        <v>0</v>
      </c>
      <c r="W16" s="24">
        <f>IF(COUNTIF(HostRoster,tblClean[[#This Row],[Host Name]])=0,1,0)</f>
        <v>0</v>
      </c>
      <c r="X16" s="24">
        <f>IF(tblClean[[#This Row],[Missing Flag]]+tblClean[[#This Row],[Duplicate Flag]]+tblClean[[#This Row],[Negative Flag]]+tblClean[[#This Row],[Duration Flag]]+tblClean[[#This Row],[Host Flag]]=0,1,0)</f>
        <v>1</v>
      </c>
    </row>
    <row r="17" spans="1:24" x14ac:dyDescent="0.3">
      <c r="A17" s="9" t="str">
        <f>TRIM('Raw Data'!A13)</f>
        <v>LS-0009</v>
      </c>
      <c r="B17" s="10">
        <f>IF(ISNUMBER('Raw Data'!B13),INT('Raw Data'!B13),IFERROR(DATEVALUE('Raw Data'!B13),""))</f>
        <v>45812</v>
      </c>
      <c r="C17" s="9" t="str">
        <f>PROPER(TRIM('Raw Data'!C13))</f>
        <v>Carlo Mendoza</v>
      </c>
      <c r="D17" s="11">
        <f>IF(ISNUMBER('Raw Data'!D13),MOD('Raw Data'!D13,1),IFERROR(TIMEVALUE('Raw Data'!D13),""))</f>
        <v>0.66666666666666663</v>
      </c>
      <c r="E17" s="11">
        <f>IF(ISNUMBER('Raw Data'!E13),MOD('Raw Data'!E13,1),IFERROR(TIMEVALUE('Raw Data'!E13),""))</f>
        <v>0.79166666666666663</v>
      </c>
      <c r="F17" s="12">
        <f>IF(ISNUMBER('Raw Data'!F13),'Raw Data'!F13,IFERROR(VALUE(SUBSTITUTE('Raw Data'!F13,",","")),""))</f>
        <v>25112</v>
      </c>
      <c r="G17" s="13">
        <f>IF(ISNUMBER('Raw Data'!G13),'Raw Data'!G13,IFERROR(VALUE(SUBSTITUTE('Raw Data'!G13,",","")),""))</f>
        <v>73</v>
      </c>
      <c r="H17" s="13">
        <f>IF(ISNUMBER('Raw Data'!H13),'Raw Data'!H13,IFERROR(VALUE(SUBSTITUTE('Raw Data'!H13,",","")),""))</f>
        <v>77728</v>
      </c>
      <c r="I17" s="13">
        <f>IF(ISNUMBER('Raw Data'!I13),'Raw Data'!I13,IFERROR(VALUE(SUBSTITUTE('Raw Data'!I13,",","")),""))</f>
        <v>552</v>
      </c>
      <c r="J17" s="21">
        <f>IF(AND(ISNUMBER(tblClean[[#This Row],[Start Time]]),ISNUMBER(tblClean[[#This Row],[End Time]])),ROUND(MOD(tblClean[[#This Row],[End Time]]-tblClean[[#This Row],[Start Time]],1)*24,2),"")</f>
        <v>3</v>
      </c>
      <c r="K17" s="12">
        <f>IF(AND(ISNUMBER(tblClean[[#This Row],[Duration Hours]]),ISNUMBER(tblClean[[#This Row],[Attributed GMV PHP]])),IF(tblClean[[#This Row],[Duration Hours]]&gt;0,tblClean[[#This Row],[Attributed GMV PHP]]/tblClean[[#This Row],[Duration Hours]],""),"")</f>
        <v>8370.6666666666661</v>
      </c>
      <c r="L17" s="22">
        <f>IF(ISNUMBER(tblClean[[#This Row],[Date]]),DATE(YEAR(tblClean[[#This Row],[Date]]),MONTH(tblClean[[#This Row],[Date]]),1),"")</f>
        <v>45809</v>
      </c>
      <c r="M17" s="10">
        <f>IF(ISNUMBER(tblClean[[#This Row],[Date]]),tblClean[[#This Row],[Date]]-WEEKDAY(tblClean[[#This Row],[Date]],2)+1,"")</f>
        <v>45810</v>
      </c>
      <c r="N17" s="23">
        <f>IF(ISNUMBER(tblClean[[#This Row],[Week Start]]),(tblClean[[#This Row],[Week Start]]-MIN(tblClean[Week Start]))/7+1,"")</f>
        <v>1</v>
      </c>
      <c r="O17" s="24" t="str">
        <f>IF(ISNUMBER(tblClean[[#This Row],[Date]]),CHOOSE(WEEKDAY(tblClean[[#This Row],[Date]],2),"Mon","Tue","Wed","Thu","Fri","Sat","Sun"),"")</f>
        <v>Wed</v>
      </c>
      <c r="P17" s="24" t="str">
        <f>IF(ISNUMBER(tblClean[[#This Row],[Date]]),IF(WEEKDAY(tblClean[[#This Row],[Date]],2)&gt;=6,"Weekend","Weekday"),"")</f>
        <v>Weekday</v>
      </c>
      <c r="Q1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7" s="9" t="str">
        <f>IF(ISNUMBER(tblClean[[#This Row],[Duration Hours]]),IF(tblClean[[#This Row],[Duration Hours]]&lt;2,"Short (under 2h)",IF(tblClean[[#This Row],[Duration Hours]]&lt;3,"Standard (2h to under 3h)","Long (3h or more)")),"")</f>
        <v>Long (3h or more)</v>
      </c>
      <c r="S1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7" s="24">
        <f>IF(COUNTIF(tblClean[Session ID],tblClean[[#This Row],[Session ID]])&gt;1,1,0)</f>
        <v>0</v>
      </c>
      <c r="U17" s="24">
        <f>IF(OR(N(tblClean[[#This Row],[Attributed GMV PHP]])&lt;0,N(tblClean[[#This Row],[Items Sold]])&lt;0,N(tblClean[[#This Row],[Livestream Views]])&lt;0,N(tblClean[[#This Row],[New Followers]])&lt;0),1,0)</f>
        <v>0</v>
      </c>
      <c r="V17" s="24">
        <f>IF(ISNUMBER(tblClean[[#This Row],[Duration Hours]]),IF(OR(tblClean[[#This Row],[Duration Hours]]&lt;=0,tblClean[[#This Row],[Duration Hours]]&gt;12),1,0),1)</f>
        <v>0</v>
      </c>
      <c r="W17" s="24">
        <f>IF(COUNTIF(HostRoster,tblClean[[#This Row],[Host Name]])=0,1,0)</f>
        <v>0</v>
      </c>
      <c r="X17" s="24">
        <f>IF(tblClean[[#This Row],[Missing Flag]]+tblClean[[#This Row],[Duplicate Flag]]+tblClean[[#This Row],[Negative Flag]]+tblClean[[#This Row],[Duration Flag]]+tblClean[[#This Row],[Host Flag]]=0,1,0)</f>
        <v>1</v>
      </c>
    </row>
    <row r="18" spans="1:24" x14ac:dyDescent="0.3">
      <c r="A18" s="9" t="str">
        <f>TRIM('Raw Data'!A14)</f>
        <v>LS-0010</v>
      </c>
      <c r="B18" s="10">
        <f>IF(ISNUMBER('Raw Data'!B14),INT('Raw Data'!B14),IFERROR(DATEVALUE('Raw Data'!B14),""))</f>
        <v>45812</v>
      </c>
      <c r="C18" s="9" t="str">
        <f>PROPER(TRIM('Raw Data'!C14))</f>
        <v>Bianca Reyes</v>
      </c>
      <c r="D18" s="11">
        <f>IF(ISNUMBER('Raw Data'!D14),MOD('Raw Data'!D14,1),IFERROR(TIMEVALUE('Raw Data'!D14),""))</f>
        <v>0.79166666666666663</v>
      </c>
      <c r="E18" s="11">
        <f>IF(ISNUMBER('Raw Data'!E14),MOD('Raw Data'!E14,1),IFERROR(TIMEVALUE('Raw Data'!E14),""))</f>
        <v>0.89583333333333337</v>
      </c>
      <c r="F18" s="12">
        <f>IF(ISNUMBER('Raw Data'!F14),'Raw Data'!F14,IFERROR(VALUE(SUBSTITUTE('Raw Data'!F14,",","")),""))</f>
        <v>8207</v>
      </c>
      <c r="G18" s="13">
        <f>IF(ISNUMBER('Raw Data'!G14),'Raw Data'!G14,IFERROR(VALUE(SUBSTITUTE('Raw Data'!G14,",","")),""))</f>
        <v>22</v>
      </c>
      <c r="H18" s="13">
        <f>IF(ISNUMBER('Raw Data'!H14),'Raw Data'!H14,IFERROR(VALUE(SUBSTITUTE('Raw Data'!H14,",","")),""))</f>
        <v>27621</v>
      </c>
      <c r="I18" s="13">
        <f>IF(ISNUMBER('Raw Data'!I14),'Raw Data'!I14,IFERROR(VALUE(SUBSTITUTE('Raw Data'!I14,",","")),""))</f>
        <v>298</v>
      </c>
      <c r="J18" s="21">
        <f>IF(AND(ISNUMBER(tblClean[[#This Row],[Start Time]]),ISNUMBER(tblClean[[#This Row],[End Time]])),ROUND(MOD(tblClean[[#This Row],[End Time]]-tblClean[[#This Row],[Start Time]],1)*24,2),"")</f>
        <v>2.5</v>
      </c>
      <c r="K18" s="12">
        <f>IF(AND(ISNUMBER(tblClean[[#This Row],[Duration Hours]]),ISNUMBER(tblClean[[#This Row],[Attributed GMV PHP]])),IF(tblClean[[#This Row],[Duration Hours]]&gt;0,tblClean[[#This Row],[Attributed GMV PHP]]/tblClean[[#This Row],[Duration Hours]],""),"")</f>
        <v>3282.8</v>
      </c>
      <c r="L18" s="22">
        <f>IF(ISNUMBER(tblClean[[#This Row],[Date]]),DATE(YEAR(tblClean[[#This Row],[Date]]),MONTH(tblClean[[#This Row],[Date]]),1),"")</f>
        <v>45809</v>
      </c>
      <c r="M18" s="10">
        <f>IF(ISNUMBER(tblClean[[#This Row],[Date]]),tblClean[[#This Row],[Date]]-WEEKDAY(tblClean[[#This Row],[Date]],2)+1,"")</f>
        <v>45810</v>
      </c>
      <c r="N18" s="23">
        <f>IF(ISNUMBER(tblClean[[#This Row],[Week Start]]),(tblClean[[#This Row],[Week Start]]-MIN(tblClean[Week Start]))/7+1,"")</f>
        <v>1</v>
      </c>
      <c r="O18" s="24" t="str">
        <f>IF(ISNUMBER(tblClean[[#This Row],[Date]]),CHOOSE(WEEKDAY(tblClean[[#This Row],[Date]],2),"Mon","Tue","Wed","Thu","Fri","Sat","Sun"),"")</f>
        <v>Wed</v>
      </c>
      <c r="P18" s="24" t="str">
        <f>IF(ISNUMBER(tblClean[[#This Row],[Date]]),IF(WEEKDAY(tblClean[[#This Row],[Date]],2)&gt;=6,"Weekend","Weekday"),"")</f>
        <v>Weekday</v>
      </c>
      <c r="Q1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8" s="9" t="str">
        <f>IF(ISNUMBER(tblClean[[#This Row],[Duration Hours]]),IF(tblClean[[#This Row],[Duration Hours]]&lt;2,"Short (under 2h)",IF(tblClean[[#This Row],[Duration Hours]]&lt;3,"Standard (2h to under 3h)","Long (3h or more)")),"")</f>
        <v>Standard (2h to under 3h)</v>
      </c>
      <c r="S1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8" s="24">
        <f>IF(COUNTIF(tblClean[Session ID],tblClean[[#This Row],[Session ID]])&gt;1,1,0)</f>
        <v>0</v>
      </c>
      <c r="U18" s="24">
        <f>IF(OR(N(tblClean[[#This Row],[Attributed GMV PHP]])&lt;0,N(tblClean[[#This Row],[Items Sold]])&lt;0,N(tblClean[[#This Row],[Livestream Views]])&lt;0,N(tblClean[[#This Row],[New Followers]])&lt;0),1,0)</f>
        <v>0</v>
      </c>
      <c r="V18" s="24">
        <f>IF(ISNUMBER(tblClean[[#This Row],[Duration Hours]]),IF(OR(tblClean[[#This Row],[Duration Hours]]&lt;=0,tblClean[[#This Row],[Duration Hours]]&gt;12),1,0),1)</f>
        <v>0</v>
      </c>
      <c r="W18" s="24">
        <f>IF(COUNTIF(HostRoster,tblClean[[#This Row],[Host Name]])=0,1,0)</f>
        <v>0</v>
      </c>
      <c r="X18" s="24">
        <f>IF(tblClean[[#This Row],[Missing Flag]]+tblClean[[#This Row],[Duplicate Flag]]+tblClean[[#This Row],[Negative Flag]]+tblClean[[#This Row],[Duration Flag]]+tblClean[[#This Row],[Host Flag]]=0,1,0)</f>
        <v>1</v>
      </c>
    </row>
    <row r="19" spans="1:24" x14ac:dyDescent="0.3">
      <c r="A19" s="9" t="str">
        <f>TRIM('Raw Data'!A15)</f>
        <v>LS-0011</v>
      </c>
      <c r="B19" s="10">
        <f>IF(ISNUMBER('Raw Data'!B15),INT('Raw Data'!B15),IFERROR(DATEVALUE('Raw Data'!B15),""))</f>
        <v>45812</v>
      </c>
      <c r="C19" s="9" t="str">
        <f>PROPER(TRIM('Raw Data'!C15))</f>
        <v>Dani Villanueva</v>
      </c>
      <c r="D19" s="11">
        <f>IF(ISNUMBER('Raw Data'!D15),MOD('Raw Data'!D15,1),IFERROR(TIMEVALUE('Raw Data'!D15),""))</f>
        <v>0.91666666666666663</v>
      </c>
      <c r="E19" s="11">
        <f>IF(ISNUMBER('Raw Data'!E15),MOD('Raw Data'!E15,1),IFERROR(TIMEVALUE('Raw Data'!E15),""))</f>
        <v>4.1666666666666657E-2</v>
      </c>
      <c r="F19" s="12">
        <f>IF(ISNUMBER('Raw Data'!F15),'Raw Data'!F15,IFERROR(VALUE(SUBSTITUTE('Raw Data'!F15,",","")),""))</f>
        <v>26243</v>
      </c>
      <c r="G19" s="13">
        <f>IF(ISNUMBER('Raw Data'!G15),'Raw Data'!G15,IFERROR(VALUE(SUBSTITUTE('Raw Data'!G15,",","")),""))</f>
        <v>77</v>
      </c>
      <c r="H19" s="13">
        <f>IF(ISNUMBER('Raw Data'!H15),'Raw Data'!H15,IFERROR(VALUE(SUBSTITUTE('Raw Data'!H15,",","")),""))</f>
        <v>58338</v>
      </c>
      <c r="I19" s="13">
        <f>IF(ISNUMBER('Raw Data'!I15),'Raw Data'!I15,IFERROR(VALUE(SUBSTITUTE('Raw Data'!I15,",","")),""))</f>
        <v>332</v>
      </c>
      <c r="J19" s="21">
        <f>IF(AND(ISNUMBER(tblClean[[#This Row],[Start Time]]),ISNUMBER(tblClean[[#This Row],[End Time]])),ROUND(MOD(tblClean[[#This Row],[End Time]]-tblClean[[#This Row],[Start Time]],1)*24,2),"")</f>
        <v>3</v>
      </c>
      <c r="K19" s="12">
        <f>IF(AND(ISNUMBER(tblClean[[#This Row],[Duration Hours]]),ISNUMBER(tblClean[[#This Row],[Attributed GMV PHP]])),IF(tblClean[[#This Row],[Duration Hours]]&gt;0,tblClean[[#This Row],[Attributed GMV PHP]]/tblClean[[#This Row],[Duration Hours]],""),"")</f>
        <v>8747.6666666666661</v>
      </c>
      <c r="L19" s="22">
        <f>IF(ISNUMBER(tblClean[[#This Row],[Date]]),DATE(YEAR(tblClean[[#This Row],[Date]]),MONTH(tblClean[[#This Row],[Date]]),1),"")</f>
        <v>45809</v>
      </c>
      <c r="M19" s="10">
        <f>IF(ISNUMBER(tblClean[[#This Row],[Date]]),tblClean[[#This Row],[Date]]-WEEKDAY(tblClean[[#This Row],[Date]],2)+1,"")</f>
        <v>45810</v>
      </c>
      <c r="N19" s="23">
        <f>IF(ISNUMBER(tblClean[[#This Row],[Week Start]]),(tblClean[[#This Row],[Week Start]]-MIN(tblClean[Week Start]))/7+1,"")</f>
        <v>1</v>
      </c>
      <c r="O19" s="24" t="str">
        <f>IF(ISNUMBER(tblClean[[#This Row],[Date]]),CHOOSE(WEEKDAY(tblClean[[#This Row],[Date]],2),"Mon","Tue","Wed","Thu","Fri","Sat","Sun"),"")</f>
        <v>Wed</v>
      </c>
      <c r="P19" s="24" t="str">
        <f>IF(ISNUMBER(tblClean[[#This Row],[Date]]),IF(WEEKDAY(tblClean[[#This Row],[Date]],2)&gt;=6,"Weekend","Weekday"),"")</f>
        <v>Weekday</v>
      </c>
      <c r="Q1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9" s="9" t="str">
        <f>IF(ISNUMBER(tblClean[[#This Row],[Duration Hours]]),IF(tblClean[[#This Row],[Duration Hours]]&lt;2,"Short (under 2h)",IF(tblClean[[#This Row],[Duration Hours]]&lt;3,"Standard (2h to under 3h)","Long (3h or more)")),"")</f>
        <v>Long (3h or more)</v>
      </c>
      <c r="S1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9" s="24">
        <f>IF(COUNTIF(tblClean[Session ID],tblClean[[#This Row],[Session ID]])&gt;1,1,0)</f>
        <v>0</v>
      </c>
      <c r="U19" s="24">
        <f>IF(OR(N(tblClean[[#This Row],[Attributed GMV PHP]])&lt;0,N(tblClean[[#This Row],[Items Sold]])&lt;0,N(tblClean[[#This Row],[Livestream Views]])&lt;0,N(tblClean[[#This Row],[New Followers]])&lt;0),1,0)</f>
        <v>0</v>
      </c>
      <c r="V19" s="24">
        <f>IF(ISNUMBER(tblClean[[#This Row],[Duration Hours]]),IF(OR(tblClean[[#This Row],[Duration Hours]]&lt;=0,tblClean[[#This Row],[Duration Hours]]&gt;12),1,0),1)</f>
        <v>0</v>
      </c>
      <c r="W19" s="24">
        <f>IF(COUNTIF(HostRoster,tblClean[[#This Row],[Host Name]])=0,1,0)</f>
        <v>0</v>
      </c>
      <c r="X19" s="24">
        <f>IF(tblClean[[#This Row],[Missing Flag]]+tblClean[[#This Row],[Duplicate Flag]]+tblClean[[#This Row],[Negative Flag]]+tblClean[[#This Row],[Duration Flag]]+tblClean[[#This Row],[Host Flag]]=0,1,0)</f>
        <v>1</v>
      </c>
    </row>
    <row r="20" spans="1:24" x14ac:dyDescent="0.3">
      <c r="A20" s="9" t="str">
        <f>TRIM('Raw Data'!A16)</f>
        <v>LS-0012</v>
      </c>
      <c r="B20" s="10">
        <f>IF(ISNUMBER('Raw Data'!B16),INT('Raw Data'!B16),IFERROR(DATEVALUE('Raw Data'!B16),""))</f>
        <v>45813</v>
      </c>
      <c r="C20" s="9" t="str">
        <f>PROPER(TRIM('Raw Data'!C16))</f>
        <v>Bianca Reyes</v>
      </c>
      <c r="D20" s="11">
        <f>IF(ISNUMBER('Raw Data'!D16),MOD('Raw Data'!D16,1),IFERROR(TIMEVALUE('Raw Data'!D16),""))</f>
        <v>0.54166666666666663</v>
      </c>
      <c r="E20" s="11">
        <f>IF(ISNUMBER('Raw Data'!E16),MOD('Raw Data'!E16,1),IFERROR(TIMEVALUE('Raw Data'!E16),""))</f>
        <v>0.625</v>
      </c>
      <c r="F20" s="12">
        <f>IF(ISNUMBER('Raw Data'!F16),'Raw Data'!F16,IFERROR(VALUE(SUBSTITUTE('Raw Data'!F16,",","")),""))</f>
        <v>6069</v>
      </c>
      <c r="G20" s="13">
        <f>IF(ISNUMBER('Raw Data'!G16),'Raw Data'!G16,IFERROR(VALUE(SUBSTITUTE('Raw Data'!G16,",","")),""))</f>
        <v>17</v>
      </c>
      <c r="H20" s="13">
        <f>IF(ISNUMBER('Raw Data'!H16),'Raw Data'!H16,IFERROR(VALUE(SUBSTITUTE('Raw Data'!H16,",","")),""))</f>
        <v>20285</v>
      </c>
      <c r="I20" s="13">
        <f>IF(ISNUMBER('Raw Data'!I16),'Raw Data'!I16,IFERROR(VALUE(SUBSTITUTE('Raw Data'!I16,",","")),""))</f>
        <v>262</v>
      </c>
      <c r="J20" s="21">
        <f>IF(AND(ISNUMBER(tblClean[[#This Row],[Start Time]]),ISNUMBER(tblClean[[#This Row],[End Time]])),ROUND(MOD(tblClean[[#This Row],[End Time]]-tblClean[[#This Row],[Start Time]],1)*24,2),"")</f>
        <v>2</v>
      </c>
      <c r="K20" s="12">
        <f>IF(AND(ISNUMBER(tblClean[[#This Row],[Duration Hours]]),ISNUMBER(tblClean[[#This Row],[Attributed GMV PHP]])),IF(tblClean[[#This Row],[Duration Hours]]&gt;0,tblClean[[#This Row],[Attributed GMV PHP]]/tblClean[[#This Row],[Duration Hours]],""),"")</f>
        <v>3034.5</v>
      </c>
      <c r="L20" s="22">
        <f>IF(ISNUMBER(tblClean[[#This Row],[Date]]),DATE(YEAR(tblClean[[#This Row],[Date]]),MONTH(tblClean[[#This Row],[Date]]),1),"")</f>
        <v>45809</v>
      </c>
      <c r="M20" s="10">
        <f>IF(ISNUMBER(tblClean[[#This Row],[Date]]),tblClean[[#This Row],[Date]]-WEEKDAY(tblClean[[#This Row],[Date]],2)+1,"")</f>
        <v>45810</v>
      </c>
      <c r="N20" s="23">
        <f>IF(ISNUMBER(tblClean[[#This Row],[Week Start]]),(tblClean[[#This Row],[Week Start]]-MIN(tblClean[Week Start]))/7+1,"")</f>
        <v>1</v>
      </c>
      <c r="O20" s="24" t="str">
        <f>IF(ISNUMBER(tblClean[[#This Row],[Date]]),CHOOSE(WEEKDAY(tblClean[[#This Row],[Date]],2),"Mon","Tue","Wed","Thu","Fri","Sat","Sun"),"")</f>
        <v>Thu</v>
      </c>
      <c r="P20" s="24" t="str">
        <f>IF(ISNUMBER(tblClean[[#This Row],[Date]]),IF(WEEKDAY(tblClean[[#This Row],[Date]],2)&gt;=6,"Weekend","Weekday"),"")</f>
        <v>Weekday</v>
      </c>
      <c r="Q2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0" s="9" t="str">
        <f>IF(ISNUMBER(tblClean[[#This Row],[Duration Hours]]),IF(tblClean[[#This Row],[Duration Hours]]&lt;2,"Short (under 2h)",IF(tblClean[[#This Row],[Duration Hours]]&lt;3,"Standard (2h to under 3h)","Long (3h or more)")),"")</f>
        <v>Standard (2h to under 3h)</v>
      </c>
      <c r="S2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0" s="24">
        <f>IF(COUNTIF(tblClean[Session ID],tblClean[[#This Row],[Session ID]])&gt;1,1,0)</f>
        <v>0</v>
      </c>
      <c r="U20" s="24">
        <f>IF(OR(N(tblClean[[#This Row],[Attributed GMV PHP]])&lt;0,N(tblClean[[#This Row],[Items Sold]])&lt;0,N(tblClean[[#This Row],[Livestream Views]])&lt;0,N(tblClean[[#This Row],[New Followers]])&lt;0),1,0)</f>
        <v>0</v>
      </c>
      <c r="V20" s="24">
        <f>IF(ISNUMBER(tblClean[[#This Row],[Duration Hours]]),IF(OR(tblClean[[#This Row],[Duration Hours]]&lt;=0,tblClean[[#This Row],[Duration Hours]]&gt;12),1,0),1)</f>
        <v>0</v>
      </c>
      <c r="W20" s="24">
        <f>IF(COUNTIF(HostRoster,tblClean[[#This Row],[Host Name]])=0,1,0)</f>
        <v>0</v>
      </c>
      <c r="X20" s="24">
        <f>IF(tblClean[[#This Row],[Missing Flag]]+tblClean[[#This Row],[Duplicate Flag]]+tblClean[[#This Row],[Negative Flag]]+tblClean[[#This Row],[Duration Flag]]+tblClean[[#This Row],[Host Flag]]=0,1,0)</f>
        <v>1</v>
      </c>
    </row>
    <row r="21" spans="1:24" x14ac:dyDescent="0.3">
      <c r="A21" s="9" t="str">
        <f>TRIM('Raw Data'!A17)</f>
        <v>LS-0013</v>
      </c>
      <c r="B21" s="10">
        <f>IF(ISNUMBER('Raw Data'!B17),INT('Raw Data'!B17),IFERROR(DATEVALUE('Raw Data'!B17),""))</f>
        <v>45813</v>
      </c>
      <c r="C21" s="9" t="str">
        <f>PROPER(TRIM('Raw Data'!C17))</f>
        <v>Bianca Reyes</v>
      </c>
      <c r="D21" s="11">
        <f>IF(ISNUMBER('Raw Data'!D17),MOD('Raw Data'!D17,1),IFERROR(TIMEVALUE('Raw Data'!D17),""))</f>
        <v>0.66666666666666663</v>
      </c>
      <c r="E21" s="11">
        <f>IF(ISNUMBER('Raw Data'!E17),MOD('Raw Data'!E17,1),IFERROR(TIMEVALUE('Raw Data'!E17),""))</f>
        <v>0.79166666666666663</v>
      </c>
      <c r="F21" s="12">
        <f>IF(ISNUMBER('Raw Data'!F17),'Raw Data'!F17,IFERROR(VALUE(SUBSTITUTE('Raw Data'!F17,",","")),""))</f>
        <v>17365</v>
      </c>
      <c r="G21" s="13">
        <f>IF(ISNUMBER('Raw Data'!G17),'Raw Data'!G17,IFERROR(VALUE(SUBSTITUTE('Raw Data'!G17,",","")),""))</f>
        <v>53</v>
      </c>
      <c r="H21" s="13">
        <f>IF(ISNUMBER('Raw Data'!H17),'Raw Data'!H17,IFERROR(VALUE(SUBSTITUTE('Raw Data'!H17,",","")),""))</f>
        <v>61653</v>
      </c>
      <c r="I21" s="13">
        <f>IF(ISNUMBER('Raw Data'!I17),'Raw Data'!I17,IFERROR(VALUE(SUBSTITUTE('Raw Data'!I17,",","")),""))</f>
        <v>627</v>
      </c>
      <c r="J21" s="21">
        <f>IF(AND(ISNUMBER(tblClean[[#This Row],[Start Time]]),ISNUMBER(tblClean[[#This Row],[End Time]])),ROUND(MOD(tblClean[[#This Row],[End Time]]-tblClean[[#This Row],[Start Time]],1)*24,2),"")</f>
        <v>3</v>
      </c>
      <c r="K21" s="12">
        <f>IF(AND(ISNUMBER(tblClean[[#This Row],[Duration Hours]]),ISNUMBER(tblClean[[#This Row],[Attributed GMV PHP]])),IF(tblClean[[#This Row],[Duration Hours]]&gt;0,tblClean[[#This Row],[Attributed GMV PHP]]/tblClean[[#This Row],[Duration Hours]],""),"")</f>
        <v>5788.333333333333</v>
      </c>
      <c r="L21" s="22">
        <f>IF(ISNUMBER(tblClean[[#This Row],[Date]]),DATE(YEAR(tblClean[[#This Row],[Date]]),MONTH(tblClean[[#This Row],[Date]]),1),"")</f>
        <v>45809</v>
      </c>
      <c r="M21" s="10">
        <f>IF(ISNUMBER(tblClean[[#This Row],[Date]]),tblClean[[#This Row],[Date]]-WEEKDAY(tblClean[[#This Row],[Date]],2)+1,"")</f>
        <v>45810</v>
      </c>
      <c r="N21" s="23">
        <f>IF(ISNUMBER(tblClean[[#This Row],[Week Start]]),(tblClean[[#This Row],[Week Start]]-MIN(tblClean[Week Start]))/7+1,"")</f>
        <v>1</v>
      </c>
      <c r="O21" s="24" t="str">
        <f>IF(ISNUMBER(tblClean[[#This Row],[Date]]),CHOOSE(WEEKDAY(tblClean[[#This Row],[Date]],2),"Mon","Tue","Wed","Thu","Fri","Sat","Sun"),"")</f>
        <v>Thu</v>
      </c>
      <c r="P21" s="24" t="str">
        <f>IF(ISNUMBER(tblClean[[#This Row],[Date]]),IF(WEEKDAY(tblClean[[#This Row],[Date]],2)&gt;=6,"Weekend","Weekday"),"")</f>
        <v>Weekday</v>
      </c>
      <c r="Q2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1" s="9" t="str">
        <f>IF(ISNUMBER(tblClean[[#This Row],[Duration Hours]]),IF(tblClean[[#This Row],[Duration Hours]]&lt;2,"Short (under 2h)",IF(tblClean[[#This Row],[Duration Hours]]&lt;3,"Standard (2h to under 3h)","Long (3h or more)")),"")</f>
        <v>Long (3h or more)</v>
      </c>
      <c r="S2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1" s="24">
        <f>IF(COUNTIF(tblClean[Session ID],tblClean[[#This Row],[Session ID]])&gt;1,1,0)</f>
        <v>0</v>
      </c>
      <c r="U21" s="24">
        <f>IF(OR(N(tblClean[[#This Row],[Attributed GMV PHP]])&lt;0,N(tblClean[[#This Row],[Items Sold]])&lt;0,N(tblClean[[#This Row],[Livestream Views]])&lt;0,N(tblClean[[#This Row],[New Followers]])&lt;0),1,0)</f>
        <v>0</v>
      </c>
      <c r="V21" s="24">
        <f>IF(ISNUMBER(tblClean[[#This Row],[Duration Hours]]),IF(OR(tblClean[[#This Row],[Duration Hours]]&lt;=0,tblClean[[#This Row],[Duration Hours]]&gt;12),1,0),1)</f>
        <v>0</v>
      </c>
      <c r="W21" s="24">
        <f>IF(COUNTIF(HostRoster,tblClean[[#This Row],[Host Name]])=0,1,0)</f>
        <v>0</v>
      </c>
      <c r="X21" s="24">
        <f>IF(tblClean[[#This Row],[Missing Flag]]+tblClean[[#This Row],[Duplicate Flag]]+tblClean[[#This Row],[Negative Flag]]+tblClean[[#This Row],[Duration Flag]]+tblClean[[#This Row],[Host Flag]]=0,1,0)</f>
        <v>1</v>
      </c>
    </row>
    <row r="22" spans="1:24" x14ac:dyDescent="0.3">
      <c r="A22" s="9" t="str">
        <f>TRIM('Raw Data'!A18)</f>
        <v>LS-0014</v>
      </c>
      <c r="B22" s="10">
        <f>IF(ISNUMBER('Raw Data'!B18),INT('Raw Data'!B18),IFERROR(DATEVALUE('Raw Data'!B18),""))</f>
        <v>45813</v>
      </c>
      <c r="C22" s="9" t="str">
        <f>PROPER(TRIM('Raw Data'!C18))</f>
        <v>Aira Valdez</v>
      </c>
      <c r="D22" s="11">
        <f>IF(ISNUMBER('Raw Data'!D18),MOD('Raw Data'!D18,1),IFERROR(TIMEVALUE('Raw Data'!D18),""))</f>
        <v>0.79166666666666663</v>
      </c>
      <c r="E22" s="11">
        <f>IF(ISNUMBER('Raw Data'!E18),MOD('Raw Data'!E18,1),IFERROR(TIMEVALUE('Raw Data'!E18),""))</f>
        <v>0.85416666666666663</v>
      </c>
      <c r="F22" s="12">
        <f>IF(ISNUMBER('Raw Data'!F18),'Raw Data'!F18,IFERROR(VALUE(SUBSTITUTE('Raw Data'!F18,",","")),""))</f>
        <v>34472</v>
      </c>
      <c r="G22" s="13">
        <f>IF(ISNUMBER('Raw Data'!G18),'Raw Data'!G18,IFERROR(VALUE(SUBSTITUTE('Raw Data'!G18,",","")),""))</f>
        <v>86</v>
      </c>
      <c r="H22" s="13">
        <f>IF(ISNUMBER('Raw Data'!H18),'Raw Data'!H18,IFERROR(VALUE(SUBSTITUTE('Raw Data'!H18,",","")),""))</f>
        <v>190124</v>
      </c>
      <c r="I22" s="13">
        <f>IF(ISNUMBER('Raw Data'!I18),'Raw Data'!I18,IFERROR(VALUE(SUBSTITUTE('Raw Data'!I18,",","")),""))</f>
        <v>1319</v>
      </c>
      <c r="J22" s="21">
        <f>IF(AND(ISNUMBER(tblClean[[#This Row],[Start Time]]),ISNUMBER(tblClean[[#This Row],[End Time]])),ROUND(MOD(tblClean[[#This Row],[End Time]]-tblClean[[#This Row],[Start Time]],1)*24,2),"")</f>
        <v>1.5</v>
      </c>
      <c r="K22" s="12">
        <f>IF(AND(ISNUMBER(tblClean[[#This Row],[Duration Hours]]),ISNUMBER(tblClean[[#This Row],[Attributed GMV PHP]])),IF(tblClean[[#This Row],[Duration Hours]]&gt;0,tblClean[[#This Row],[Attributed GMV PHP]]/tblClean[[#This Row],[Duration Hours]],""),"")</f>
        <v>22981.333333333332</v>
      </c>
      <c r="L22" s="22">
        <f>IF(ISNUMBER(tblClean[[#This Row],[Date]]),DATE(YEAR(tblClean[[#This Row],[Date]]),MONTH(tblClean[[#This Row],[Date]]),1),"")</f>
        <v>45809</v>
      </c>
      <c r="M22" s="10">
        <f>IF(ISNUMBER(tblClean[[#This Row],[Date]]),tblClean[[#This Row],[Date]]-WEEKDAY(tblClean[[#This Row],[Date]],2)+1,"")</f>
        <v>45810</v>
      </c>
      <c r="N22" s="23">
        <f>IF(ISNUMBER(tblClean[[#This Row],[Week Start]]),(tblClean[[#This Row],[Week Start]]-MIN(tblClean[Week Start]))/7+1,"")</f>
        <v>1</v>
      </c>
      <c r="O22" s="24" t="str">
        <f>IF(ISNUMBER(tblClean[[#This Row],[Date]]),CHOOSE(WEEKDAY(tblClean[[#This Row],[Date]],2),"Mon","Tue","Wed","Thu","Fri","Sat","Sun"),"")</f>
        <v>Thu</v>
      </c>
      <c r="P22" s="24" t="str">
        <f>IF(ISNUMBER(tblClean[[#This Row],[Date]]),IF(WEEKDAY(tblClean[[#This Row],[Date]],2)&gt;=6,"Weekend","Weekday"),"")</f>
        <v>Weekday</v>
      </c>
      <c r="Q2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2" s="9" t="str">
        <f>IF(ISNUMBER(tblClean[[#This Row],[Duration Hours]]),IF(tblClean[[#This Row],[Duration Hours]]&lt;2,"Short (under 2h)",IF(tblClean[[#This Row],[Duration Hours]]&lt;3,"Standard (2h to under 3h)","Long (3h or more)")),"")</f>
        <v>Short (under 2h)</v>
      </c>
      <c r="S2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2" s="24">
        <f>IF(COUNTIF(tblClean[Session ID],tblClean[[#This Row],[Session ID]])&gt;1,1,0)</f>
        <v>0</v>
      </c>
      <c r="U22" s="24">
        <f>IF(OR(N(tblClean[[#This Row],[Attributed GMV PHP]])&lt;0,N(tblClean[[#This Row],[Items Sold]])&lt;0,N(tblClean[[#This Row],[Livestream Views]])&lt;0,N(tblClean[[#This Row],[New Followers]])&lt;0),1,0)</f>
        <v>0</v>
      </c>
      <c r="V22" s="24">
        <f>IF(ISNUMBER(tblClean[[#This Row],[Duration Hours]]),IF(OR(tblClean[[#This Row],[Duration Hours]]&lt;=0,tblClean[[#This Row],[Duration Hours]]&gt;12),1,0),1)</f>
        <v>0</v>
      </c>
      <c r="W22" s="24">
        <f>IF(COUNTIF(HostRoster,tblClean[[#This Row],[Host Name]])=0,1,0)</f>
        <v>0</v>
      </c>
      <c r="X22" s="24">
        <f>IF(tblClean[[#This Row],[Missing Flag]]+tblClean[[#This Row],[Duplicate Flag]]+tblClean[[#This Row],[Negative Flag]]+tblClean[[#This Row],[Duration Flag]]+tblClean[[#This Row],[Host Flag]]=0,1,0)</f>
        <v>1</v>
      </c>
    </row>
    <row r="23" spans="1:24" x14ac:dyDescent="0.3">
      <c r="A23" s="9" t="str">
        <f>TRIM('Raw Data'!A19)</f>
        <v>LS-0015</v>
      </c>
      <c r="B23" s="10">
        <f>IF(ISNUMBER('Raw Data'!B19),INT('Raw Data'!B19),IFERROR(DATEVALUE('Raw Data'!B19),""))</f>
        <v>45813</v>
      </c>
      <c r="C23" s="9" t="str">
        <f>PROPER(TRIM('Raw Data'!C19))</f>
        <v>Bianca Reyes</v>
      </c>
      <c r="D23" s="11">
        <f>IF(ISNUMBER('Raw Data'!D19),MOD('Raw Data'!D19,1),IFERROR(TIMEVALUE('Raw Data'!D19),""))</f>
        <v>0.91666666666666663</v>
      </c>
      <c r="E23" s="11">
        <f>IF(ISNUMBER('Raw Data'!E19),MOD('Raw Data'!E19,1),IFERROR(TIMEVALUE('Raw Data'!E19),""))</f>
        <v>2.0833333333333329E-2</v>
      </c>
      <c r="F23" s="12">
        <f>IF(ISNUMBER('Raw Data'!F19),'Raw Data'!F19,IFERROR(VALUE(SUBSTITUTE('Raw Data'!F19,",","")),""))</f>
        <v>26259</v>
      </c>
      <c r="G23" s="13">
        <f>IF(ISNUMBER('Raw Data'!G19),'Raw Data'!G19,IFERROR(VALUE(SUBSTITUTE('Raw Data'!G19,",","")),""))</f>
        <v>72</v>
      </c>
      <c r="H23" s="13">
        <f>IF(ISNUMBER('Raw Data'!H19),'Raw Data'!H19,IFERROR(VALUE(SUBSTITUTE('Raw Data'!H19,",","")),""))</f>
        <v>72608</v>
      </c>
      <c r="I23" s="13">
        <f>IF(ISNUMBER('Raw Data'!I19),'Raw Data'!I19,IFERROR(VALUE(SUBSTITUTE('Raw Data'!I19,",","")),""))</f>
        <v>892</v>
      </c>
      <c r="J23" s="21">
        <f>IF(AND(ISNUMBER(tblClean[[#This Row],[Start Time]]),ISNUMBER(tblClean[[#This Row],[End Time]])),ROUND(MOD(tblClean[[#This Row],[End Time]]-tblClean[[#This Row],[Start Time]],1)*24,2),"")</f>
        <v>2.5</v>
      </c>
      <c r="K23" s="12">
        <f>IF(AND(ISNUMBER(tblClean[[#This Row],[Duration Hours]]),ISNUMBER(tblClean[[#This Row],[Attributed GMV PHP]])),IF(tblClean[[#This Row],[Duration Hours]]&gt;0,tblClean[[#This Row],[Attributed GMV PHP]]/tblClean[[#This Row],[Duration Hours]],""),"")</f>
        <v>10503.6</v>
      </c>
      <c r="L23" s="22">
        <f>IF(ISNUMBER(tblClean[[#This Row],[Date]]),DATE(YEAR(tblClean[[#This Row],[Date]]),MONTH(tblClean[[#This Row],[Date]]),1),"")</f>
        <v>45809</v>
      </c>
      <c r="M23" s="10">
        <f>IF(ISNUMBER(tblClean[[#This Row],[Date]]),tblClean[[#This Row],[Date]]-WEEKDAY(tblClean[[#This Row],[Date]],2)+1,"")</f>
        <v>45810</v>
      </c>
      <c r="N23" s="23">
        <f>IF(ISNUMBER(tblClean[[#This Row],[Week Start]]),(tblClean[[#This Row],[Week Start]]-MIN(tblClean[Week Start]))/7+1,"")</f>
        <v>1</v>
      </c>
      <c r="O23" s="24" t="str">
        <f>IF(ISNUMBER(tblClean[[#This Row],[Date]]),CHOOSE(WEEKDAY(tblClean[[#This Row],[Date]],2),"Mon","Tue","Wed","Thu","Fri","Sat","Sun"),"")</f>
        <v>Thu</v>
      </c>
      <c r="P23" s="24" t="str">
        <f>IF(ISNUMBER(tblClean[[#This Row],[Date]]),IF(WEEKDAY(tblClean[[#This Row],[Date]],2)&gt;=6,"Weekend","Weekday"),"")</f>
        <v>Weekday</v>
      </c>
      <c r="Q2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3" s="9" t="str">
        <f>IF(ISNUMBER(tblClean[[#This Row],[Duration Hours]]),IF(tblClean[[#This Row],[Duration Hours]]&lt;2,"Short (under 2h)",IF(tblClean[[#This Row],[Duration Hours]]&lt;3,"Standard (2h to under 3h)","Long (3h or more)")),"")</f>
        <v>Standard (2h to under 3h)</v>
      </c>
      <c r="S2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3" s="24">
        <f>IF(COUNTIF(tblClean[Session ID],tblClean[[#This Row],[Session ID]])&gt;1,1,0)</f>
        <v>0</v>
      </c>
      <c r="U23" s="24">
        <f>IF(OR(N(tblClean[[#This Row],[Attributed GMV PHP]])&lt;0,N(tblClean[[#This Row],[Items Sold]])&lt;0,N(tblClean[[#This Row],[Livestream Views]])&lt;0,N(tblClean[[#This Row],[New Followers]])&lt;0),1,0)</f>
        <v>0</v>
      </c>
      <c r="V23" s="24">
        <f>IF(ISNUMBER(tblClean[[#This Row],[Duration Hours]]),IF(OR(tblClean[[#This Row],[Duration Hours]]&lt;=0,tblClean[[#This Row],[Duration Hours]]&gt;12),1,0),1)</f>
        <v>0</v>
      </c>
      <c r="W23" s="24">
        <f>IF(COUNTIF(HostRoster,tblClean[[#This Row],[Host Name]])=0,1,0)</f>
        <v>0</v>
      </c>
      <c r="X23" s="24">
        <f>IF(tblClean[[#This Row],[Missing Flag]]+tblClean[[#This Row],[Duplicate Flag]]+tblClean[[#This Row],[Negative Flag]]+tblClean[[#This Row],[Duration Flag]]+tblClean[[#This Row],[Host Flag]]=0,1,0)</f>
        <v>1</v>
      </c>
    </row>
    <row r="24" spans="1:24" x14ac:dyDescent="0.3">
      <c r="A24" s="9" t="str">
        <f>TRIM('Raw Data'!A20)</f>
        <v>LS-0016</v>
      </c>
      <c r="B24" s="10">
        <f>IF(ISNUMBER('Raw Data'!B20),INT('Raw Data'!B20),IFERROR(DATEVALUE('Raw Data'!B20),""))</f>
        <v>45814</v>
      </c>
      <c r="C24" s="9" t="str">
        <f>PROPER(TRIM('Raw Data'!C20))</f>
        <v>Bianca Reyes</v>
      </c>
      <c r="D24" s="11">
        <f>IF(ISNUMBER('Raw Data'!D20),MOD('Raw Data'!D20,1),IFERROR(TIMEVALUE('Raw Data'!D20),""))</f>
        <v>0.41666666666666669</v>
      </c>
      <c r="E24" s="11">
        <f>IF(ISNUMBER('Raw Data'!E20),MOD('Raw Data'!E20,1),IFERROR(TIMEVALUE('Raw Data'!E20),""))</f>
        <v>0.5</v>
      </c>
      <c r="F24" s="12">
        <f>IF(ISNUMBER('Raw Data'!F20),'Raw Data'!F20,IFERROR(VALUE(SUBSTITUTE('Raw Data'!F20,",","")),""))</f>
        <v>15845</v>
      </c>
      <c r="G24" s="13">
        <f>IF(ISNUMBER('Raw Data'!G20),'Raw Data'!G20,IFERROR(VALUE(SUBSTITUTE('Raw Data'!G20,",","")),""))</f>
        <v>55</v>
      </c>
      <c r="H24" s="13">
        <f>IF(ISNUMBER('Raw Data'!H20),'Raw Data'!H20,IFERROR(VALUE(SUBSTITUTE('Raw Data'!H20,",","")),""))</f>
        <v>55723</v>
      </c>
      <c r="I24" s="13">
        <f>IF(ISNUMBER('Raw Data'!I20),'Raw Data'!I20,IFERROR(VALUE(SUBSTITUTE('Raw Data'!I20,",","")),""))</f>
        <v>348</v>
      </c>
      <c r="J24" s="21">
        <f>IF(AND(ISNUMBER(tblClean[[#This Row],[Start Time]]),ISNUMBER(tblClean[[#This Row],[End Time]])),ROUND(MOD(tblClean[[#This Row],[End Time]]-tblClean[[#This Row],[Start Time]],1)*24,2),"")</f>
        <v>2</v>
      </c>
      <c r="K24" s="12">
        <f>IF(AND(ISNUMBER(tblClean[[#This Row],[Duration Hours]]),ISNUMBER(tblClean[[#This Row],[Attributed GMV PHP]])),IF(tblClean[[#This Row],[Duration Hours]]&gt;0,tblClean[[#This Row],[Attributed GMV PHP]]/tblClean[[#This Row],[Duration Hours]],""),"")</f>
        <v>7922.5</v>
      </c>
      <c r="L24" s="22">
        <f>IF(ISNUMBER(tblClean[[#This Row],[Date]]),DATE(YEAR(tblClean[[#This Row],[Date]]),MONTH(tblClean[[#This Row],[Date]]),1),"")</f>
        <v>45809</v>
      </c>
      <c r="M24" s="10">
        <f>IF(ISNUMBER(tblClean[[#This Row],[Date]]),tblClean[[#This Row],[Date]]-WEEKDAY(tblClean[[#This Row],[Date]],2)+1,"")</f>
        <v>45810</v>
      </c>
      <c r="N24" s="23">
        <f>IF(ISNUMBER(tblClean[[#This Row],[Week Start]]),(tblClean[[#This Row],[Week Start]]-MIN(tblClean[Week Start]))/7+1,"")</f>
        <v>1</v>
      </c>
      <c r="O24" s="24" t="str">
        <f>IF(ISNUMBER(tblClean[[#This Row],[Date]]),CHOOSE(WEEKDAY(tblClean[[#This Row],[Date]],2),"Mon","Tue","Wed","Thu","Fri","Sat","Sun"),"")</f>
        <v>Fri</v>
      </c>
      <c r="P24" s="24" t="str">
        <f>IF(ISNUMBER(tblClean[[#This Row],[Date]]),IF(WEEKDAY(tblClean[[#This Row],[Date]],2)&gt;=6,"Weekend","Weekday"),"")</f>
        <v>Weekday</v>
      </c>
      <c r="Q2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4" s="9" t="str">
        <f>IF(ISNUMBER(tblClean[[#This Row],[Duration Hours]]),IF(tblClean[[#This Row],[Duration Hours]]&lt;2,"Short (under 2h)",IF(tblClean[[#This Row],[Duration Hours]]&lt;3,"Standard (2h to under 3h)","Long (3h or more)")),"")</f>
        <v>Standard (2h to under 3h)</v>
      </c>
      <c r="S2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4" s="24">
        <f>IF(COUNTIF(tblClean[Session ID],tblClean[[#This Row],[Session ID]])&gt;1,1,0)</f>
        <v>0</v>
      </c>
      <c r="U24" s="24">
        <f>IF(OR(N(tblClean[[#This Row],[Attributed GMV PHP]])&lt;0,N(tblClean[[#This Row],[Items Sold]])&lt;0,N(tblClean[[#This Row],[Livestream Views]])&lt;0,N(tblClean[[#This Row],[New Followers]])&lt;0),1,0)</f>
        <v>0</v>
      </c>
      <c r="V24" s="24">
        <f>IF(ISNUMBER(tblClean[[#This Row],[Duration Hours]]),IF(OR(tblClean[[#This Row],[Duration Hours]]&lt;=0,tblClean[[#This Row],[Duration Hours]]&gt;12),1,0),1)</f>
        <v>0</v>
      </c>
      <c r="W24" s="24">
        <f>IF(COUNTIF(HostRoster,tblClean[[#This Row],[Host Name]])=0,1,0)</f>
        <v>0</v>
      </c>
      <c r="X24" s="24">
        <f>IF(tblClean[[#This Row],[Missing Flag]]+tblClean[[#This Row],[Duplicate Flag]]+tblClean[[#This Row],[Negative Flag]]+tblClean[[#This Row],[Duration Flag]]+tblClean[[#This Row],[Host Flag]]=0,1,0)</f>
        <v>1</v>
      </c>
    </row>
    <row r="25" spans="1:24" x14ac:dyDescent="0.3">
      <c r="A25" s="9" t="str">
        <f>TRIM('Raw Data'!A21)</f>
        <v>LS-0017</v>
      </c>
      <c r="B25" s="10">
        <f>IF(ISNUMBER('Raw Data'!B21),INT('Raw Data'!B21),IFERROR(DATEVALUE('Raw Data'!B21),""))</f>
        <v>45814</v>
      </c>
      <c r="C25" s="9" t="str">
        <f>PROPER(TRIM('Raw Data'!C21))</f>
        <v>Dani Villanueva</v>
      </c>
      <c r="D25" s="11">
        <f>IF(ISNUMBER('Raw Data'!D21),MOD('Raw Data'!D21,1),IFERROR(TIMEVALUE('Raw Data'!D21),""))</f>
        <v>0.54166666666666663</v>
      </c>
      <c r="E25" s="11">
        <f>IF(ISNUMBER('Raw Data'!E21),MOD('Raw Data'!E21,1),IFERROR(TIMEVALUE('Raw Data'!E21),""))</f>
        <v>0.66666666666666663</v>
      </c>
      <c r="F25" s="12">
        <f>IF(ISNUMBER('Raw Data'!F21),'Raw Data'!F21,IFERROR(VALUE(SUBSTITUTE('Raw Data'!F21,",","")),""))</f>
        <v>35724</v>
      </c>
      <c r="G25" s="13">
        <f>IF(ISNUMBER('Raw Data'!G21),'Raw Data'!G21,IFERROR(VALUE(SUBSTITUTE('Raw Data'!G21,",","")),""))</f>
        <v>100</v>
      </c>
      <c r="H25" s="13">
        <f>IF(ISNUMBER('Raw Data'!H21),'Raw Data'!H21,IFERROR(VALUE(SUBSTITUTE('Raw Data'!H21,",","")),""))</f>
        <v>84918</v>
      </c>
      <c r="I25" s="13">
        <f>IF(ISNUMBER('Raw Data'!I21),'Raw Data'!I21,IFERROR(VALUE(SUBSTITUTE('Raw Data'!I21,",","")),""))</f>
        <v>1102</v>
      </c>
      <c r="J25" s="21">
        <f>IF(AND(ISNUMBER(tblClean[[#This Row],[Start Time]]),ISNUMBER(tblClean[[#This Row],[End Time]])),ROUND(MOD(tblClean[[#This Row],[End Time]]-tblClean[[#This Row],[Start Time]],1)*24,2),"")</f>
        <v>3</v>
      </c>
      <c r="K25" s="12">
        <f>IF(AND(ISNUMBER(tblClean[[#This Row],[Duration Hours]]),ISNUMBER(tblClean[[#This Row],[Attributed GMV PHP]])),IF(tblClean[[#This Row],[Duration Hours]]&gt;0,tblClean[[#This Row],[Attributed GMV PHP]]/tblClean[[#This Row],[Duration Hours]],""),"")</f>
        <v>11908</v>
      </c>
      <c r="L25" s="22">
        <f>IF(ISNUMBER(tblClean[[#This Row],[Date]]),DATE(YEAR(tblClean[[#This Row],[Date]]),MONTH(tblClean[[#This Row],[Date]]),1),"")</f>
        <v>45809</v>
      </c>
      <c r="M25" s="10">
        <f>IF(ISNUMBER(tblClean[[#This Row],[Date]]),tblClean[[#This Row],[Date]]-WEEKDAY(tblClean[[#This Row],[Date]],2)+1,"")</f>
        <v>45810</v>
      </c>
      <c r="N25" s="23">
        <f>IF(ISNUMBER(tblClean[[#This Row],[Week Start]]),(tblClean[[#This Row],[Week Start]]-MIN(tblClean[Week Start]))/7+1,"")</f>
        <v>1</v>
      </c>
      <c r="O25" s="24" t="str">
        <f>IF(ISNUMBER(tblClean[[#This Row],[Date]]),CHOOSE(WEEKDAY(tblClean[[#This Row],[Date]],2),"Mon","Tue","Wed","Thu","Fri","Sat","Sun"),"")</f>
        <v>Fri</v>
      </c>
      <c r="P25" s="24" t="str">
        <f>IF(ISNUMBER(tblClean[[#This Row],[Date]]),IF(WEEKDAY(tblClean[[#This Row],[Date]],2)&gt;=6,"Weekend","Weekday"),"")</f>
        <v>Weekday</v>
      </c>
      <c r="Q2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5" s="9" t="str">
        <f>IF(ISNUMBER(tblClean[[#This Row],[Duration Hours]]),IF(tblClean[[#This Row],[Duration Hours]]&lt;2,"Short (under 2h)",IF(tblClean[[#This Row],[Duration Hours]]&lt;3,"Standard (2h to under 3h)","Long (3h or more)")),"")</f>
        <v>Long (3h or more)</v>
      </c>
      <c r="S2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5" s="24">
        <f>IF(COUNTIF(tblClean[Session ID],tblClean[[#This Row],[Session ID]])&gt;1,1,0)</f>
        <v>0</v>
      </c>
      <c r="U25" s="24">
        <f>IF(OR(N(tblClean[[#This Row],[Attributed GMV PHP]])&lt;0,N(tblClean[[#This Row],[Items Sold]])&lt;0,N(tblClean[[#This Row],[Livestream Views]])&lt;0,N(tblClean[[#This Row],[New Followers]])&lt;0),1,0)</f>
        <v>0</v>
      </c>
      <c r="V25" s="24">
        <f>IF(ISNUMBER(tblClean[[#This Row],[Duration Hours]]),IF(OR(tblClean[[#This Row],[Duration Hours]]&lt;=0,tblClean[[#This Row],[Duration Hours]]&gt;12),1,0),1)</f>
        <v>0</v>
      </c>
      <c r="W25" s="24">
        <f>IF(COUNTIF(HostRoster,tblClean[[#This Row],[Host Name]])=0,1,0)</f>
        <v>0</v>
      </c>
      <c r="X25" s="24">
        <f>IF(tblClean[[#This Row],[Missing Flag]]+tblClean[[#This Row],[Duplicate Flag]]+tblClean[[#This Row],[Negative Flag]]+tblClean[[#This Row],[Duration Flag]]+tblClean[[#This Row],[Host Flag]]=0,1,0)</f>
        <v>1</v>
      </c>
    </row>
    <row r="26" spans="1:24" x14ac:dyDescent="0.3">
      <c r="A26" s="9" t="str">
        <f>TRIM('Raw Data'!A22)</f>
        <v>LS-0018</v>
      </c>
      <c r="B26" s="10">
        <f>IF(ISNUMBER('Raw Data'!B22),INT('Raw Data'!B22),IFERROR(DATEVALUE('Raw Data'!B22),""))</f>
        <v>45814</v>
      </c>
      <c r="C26" s="9" t="str">
        <f>PROPER(TRIM('Raw Data'!C22))</f>
        <v>Carlo Mendoza</v>
      </c>
      <c r="D26" s="11">
        <f>IF(ISNUMBER('Raw Data'!D22),MOD('Raw Data'!D22,1),IFERROR(TIMEVALUE('Raw Data'!D22),""))</f>
        <v>0.66666666666666663</v>
      </c>
      <c r="E26" s="11">
        <f>IF(ISNUMBER('Raw Data'!E22),MOD('Raw Data'!E22,1),IFERROR(TIMEVALUE('Raw Data'!E22),""))</f>
        <v>0.75</v>
      </c>
      <c r="F26" s="12">
        <f>IF(ISNUMBER('Raw Data'!F22),'Raw Data'!F22,IFERROR(VALUE(SUBSTITUTE('Raw Data'!F22,",","")),""))</f>
        <v>34920</v>
      </c>
      <c r="G26" s="13">
        <f>IF(ISNUMBER('Raw Data'!G22),'Raw Data'!G22,IFERROR(VALUE(SUBSTITUTE('Raw Data'!G22,",","")),""))</f>
        <v>120</v>
      </c>
      <c r="H26" s="13">
        <f>IF(ISNUMBER('Raw Data'!H22),'Raw Data'!H22,IFERROR(VALUE(SUBSTITUTE('Raw Data'!H22,",","")),""))</f>
        <v>110731</v>
      </c>
      <c r="I26" s="13">
        <f>IF(ISNUMBER('Raw Data'!I22),'Raw Data'!I22,IFERROR(VALUE(SUBSTITUTE('Raw Data'!I22,",","")),""))</f>
        <v>952</v>
      </c>
      <c r="J26" s="21">
        <f>IF(AND(ISNUMBER(tblClean[[#This Row],[Start Time]]),ISNUMBER(tblClean[[#This Row],[End Time]])),ROUND(MOD(tblClean[[#This Row],[End Time]]-tblClean[[#This Row],[Start Time]],1)*24,2),"")</f>
        <v>2</v>
      </c>
      <c r="K26" s="12">
        <f>IF(AND(ISNUMBER(tblClean[[#This Row],[Duration Hours]]),ISNUMBER(tblClean[[#This Row],[Attributed GMV PHP]])),IF(tblClean[[#This Row],[Duration Hours]]&gt;0,tblClean[[#This Row],[Attributed GMV PHP]]/tblClean[[#This Row],[Duration Hours]],""),"")</f>
        <v>17460</v>
      </c>
      <c r="L26" s="22">
        <f>IF(ISNUMBER(tblClean[[#This Row],[Date]]),DATE(YEAR(tblClean[[#This Row],[Date]]),MONTH(tblClean[[#This Row],[Date]]),1),"")</f>
        <v>45809</v>
      </c>
      <c r="M26" s="10">
        <f>IF(ISNUMBER(tblClean[[#This Row],[Date]]),tblClean[[#This Row],[Date]]-WEEKDAY(tblClean[[#This Row],[Date]],2)+1,"")</f>
        <v>45810</v>
      </c>
      <c r="N26" s="23">
        <f>IF(ISNUMBER(tblClean[[#This Row],[Week Start]]),(tblClean[[#This Row],[Week Start]]-MIN(tblClean[Week Start]))/7+1,"")</f>
        <v>1</v>
      </c>
      <c r="O26" s="24" t="str">
        <f>IF(ISNUMBER(tblClean[[#This Row],[Date]]),CHOOSE(WEEKDAY(tblClean[[#This Row],[Date]],2),"Mon","Tue","Wed","Thu","Fri","Sat","Sun"),"")</f>
        <v>Fri</v>
      </c>
      <c r="P26" s="24" t="str">
        <f>IF(ISNUMBER(tblClean[[#This Row],[Date]]),IF(WEEKDAY(tblClean[[#This Row],[Date]],2)&gt;=6,"Weekend","Weekday"),"")</f>
        <v>Weekday</v>
      </c>
      <c r="Q2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6" s="9" t="str">
        <f>IF(ISNUMBER(tblClean[[#This Row],[Duration Hours]]),IF(tblClean[[#This Row],[Duration Hours]]&lt;2,"Short (under 2h)",IF(tblClean[[#This Row],[Duration Hours]]&lt;3,"Standard (2h to under 3h)","Long (3h or more)")),"")</f>
        <v>Standard (2h to under 3h)</v>
      </c>
      <c r="S2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6" s="24">
        <f>IF(COUNTIF(tblClean[Session ID],tblClean[[#This Row],[Session ID]])&gt;1,1,0)</f>
        <v>0</v>
      </c>
      <c r="U26" s="24">
        <f>IF(OR(N(tblClean[[#This Row],[Attributed GMV PHP]])&lt;0,N(tblClean[[#This Row],[Items Sold]])&lt;0,N(tblClean[[#This Row],[Livestream Views]])&lt;0,N(tblClean[[#This Row],[New Followers]])&lt;0),1,0)</f>
        <v>0</v>
      </c>
      <c r="V26" s="24">
        <f>IF(ISNUMBER(tblClean[[#This Row],[Duration Hours]]),IF(OR(tblClean[[#This Row],[Duration Hours]]&lt;=0,tblClean[[#This Row],[Duration Hours]]&gt;12),1,0),1)</f>
        <v>0</v>
      </c>
      <c r="W26" s="24">
        <f>IF(COUNTIF(HostRoster,tblClean[[#This Row],[Host Name]])=0,1,0)</f>
        <v>0</v>
      </c>
      <c r="X26" s="24">
        <f>IF(tblClean[[#This Row],[Missing Flag]]+tblClean[[#This Row],[Duplicate Flag]]+tblClean[[#This Row],[Negative Flag]]+tblClean[[#This Row],[Duration Flag]]+tblClean[[#This Row],[Host Flag]]=0,1,0)</f>
        <v>1</v>
      </c>
    </row>
    <row r="27" spans="1:24" x14ac:dyDescent="0.3">
      <c r="A27" s="9" t="str">
        <f>TRIM('Raw Data'!A23)</f>
        <v>LS-0019</v>
      </c>
      <c r="B27" s="10">
        <f>IF(ISNUMBER('Raw Data'!B23),INT('Raw Data'!B23),IFERROR(DATEVALUE('Raw Data'!B23),""))</f>
        <v>45814</v>
      </c>
      <c r="C27" s="9" t="str">
        <f>PROPER(TRIM('Raw Data'!C23))</f>
        <v>Aira Valdez</v>
      </c>
      <c r="D27" s="11">
        <f>IF(ISNUMBER('Raw Data'!D23),MOD('Raw Data'!D23,1),IFERROR(TIMEVALUE('Raw Data'!D23),""))</f>
        <v>0.79166666666666663</v>
      </c>
      <c r="E27" s="11">
        <f>IF(ISNUMBER('Raw Data'!E23),MOD('Raw Data'!E23,1),IFERROR(TIMEVALUE('Raw Data'!E23),""))</f>
        <v>0.89583333333333337</v>
      </c>
      <c r="F27" s="12">
        <f>IF(ISNUMBER('Raw Data'!F23),'Raw Data'!F23,IFERROR(VALUE(SUBSTITUTE('Raw Data'!F23,",","")),""))</f>
        <v>44226</v>
      </c>
      <c r="G27" s="13">
        <f>IF(ISNUMBER('Raw Data'!G23),'Raw Data'!G23,IFERROR(VALUE(SUBSTITUTE('Raw Data'!G23,",","")),""))</f>
        <v>153</v>
      </c>
      <c r="H27" s="13">
        <f>IF(ISNUMBER('Raw Data'!H23),'Raw Data'!H23,IFERROR(VALUE(SUBSTITUTE('Raw Data'!H23,",","")),""))</f>
        <v>159471</v>
      </c>
      <c r="I27" s="13">
        <f>IF(ISNUMBER('Raw Data'!I23),'Raw Data'!I23,IFERROR(VALUE(SUBSTITUTE('Raw Data'!I23,",","")),""))</f>
        <v>712</v>
      </c>
      <c r="J27" s="21">
        <f>IF(AND(ISNUMBER(tblClean[[#This Row],[Start Time]]),ISNUMBER(tblClean[[#This Row],[End Time]])),ROUND(MOD(tblClean[[#This Row],[End Time]]-tblClean[[#This Row],[Start Time]],1)*24,2),"")</f>
        <v>2.5</v>
      </c>
      <c r="K27" s="12">
        <f>IF(AND(ISNUMBER(tblClean[[#This Row],[Duration Hours]]),ISNUMBER(tblClean[[#This Row],[Attributed GMV PHP]])),IF(tblClean[[#This Row],[Duration Hours]]&gt;0,tblClean[[#This Row],[Attributed GMV PHP]]/tblClean[[#This Row],[Duration Hours]],""),"")</f>
        <v>17690.400000000001</v>
      </c>
      <c r="L27" s="22">
        <f>IF(ISNUMBER(tblClean[[#This Row],[Date]]),DATE(YEAR(tblClean[[#This Row],[Date]]),MONTH(tblClean[[#This Row],[Date]]),1),"")</f>
        <v>45809</v>
      </c>
      <c r="M27" s="10">
        <f>IF(ISNUMBER(tblClean[[#This Row],[Date]]),tblClean[[#This Row],[Date]]-WEEKDAY(tblClean[[#This Row],[Date]],2)+1,"")</f>
        <v>45810</v>
      </c>
      <c r="N27" s="23">
        <f>IF(ISNUMBER(tblClean[[#This Row],[Week Start]]),(tblClean[[#This Row],[Week Start]]-MIN(tblClean[Week Start]))/7+1,"")</f>
        <v>1</v>
      </c>
      <c r="O27" s="24" t="str">
        <f>IF(ISNUMBER(tblClean[[#This Row],[Date]]),CHOOSE(WEEKDAY(tblClean[[#This Row],[Date]],2),"Mon","Tue","Wed","Thu","Fri","Sat","Sun"),"")</f>
        <v>Fri</v>
      </c>
      <c r="P27" s="24" t="str">
        <f>IF(ISNUMBER(tblClean[[#This Row],[Date]]),IF(WEEKDAY(tblClean[[#This Row],[Date]],2)&gt;=6,"Weekend","Weekday"),"")</f>
        <v>Weekday</v>
      </c>
      <c r="Q2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7" s="9" t="str">
        <f>IF(ISNUMBER(tblClean[[#This Row],[Duration Hours]]),IF(tblClean[[#This Row],[Duration Hours]]&lt;2,"Short (under 2h)",IF(tblClean[[#This Row],[Duration Hours]]&lt;3,"Standard (2h to under 3h)","Long (3h or more)")),"")</f>
        <v>Standard (2h to under 3h)</v>
      </c>
      <c r="S2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7" s="24">
        <f>IF(COUNTIF(tblClean[Session ID],tblClean[[#This Row],[Session ID]])&gt;1,1,0)</f>
        <v>0</v>
      </c>
      <c r="U27" s="24">
        <f>IF(OR(N(tblClean[[#This Row],[Attributed GMV PHP]])&lt;0,N(tblClean[[#This Row],[Items Sold]])&lt;0,N(tblClean[[#This Row],[Livestream Views]])&lt;0,N(tblClean[[#This Row],[New Followers]])&lt;0),1,0)</f>
        <v>0</v>
      </c>
      <c r="V27" s="24">
        <f>IF(ISNUMBER(tblClean[[#This Row],[Duration Hours]]),IF(OR(tblClean[[#This Row],[Duration Hours]]&lt;=0,tblClean[[#This Row],[Duration Hours]]&gt;12),1,0),1)</f>
        <v>0</v>
      </c>
      <c r="W27" s="24">
        <f>IF(COUNTIF(HostRoster,tblClean[[#This Row],[Host Name]])=0,1,0)</f>
        <v>0</v>
      </c>
      <c r="X27" s="24">
        <f>IF(tblClean[[#This Row],[Missing Flag]]+tblClean[[#This Row],[Duplicate Flag]]+tblClean[[#This Row],[Negative Flag]]+tblClean[[#This Row],[Duration Flag]]+tblClean[[#This Row],[Host Flag]]=0,1,0)</f>
        <v>1</v>
      </c>
    </row>
    <row r="28" spans="1:24" x14ac:dyDescent="0.3">
      <c r="A28" s="9" t="str">
        <f>TRIM('Raw Data'!A24)</f>
        <v>LS-0020</v>
      </c>
      <c r="B28" s="10">
        <f>IF(ISNUMBER('Raw Data'!B24),INT('Raw Data'!B24),IFERROR(DATEVALUE('Raw Data'!B24),""))</f>
        <v>45814</v>
      </c>
      <c r="C28" s="9" t="str">
        <f>PROPER(TRIM('Raw Data'!C24))</f>
        <v>Aira Valdez</v>
      </c>
      <c r="D28" s="11">
        <f>IF(ISNUMBER('Raw Data'!D24),MOD('Raw Data'!D24,1),IFERROR(TIMEVALUE('Raw Data'!D24),""))</f>
        <v>0.91666666666666663</v>
      </c>
      <c r="E28" s="11">
        <f>IF(ISNUMBER('Raw Data'!E24),MOD('Raw Data'!E24,1),IFERROR(TIMEVALUE('Raw Data'!E24),""))</f>
        <v>0</v>
      </c>
      <c r="F28" s="12">
        <f>IF(ISNUMBER('Raw Data'!F24),'Raw Data'!F24,IFERROR(VALUE(SUBSTITUTE('Raw Data'!F24,",","")),""))</f>
        <v>46274</v>
      </c>
      <c r="G28" s="13">
        <f>IF(ISNUMBER('Raw Data'!G24),'Raw Data'!G24,IFERROR(VALUE(SUBSTITUTE('Raw Data'!G24,",","")),""))</f>
        <v>120</v>
      </c>
      <c r="H28" s="13">
        <f>IF(ISNUMBER('Raw Data'!H24),'Raw Data'!H24,IFERROR(VALUE(SUBSTITUTE('Raw Data'!H24,",","")),""))</f>
        <v>166782</v>
      </c>
      <c r="I28" s="13">
        <f>IF(ISNUMBER('Raw Data'!I24),'Raw Data'!I24,IFERROR(VALUE(SUBSTITUTE('Raw Data'!I24,",","")),""))</f>
        <v>1027</v>
      </c>
      <c r="J28" s="21">
        <f>IF(AND(ISNUMBER(tblClean[[#This Row],[Start Time]]),ISNUMBER(tblClean[[#This Row],[End Time]])),ROUND(MOD(tblClean[[#This Row],[End Time]]-tblClean[[#This Row],[Start Time]],1)*24,2),"")</f>
        <v>2</v>
      </c>
      <c r="K28" s="12">
        <f>IF(AND(ISNUMBER(tblClean[[#This Row],[Duration Hours]]),ISNUMBER(tblClean[[#This Row],[Attributed GMV PHP]])),IF(tblClean[[#This Row],[Duration Hours]]&gt;0,tblClean[[#This Row],[Attributed GMV PHP]]/tblClean[[#This Row],[Duration Hours]],""),"")</f>
        <v>23137</v>
      </c>
      <c r="L28" s="22">
        <f>IF(ISNUMBER(tblClean[[#This Row],[Date]]),DATE(YEAR(tblClean[[#This Row],[Date]]),MONTH(tblClean[[#This Row],[Date]]),1),"")</f>
        <v>45809</v>
      </c>
      <c r="M28" s="10">
        <f>IF(ISNUMBER(tblClean[[#This Row],[Date]]),tblClean[[#This Row],[Date]]-WEEKDAY(tblClean[[#This Row],[Date]],2)+1,"")</f>
        <v>45810</v>
      </c>
      <c r="N28" s="23">
        <f>IF(ISNUMBER(tblClean[[#This Row],[Week Start]]),(tblClean[[#This Row],[Week Start]]-MIN(tblClean[Week Start]))/7+1,"")</f>
        <v>1</v>
      </c>
      <c r="O28" s="24" t="str">
        <f>IF(ISNUMBER(tblClean[[#This Row],[Date]]),CHOOSE(WEEKDAY(tblClean[[#This Row],[Date]],2),"Mon","Tue","Wed","Thu","Fri","Sat","Sun"),"")</f>
        <v>Fri</v>
      </c>
      <c r="P28" s="24" t="str">
        <f>IF(ISNUMBER(tblClean[[#This Row],[Date]]),IF(WEEKDAY(tblClean[[#This Row],[Date]],2)&gt;=6,"Weekend","Weekday"),"")</f>
        <v>Weekday</v>
      </c>
      <c r="Q2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8" s="9" t="str">
        <f>IF(ISNUMBER(tblClean[[#This Row],[Duration Hours]]),IF(tblClean[[#This Row],[Duration Hours]]&lt;2,"Short (under 2h)",IF(tblClean[[#This Row],[Duration Hours]]&lt;3,"Standard (2h to under 3h)","Long (3h or more)")),"")</f>
        <v>Standard (2h to under 3h)</v>
      </c>
      <c r="S2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8" s="24">
        <f>IF(COUNTIF(tblClean[Session ID],tblClean[[#This Row],[Session ID]])&gt;1,1,0)</f>
        <v>0</v>
      </c>
      <c r="U28" s="24">
        <f>IF(OR(N(tblClean[[#This Row],[Attributed GMV PHP]])&lt;0,N(tblClean[[#This Row],[Items Sold]])&lt;0,N(tblClean[[#This Row],[Livestream Views]])&lt;0,N(tblClean[[#This Row],[New Followers]])&lt;0),1,0)</f>
        <v>0</v>
      </c>
      <c r="V28" s="24">
        <f>IF(ISNUMBER(tblClean[[#This Row],[Duration Hours]]),IF(OR(tblClean[[#This Row],[Duration Hours]]&lt;=0,tblClean[[#This Row],[Duration Hours]]&gt;12),1,0),1)</f>
        <v>0</v>
      </c>
      <c r="W28" s="24">
        <f>IF(COUNTIF(HostRoster,tblClean[[#This Row],[Host Name]])=0,1,0)</f>
        <v>0</v>
      </c>
      <c r="X28" s="24">
        <f>IF(tblClean[[#This Row],[Missing Flag]]+tblClean[[#This Row],[Duplicate Flag]]+tblClean[[#This Row],[Negative Flag]]+tblClean[[#This Row],[Duration Flag]]+tblClean[[#This Row],[Host Flag]]=0,1,0)</f>
        <v>1</v>
      </c>
    </row>
    <row r="29" spans="1:24" x14ac:dyDescent="0.3">
      <c r="A29" s="9" t="str">
        <f>TRIM('Raw Data'!A25)</f>
        <v>LS-0021</v>
      </c>
      <c r="B29" s="10">
        <f>IF(ISNUMBER('Raw Data'!B25),INT('Raw Data'!B25),IFERROR(DATEVALUE('Raw Data'!B25),""))</f>
        <v>45815</v>
      </c>
      <c r="C29" s="9" t="str">
        <f>PROPER(TRIM('Raw Data'!C25))</f>
        <v>Bianca Reyes</v>
      </c>
      <c r="D29" s="11">
        <f>IF(ISNUMBER('Raw Data'!D25),MOD('Raw Data'!D25,1),IFERROR(TIMEVALUE('Raw Data'!D25),""))</f>
        <v>0.41666666666666669</v>
      </c>
      <c r="E29" s="11">
        <f>IF(ISNUMBER('Raw Data'!E25),MOD('Raw Data'!E25,1),IFERROR(TIMEVALUE('Raw Data'!E25),""))</f>
        <v>0.47916666666666669</v>
      </c>
      <c r="F29" s="12">
        <f>IF(ISNUMBER('Raw Data'!F25),'Raw Data'!F25,IFERROR(VALUE(SUBSTITUTE('Raw Data'!F25,",","")),""))</f>
        <v>7810</v>
      </c>
      <c r="G29" s="13">
        <f>IF(ISNUMBER('Raw Data'!G25),'Raw Data'!G25,IFERROR(VALUE(SUBSTITUTE('Raw Data'!G25,",","")),""))</f>
        <v>23</v>
      </c>
      <c r="H29" s="13">
        <f>IF(ISNUMBER('Raw Data'!H25),'Raw Data'!H25,IFERROR(VALUE(SUBSTITUTE('Raw Data'!H25,",","")),""))</f>
        <v>23198</v>
      </c>
      <c r="I29" s="13">
        <f>IF(ISNUMBER('Raw Data'!I25),'Raw Data'!I25,IFERROR(VALUE(SUBSTITUTE('Raw Data'!I25,",","")),""))</f>
        <v>100</v>
      </c>
      <c r="J29" s="21">
        <f>IF(AND(ISNUMBER(tblClean[[#This Row],[Start Time]]),ISNUMBER(tblClean[[#This Row],[End Time]])),ROUND(MOD(tblClean[[#This Row],[End Time]]-tblClean[[#This Row],[Start Time]],1)*24,2),"")</f>
        <v>1.5</v>
      </c>
      <c r="K29" s="12">
        <f>IF(AND(ISNUMBER(tblClean[[#This Row],[Duration Hours]]),ISNUMBER(tblClean[[#This Row],[Attributed GMV PHP]])),IF(tblClean[[#This Row],[Duration Hours]]&gt;0,tblClean[[#This Row],[Attributed GMV PHP]]/tblClean[[#This Row],[Duration Hours]],""),"")</f>
        <v>5206.666666666667</v>
      </c>
      <c r="L29" s="22">
        <f>IF(ISNUMBER(tblClean[[#This Row],[Date]]),DATE(YEAR(tblClean[[#This Row],[Date]]),MONTH(tblClean[[#This Row],[Date]]),1),"")</f>
        <v>45809</v>
      </c>
      <c r="M29" s="10">
        <f>IF(ISNUMBER(tblClean[[#This Row],[Date]]),tblClean[[#This Row],[Date]]-WEEKDAY(tblClean[[#This Row],[Date]],2)+1,"")</f>
        <v>45810</v>
      </c>
      <c r="N29" s="23">
        <f>IF(ISNUMBER(tblClean[[#This Row],[Week Start]]),(tblClean[[#This Row],[Week Start]]-MIN(tblClean[Week Start]))/7+1,"")</f>
        <v>1</v>
      </c>
      <c r="O29" s="24" t="str">
        <f>IF(ISNUMBER(tblClean[[#This Row],[Date]]),CHOOSE(WEEKDAY(tblClean[[#This Row],[Date]],2),"Mon","Tue","Wed","Thu","Fri","Sat","Sun"),"")</f>
        <v>Sat</v>
      </c>
      <c r="P29" s="24" t="str">
        <f>IF(ISNUMBER(tblClean[[#This Row],[Date]]),IF(WEEKDAY(tblClean[[#This Row],[Date]],2)&gt;=6,"Weekend","Weekday"),"")</f>
        <v>Weekend</v>
      </c>
      <c r="Q2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9" s="9" t="str">
        <f>IF(ISNUMBER(tblClean[[#This Row],[Duration Hours]]),IF(tblClean[[#This Row],[Duration Hours]]&lt;2,"Short (under 2h)",IF(tblClean[[#This Row],[Duration Hours]]&lt;3,"Standard (2h to under 3h)","Long (3h or more)")),"")</f>
        <v>Short (under 2h)</v>
      </c>
      <c r="S2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9" s="24">
        <f>IF(COUNTIF(tblClean[Session ID],tblClean[[#This Row],[Session ID]])&gt;1,1,0)</f>
        <v>0</v>
      </c>
      <c r="U29" s="24">
        <f>IF(OR(N(tblClean[[#This Row],[Attributed GMV PHP]])&lt;0,N(tblClean[[#This Row],[Items Sold]])&lt;0,N(tblClean[[#This Row],[Livestream Views]])&lt;0,N(tblClean[[#This Row],[New Followers]])&lt;0),1,0)</f>
        <v>0</v>
      </c>
      <c r="V29" s="24">
        <f>IF(ISNUMBER(tblClean[[#This Row],[Duration Hours]]),IF(OR(tblClean[[#This Row],[Duration Hours]]&lt;=0,tblClean[[#This Row],[Duration Hours]]&gt;12),1,0),1)</f>
        <v>0</v>
      </c>
      <c r="W29" s="24">
        <f>IF(COUNTIF(HostRoster,tblClean[[#This Row],[Host Name]])=0,1,0)</f>
        <v>0</v>
      </c>
      <c r="X29" s="24">
        <f>IF(tblClean[[#This Row],[Missing Flag]]+tblClean[[#This Row],[Duplicate Flag]]+tblClean[[#This Row],[Negative Flag]]+tblClean[[#This Row],[Duration Flag]]+tblClean[[#This Row],[Host Flag]]=0,1,0)</f>
        <v>1</v>
      </c>
    </row>
    <row r="30" spans="1:24" x14ac:dyDescent="0.3">
      <c r="A30" s="9" t="str">
        <f>TRIM('Raw Data'!A26)</f>
        <v>LS-0022</v>
      </c>
      <c r="B30" s="10">
        <f>IF(ISNUMBER('Raw Data'!B26),INT('Raw Data'!B26),IFERROR(DATEVALUE('Raw Data'!B26),""))</f>
        <v>45815</v>
      </c>
      <c r="C30" s="9" t="str">
        <f>PROPER(TRIM('Raw Data'!C26))</f>
        <v>Carlo Mendoza</v>
      </c>
      <c r="D30" s="11">
        <f>IF(ISNUMBER('Raw Data'!D26),MOD('Raw Data'!D26,1),IFERROR(TIMEVALUE('Raw Data'!D26),""))</f>
        <v>0.54166666666666663</v>
      </c>
      <c r="E30" s="11">
        <f>IF(ISNUMBER('Raw Data'!E26),MOD('Raw Data'!E26,1),IFERROR(TIMEVALUE('Raw Data'!E26),""))</f>
        <v>0.625</v>
      </c>
      <c r="F30" s="12">
        <f>IF(ISNUMBER('Raw Data'!F26),'Raw Data'!F26,IFERROR(VALUE(SUBSTITUTE('Raw Data'!F26,",","")),""))</f>
        <v>30517</v>
      </c>
      <c r="G30" s="13">
        <f>IF(ISNUMBER('Raw Data'!G26),'Raw Data'!G26,IFERROR(VALUE(SUBSTITUTE('Raw Data'!G26,",","")),""))</f>
        <v>87</v>
      </c>
      <c r="H30" s="13">
        <f>IF(ISNUMBER('Raw Data'!H26),'Raw Data'!H26,IFERROR(VALUE(SUBSTITUTE('Raw Data'!H26,",","")),""))</f>
        <v>93305</v>
      </c>
      <c r="I30" s="13">
        <f>IF(ISNUMBER('Raw Data'!I26),'Raw Data'!I26,IFERROR(VALUE(SUBSTITUTE('Raw Data'!I26,",","")),""))</f>
        <v>436</v>
      </c>
      <c r="J30" s="21">
        <f>IF(AND(ISNUMBER(tblClean[[#This Row],[Start Time]]),ISNUMBER(tblClean[[#This Row],[End Time]])),ROUND(MOD(tblClean[[#This Row],[End Time]]-tblClean[[#This Row],[Start Time]],1)*24,2),"")</f>
        <v>2</v>
      </c>
      <c r="K30" s="12">
        <f>IF(AND(ISNUMBER(tblClean[[#This Row],[Duration Hours]]),ISNUMBER(tblClean[[#This Row],[Attributed GMV PHP]])),IF(tblClean[[#This Row],[Duration Hours]]&gt;0,tblClean[[#This Row],[Attributed GMV PHP]]/tblClean[[#This Row],[Duration Hours]],""),"")</f>
        <v>15258.5</v>
      </c>
      <c r="L30" s="22">
        <f>IF(ISNUMBER(tblClean[[#This Row],[Date]]),DATE(YEAR(tblClean[[#This Row],[Date]]),MONTH(tblClean[[#This Row],[Date]]),1),"")</f>
        <v>45809</v>
      </c>
      <c r="M30" s="10">
        <f>IF(ISNUMBER(tblClean[[#This Row],[Date]]),tblClean[[#This Row],[Date]]-WEEKDAY(tblClean[[#This Row],[Date]],2)+1,"")</f>
        <v>45810</v>
      </c>
      <c r="N30" s="23">
        <f>IF(ISNUMBER(tblClean[[#This Row],[Week Start]]),(tblClean[[#This Row],[Week Start]]-MIN(tblClean[Week Start]))/7+1,"")</f>
        <v>1</v>
      </c>
      <c r="O30" s="24" t="str">
        <f>IF(ISNUMBER(tblClean[[#This Row],[Date]]),CHOOSE(WEEKDAY(tblClean[[#This Row],[Date]],2),"Mon","Tue","Wed","Thu","Fri","Sat","Sun"),"")</f>
        <v>Sat</v>
      </c>
      <c r="P30" s="24" t="str">
        <f>IF(ISNUMBER(tblClean[[#This Row],[Date]]),IF(WEEKDAY(tblClean[[#This Row],[Date]],2)&gt;=6,"Weekend","Weekday"),"")</f>
        <v>Weekend</v>
      </c>
      <c r="Q3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0" s="9" t="str">
        <f>IF(ISNUMBER(tblClean[[#This Row],[Duration Hours]]),IF(tblClean[[#This Row],[Duration Hours]]&lt;2,"Short (under 2h)",IF(tblClean[[#This Row],[Duration Hours]]&lt;3,"Standard (2h to under 3h)","Long (3h or more)")),"")</f>
        <v>Standard (2h to under 3h)</v>
      </c>
      <c r="S3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0" s="24">
        <f>IF(COUNTIF(tblClean[Session ID],tblClean[[#This Row],[Session ID]])&gt;1,1,0)</f>
        <v>0</v>
      </c>
      <c r="U30" s="24">
        <f>IF(OR(N(tblClean[[#This Row],[Attributed GMV PHP]])&lt;0,N(tblClean[[#This Row],[Items Sold]])&lt;0,N(tblClean[[#This Row],[Livestream Views]])&lt;0,N(tblClean[[#This Row],[New Followers]])&lt;0),1,0)</f>
        <v>0</v>
      </c>
      <c r="V30" s="24">
        <f>IF(ISNUMBER(tblClean[[#This Row],[Duration Hours]]),IF(OR(tblClean[[#This Row],[Duration Hours]]&lt;=0,tblClean[[#This Row],[Duration Hours]]&gt;12),1,0),1)</f>
        <v>0</v>
      </c>
      <c r="W30" s="24">
        <f>IF(COUNTIF(HostRoster,tblClean[[#This Row],[Host Name]])=0,1,0)</f>
        <v>0</v>
      </c>
      <c r="X30" s="24">
        <f>IF(tblClean[[#This Row],[Missing Flag]]+tblClean[[#This Row],[Duplicate Flag]]+tblClean[[#This Row],[Negative Flag]]+tblClean[[#This Row],[Duration Flag]]+tblClean[[#This Row],[Host Flag]]=0,1,0)</f>
        <v>1</v>
      </c>
    </row>
    <row r="31" spans="1:24" x14ac:dyDescent="0.3">
      <c r="A31" s="9" t="str">
        <f>TRIM('Raw Data'!A27)</f>
        <v>LS-0023</v>
      </c>
      <c r="B31" s="10">
        <f>IF(ISNUMBER('Raw Data'!B27),INT('Raw Data'!B27),IFERROR(DATEVALUE('Raw Data'!B27),""))</f>
        <v>45815</v>
      </c>
      <c r="C31" s="9" t="str">
        <f>PROPER(TRIM('Raw Data'!C27))</f>
        <v>Carlo Mendoza</v>
      </c>
      <c r="D31" s="11">
        <f>IF(ISNUMBER('Raw Data'!D27),MOD('Raw Data'!D27,1),IFERROR(TIMEVALUE('Raw Data'!D27),""))</f>
        <v>0.66666666666666663</v>
      </c>
      <c r="E31" s="11">
        <f>IF(ISNUMBER('Raw Data'!E27),MOD('Raw Data'!E27,1),IFERROR(TIMEVALUE('Raw Data'!E27),""))</f>
        <v>0.72916666666666663</v>
      </c>
      <c r="F31" s="12">
        <f>IF(ISNUMBER('Raw Data'!F27),'Raw Data'!F27,IFERROR(VALUE(SUBSTITUTE('Raw Data'!F27,",","")),""))</f>
        <v>11211</v>
      </c>
      <c r="G31" s="13">
        <f>IF(ISNUMBER('Raw Data'!G27),'Raw Data'!G27,IFERROR(VALUE(SUBSTITUTE('Raw Data'!G27,",","")),""))</f>
        <v>30</v>
      </c>
      <c r="H31" s="13">
        <f>IF(ISNUMBER('Raw Data'!H27),'Raw Data'!H27,IFERROR(VALUE(SUBSTITUTE('Raw Data'!H27,",","")),""))</f>
        <v>51227</v>
      </c>
      <c r="I31" s="13">
        <f>IF(ISNUMBER('Raw Data'!I27),'Raw Data'!I27,IFERROR(VALUE(SUBSTITUTE('Raw Data'!I27,",","")),""))</f>
        <v>314</v>
      </c>
      <c r="J31" s="21">
        <f>IF(AND(ISNUMBER(tblClean[[#This Row],[Start Time]]),ISNUMBER(tblClean[[#This Row],[End Time]])),ROUND(MOD(tblClean[[#This Row],[End Time]]-tblClean[[#This Row],[Start Time]],1)*24,2),"")</f>
        <v>1.5</v>
      </c>
      <c r="K31" s="12">
        <f>IF(AND(ISNUMBER(tblClean[[#This Row],[Duration Hours]]),ISNUMBER(tblClean[[#This Row],[Attributed GMV PHP]])),IF(tblClean[[#This Row],[Duration Hours]]&gt;0,tblClean[[#This Row],[Attributed GMV PHP]]/tblClean[[#This Row],[Duration Hours]],""),"")</f>
        <v>7474</v>
      </c>
      <c r="L31" s="22">
        <f>IF(ISNUMBER(tblClean[[#This Row],[Date]]),DATE(YEAR(tblClean[[#This Row],[Date]]),MONTH(tblClean[[#This Row],[Date]]),1),"")</f>
        <v>45809</v>
      </c>
      <c r="M31" s="10">
        <f>IF(ISNUMBER(tblClean[[#This Row],[Date]]),tblClean[[#This Row],[Date]]-WEEKDAY(tblClean[[#This Row],[Date]],2)+1,"")</f>
        <v>45810</v>
      </c>
      <c r="N31" s="23">
        <f>IF(ISNUMBER(tblClean[[#This Row],[Week Start]]),(tblClean[[#This Row],[Week Start]]-MIN(tblClean[Week Start]))/7+1,"")</f>
        <v>1</v>
      </c>
      <c r="O31" s="24" t="str">
        <f>IF(ISNUMBER(tblClean[[#This Row],[Date]]),CHOOSE(WEEKDAY(tblClean[[#This Row],[Date]],2),"Mon","Tue","Wed","Thu","Fri","Sat","Sun"),"")</f>
        <v>Sat</v>
      </c>
      <c r="P31" s="24" t="str">
        <f>IF(ISNUMBER(tblClean[[#This Row],[Date]]),IF(WEEKDAY(tblClean[[#This Row],[Date]],2)&gt;=6,"Weekend","Weekday"),"")</f>
        <v>Weekend</v>
      </c>
      <c r="Q3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1" s="9" t="str">
        <f>IF(ISNUMBER(tblClean[[#This Row],[Duration Hours]]),IF(tblClean[[#This Row],[Duration Hours]]&lt;2,"Short (under 2h)",IF(tblClean[[#This Row],[Duration Hours]]&lt;3,"Standard (2h to under 3h)","Long (3h or more)")),"")</f>
        <v>Short (under 2h)</v>
      </c>
      <c r="S3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1" s="24">
        <f>IF(COUNTIF(tblClean[Session ID],tblClean[[#This Row],[Session ID]])&gt;1,1,0)</f>
        <v>0</v>
      </c>
      <c r="U31" s="24">
        <f>IF(OR(N(tblClean[[#This Row],[Attributed GMV PHP]])&lt;0,N(tblClean[[#This Row],[Items Sold]])&lt;0,N(tblClean[[#This Row],[Livestream Views]])&lt;0,N(tblClean[[#This Row],[New Followers]])&lt;0),1,0)</f>
        <v>0</v>
      </c>
      <c r="V31" s="24">
        <f>IF(ISNUMBER(tblClean[[#This Row],[Duration Hours]]),IF(OR(tblClean[[#This Row],[Duration Hours]]&lt;=0,tblClean[[#This Row],[Duration Hours]]&gt;12),1,0),1)</f>
        <v>0</v>
      </c>
      <c r="W31" s="24">
        <f>IF(COUNTIF(HostRoster,tblClean[[#This Row],[Host Name]])=0,1,0)</f>
        <v>0</v>
      </c>
      <c r="X31" s="24">
        <f>IF(tblClean[[#This Row],[Missing Flag]]+tblClean[[#This Row],[Duplicate Flag]]+tblClean[[#This Row],[Negative Flag]]+tblClean[[#This Row],[Duration Flag]]+tblClean[[#This Row],[Host Flag]]=0,1,0)</f>
        <v>1</v>
      </c>
    </row>
    <row r="32" spans="1:24" x14ac:dyDescent="0.3">
      <c r="A32" s="9" t="str">
        <f>TRIM('Raw Data'!A28)</f>
        <v>LS-0024</v>
      </c>
      <c r="B32" s="10">
        <f>IF(ISNUMBER('Raw Data'!B28),INT('Raw Data'!B28),IFERROR(DATEVALUE('Raw Data'!B28),""))</f>
        <v>45815</v>
      </c>
      <c r="C32" s="9" t="str">
        <f>PROPER(TRIM('Raw Data'!C28))</f>
        <v>Carlo Mendoza</v>
      </c>
      <c r="D32" s="11">
        <f>IF(ISNUMBER('Raw Data'!D28),MOD('Raw Data'!D28,1),IFERROR(TIMEVALUE('Raw Data'!D28),""))</f>
        <v>0.79166666666666663</v>
      </c>
      <c r="E32" s="11">
        <f>IF(ISNUMBER('Raw Data'!E28),MOD('Raw Data'!E28,1),IFERROR(TIMEVALUE('Raw Data'!E28),""))</f>
        <v>0.875</v>
      </c>
      <c r="F32" s="12">
        <f>IF(ISNUMBER('Raw Data'!F28),'Raw Data'!F28,IFERROR(VALUE(SUBSTITUTE('Raw Data'!F28,",","")),""))</f>
        <v>39413</v>
      </c>
      <c r="G32" s="13">
        <f>IF(ISNUMBER('Raw Data'!G28),'Raw Data'!G28,IFERROR(VALUE(SUBSTITUTE('Raw Data'!G28,",","")),""))</f>
        <v>124</v>
      </c>
      <c r="H32" s="13">
        <f>IF(ISNUMBER('Raw Data'!H28),'Raw Data'!H28,IFERROR(VALUE(SUBSTITUTE('Raw Data'!H28,",","")),""))</f>
        <v>184880</v>
      </c>
      <c r="I32" s="13">
        <f>IF(ISNUMBER('Raw Data'!I28),'Raw Data'!I28,IFERROR(VALUE(SUBSTITUTE('Raw Data'!I28,",","")),""))</f>
        <v>1193</v>
      </c>
      <c r="J32" s="21">
        <f>IF(AND(ISNUMBER(tblClean[[#This Row],[Start Time]]),ISNUMBER(tblClean[[#This Row],[End Time]])),ROUND(MOD(tblClean[[#This Row],[End Time]]-tblClean[[#This Row],[Start Time]],1)*24,2),"")</f>
        <v>2</v>
      </c>
      <c r="K32" s="12">
        <f>IF(AND(ISNUMBER(tblClean[[#This Row],[Duration Hours]]),ISNUMBER(tblClean[[#This Row],[Attributed GMV PHP]])),IF(tblClean[[#This Row],[Duration Hours]]&gt;0,tblClean[[#This Row],[Attributed GMV PHP]]/tblClean[[#This Row],[Duration Hours]],""),"")</f>
        <v>19706.5</v>
      </c>
      <c r="L32" s="22">
        <f>IF(ISNUMBER(tblClean[[#This Row],[Date]]),DATE(YEAR(tblClean[[#This Row],[Date]]),MONTH(tblClean[[#This Row],[Date]]),1),"")</f>
        <v>45809</v>
      </c>
      <c r="M32" s="10">
        <f>IF(ISNUMBER(tblClean[[#This Row],[Date]]),tblClean[[#This Row],[Date]]-WEEKDAY(tblClean[[#This Row],[Date]],2)+1,"")</f>
        <v>45810</v>
      </c>
      <c r="N32" s="23">
        <f>IF(ISNUMBER(tblClean[[#This Row],[Week Start]]),(tblClean[[#This Row],[Week Start]]-MIN(tblClean[Week Start]))/7+1,"")</f>
        <v>1</v>
      </c>
      <c r="O32" s="24" t="str">
        <f>IF(ISNUMBER(tblClean[[#This Row],[Date]]),CHOOSE(WEEKDAY(tblClean[[#This Row],[Date]],2),"Mon","Tue","Wed","Thu","Fri","Sat","Sun"),"")</f>
        <v>Sat</v>
      </c>
      <c r="P32" s="24" t="str">
        <f>IF(ISNUMBER(tblClean[[#This Row],[Date]]),IF(WEEKDAY(tblClean[[#This Row],[Date]],2)&gt;=6,"Weekend","Weekday"),"")</f>
        <v>Weekend</v>
      </c>
      <c r="Q3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2" s="9" t="str">
        <f>IF(ISNUMBER(tblClean[[#This Row],[Duration Hours]]),IF(tblClean[[#This Row],[Duration Hours]]&lt;2,"Short (under 2h)",IF(tblClean[[#This Row],[Duration Hours]]&lt;3,"Standard (2h to under 3h)","Long (3h or more)")),"")</f>
        <v>Standard (2h to under 3h)</v>
      </c>
      <c r="S3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2" s="24">
        <f>IF(COUNTIF(tblClean[Session ID],tblClean[[#This Row],[Session ID]])&gt;1,1,0)</f>
        <v>0</v>
      </c>
      <c r="U32" s="24">
        <f>IF(OR(N(tblClean[[#This Row],[Attributed GMV PHP]])&lt;0,N(tblClean[[#This Row],[Items Sold]])&lt;0,N(tblClean[[#This Row],[Livestream Views]])&lt;0,N(tblClean[[#This Row],[New Followers]])&lt;0),1,0)</f>
        <v>0</v>
      </c>
      <c r="V32" s="24">
        <f>IF(ISNUMBER(tblClean[[#This Row],[Duration Hours]]),IF(OR(tblClean[[#This Row],[Duration Hours]]&lt;=0,tblClean[[#This Row],[Duration Hours]]&gt;12),1,0),1)</f>
        <v>0</v>
      </c>
      <c r="W32" s="24">
        <f>IF(COUNTIF(HostRoster,tblClean[[#This Row],[Host Name]])=0,1,0)</f>
        <v>0</v>
      </c>
      <c r="X32" s="24">
        <f>IF(tblClean[[#This Row],[Missing Flag]]+tblClean[[#This Row],[Duplicate Flag]]+tblClean[[#This Row],[Negative Flag]]+tblClean[[#This Row],[Duration Flag]]+tblClean[[#This Row],[Host Flag]]=0,1,0)</f>
        <v>1</v>
      </c>
    </row>
    <row r="33" spans="1:24" x14ac:dyDescent="0.3">
      <c r="A33" s="9" t="str">
        <f>TRIM('Raw Data'!A29)</f>
        <v>LS-0025</v>
      </c>
      <c r="B33" s="10">
        <f>IF(ISNUMBER('Raw Data'!B29),INT('Raw Data'!B29),IFERROR(DATEVALUE('Raw Data'!B29),""))</f>
        <v>45815</v>
      </c>
      <c r="C33" s="9" t="str">
        <f>PROPER(TRIM('Raw Data'!C29))</f>
        <v>Bianca Reyes</v>
      </c>
      <c r="D33" s="11">
        <f>IF(ISNUMBER('Raw Data'!D29),MOD('Raw Data'!D29,1),IFERROR(TIMEVALUE('Raw Data'!D29),""))</f>
        <v>0.91666666666666663</v>
      </c>
      <c r="E33" s="11">
        <f>IF(ISNUMBER('Raw Data'!E29),MOD('Raw Data'!E29,1),IFERROR(TIMEVALUE('Raw Data'!E29),""))</f>
        <v>2.0833333333333329E-2</v>
      </c>
      <c r="F33" s="12">
        <f>IF(ISNUMBER('Raw Data'!F29),'Raw Data'!F29,IFERROR(VALUE(SUBSTITUTE('Raw Data'!F29,",","")),""))</f>
        <v>27429</v>
      </c>
      <c r="G33" s="13">
        <f>IF(ISNUMBER('Raw Data'!G29),'Raw Data'!G29,IFERROR(VALUE(SUBSTITUTE('Raw Data'!G29,",","")),""))</f>
        <v>91</v>
      </c>
      <c r="H33" s="13">
        <f>IF(ISNUMBER('Raw Data'!H29),'Raw Data'!H29,IFERROR(VALUE(SUBSTITUTE('Raw Data'!H29,",","")),""))</f>
        <v>106488</v>
      </c>
      <c r="I33" s="13">
        <f>IF(ISNUMBER('Raw Data'!I29),'Raw Data'!I29,IFERROR(VALUE(SUBSTITUTE('Raw Data'!I29,",","")),""))</f>
        <v>1268</v>
      </c>
      <c r="J33" s="21">
        <f>IF(AND(ISNUMBER(tblClean[[#This Row],[Start Time]]),ISNUMBER(tblClean[[#This Row],[End Time]])),ROUND(MOD(tblClean[[#This Row],[End Time]]-tblClean[[#This Row],[Start Time]],1)*24,2),"")</f>
        <v>2.5</v>
      </c>
      <c r="K33" s="12">
        <f>IF(AND(ISNUMBER(tblClean[[#This Row],[Duration Hours]]),ISNUMBER(tblClean[[#This Row],[Attributed GMV PHP]])),IF(tblClean[[#This Row],[Duration Hours]]&gt;0,tblClean[[#This Row],[Attributed GMV PHP]]/tblClean[[#This Row],[Duration Hours]],""),"")</f>
        <v>10971.6</v>
      </c>
      <c r="L33" s="22">
        <f>IF(ISNUMBER(tblClean[[#This Row],[Date]]),DATE(YEAR(tblClean[[#This Row],[Date]]),MONTH(tblClean[[#This Row],[Date]]),1),"")</f>
        <v>45809</v>
      </c>
      <c r="M33" s="10">
        <f>IF(ISNUMBER(tblClean[[#This Row],[Date]]),tblClean[[#This Row],[Date]]-WEEKDAY(tblClean[[#This Row],[Date]],2)+1,"")</f>
        <v>45810</v>
      </c>
      <c r="N33" s="23">
        <f>IF(ISNUMBER(tblClean[[#This Row],[Week Start]]),(tblClean[[#This Row],[Week Start]]-MIN(tblClean[Week Start]))/7+1,"")</f>
        <v>1</v>
      </c>
      <c r="O33" s="24" t="str">
        <f>IF(ISNUMBER(tblClean[[#This Row],[Date]]),CHOOSE(WEEKDAY(tblClean[[#This Row],[Date]],2),"Mon","Tue","Wed","Thu","Fri","Sat","Sun"),"")</f>
        <v>Sat</v>
      </c>
      <c r="P33" s="24" t="str">
        <f>IF(ISNUMBER(tblClean[[#This Row],[Date]]),IF(WEEKDAY(tblClean[[#This Row],[Date]],2)&gt;=6,"Weekend","Weekday"),"")</f>
        <v>Weekend</v>
      </c>
      <c r="Q3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3" s="9" t="str">
        <f>IF(ISNUMBER(tblClean[[#This Row],[Duration Hours]]),IF(tblClean[[#This Row],[Duration Hours]]&lt;2,"Short (under 2h)",IF(tblClean[[#This Row],[Duration Hours]]&lt;3,"Standard (2h to under 3h)","Long (3h or more)")),"")</f>
        <v>Standard (2h to under 3h)</v>
      </c>
      <c r="S3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3" s="24">
        <f>IF(COUNTIF(tblClean[Session ID],tblClean[[#This Row],[Session ID]])&gt;1,1,0)</f>
        <v>0</v>
      </c>
      <c r="U33" s="24">
        <f>IF(OR(N(tblClean[[#This Row],[Attributed GMV PHP]])&lt;0,N(tblClean[[#This Row],[Items Sold]])&lt;0,N(tblClean[[#This Row],[Livestream Views]])&lt;0,N(tblClean[[#This Row],[New Followers]])&lt;0),1,0)</f>
        <v>0</v>
      </c>
      <c r="V33" s="24">
        <f>IF(ISNUMBER(tblClean[[#This Row],[Duration Hours]]),IF(OR(tblClean[[#This Row],[Duration Hours]]&lt;=0,tblClean[[#This Row],[Duration Hours]]&gt;12),1,0),1)</f>
        <v>0</v>
      </c>
      <c r="W33" s="24">
        <f>IF(COUNTIF(HostRoster,tblClean[[#This Row],[Host Name]])=0,1,0)</f>
        <v>0</v>
      </c>
      <c r="X33" s="24">
        <f>IF(tblClean[[#This Row],[Missing Flag]]+tblClean[[#This Row],[Duplicate Flag]]+tblClean[[#This Row],[Negative Flag]]+tblClean[[#This Row],[Duration Flag]]+tblClean[[#This Row],[Host Flag]]=0,1,0)</f>
        <v>1</v>
      </c>
    </row>
    <row r="34" spans="1:24" x14ac:dyDescent="0.3">
      <c r="A34" s="9" t="str">
        <f>TRIM('Raw Data'!A30)</f>
        <v>LS-0026</v>
      </c>
      <c r="B34" s="10">
        <f>IF(ISNUMBER('Raw Data'!B30),INT('Raw Data'!B30),IFERROR(DATEVALUE('Raw Data'!B30),""))</f>
        <v>45816</v>
      </c>
      <c r="C34" s="9" t="str">
        <f>PROPER(TRIM('Raw Data'!C30))</f>
        <v>Dani Villanueva</v>
      </c>
      <c r="D34" s="11">
        <f>IF(ISNUMBER('Raw Data'!D30),MOD('Raw Data'!D30,1),IFERROR(TIMEVALUE('Raw Data'!D30),""))</f>
        <v>0.54166666666666663</v>
      </c>
      <c r="E34" s="11">
        <f>IF(ISNUMBER('Raw Data'!E30),MOD('Raw Data'!E30,1),IFERROR(TIMEVALUE('Raw Data'!E30),""))</f>
        <v>0.64583333333333337</v>
      </c>
      <c r="F34" s="12">
        <f>IF(ISNUMBER('Raw Data'!F30),'Raw Data'!F30,IFERROR(VALUE(SUBSTITUTE('Raw Data'!F30,",","")),""))</f>
        <v>17035</v>
      </c>
      <c r="G34" s="13">
        <f>IF(ISNUMBER('Raw Data'!G30),'Raw Data'!G30,IFERROR(VALUE(SUBSTITUTE('Raw Data'!G30,",","")),""))</f>
        <v>50</v>
      </c>
      <c r="H34" s="13">
        <f>IF(ISNUMBER('Raw Data'!H30),'Raw Data'!H30,IFERROR(VALUE(SUBSTITUTE('Raw Data'!H30,",","")),""))</f>
        <v>58768</v>
      </c>
      <c r="I34" s="13">
        <f>IF(ISNUMBER('Raw Data'!I30),'Raw Data'!I30,IFERROR(VALUE(SUBSTITUTE('Raw Data'!I30,",","")),""))</f>
        <v>320</v>
      </c>
      <c r="J34" s="21">
        <f>IF(AND(ISNUMBER(tblClean[[#This Row],[Start Time]]),ISNUMBER(tblClean[[#This Row],[End Time]])),ROUND(MOD(tblClean[[#This Row],[End Time]]-tblClean[[#This Row],[Start Time]],1)*24,2),"")</f>
        <v>2.5</v>
      </c>
      <c r="K34" s="12">
        <f>IF(AND(ISNUMBER(tblClean[[#This Row],[Duration Hours]]),ISNUMBER(tblClean[[#This Row],[Attributed GMV PHP]])),IF(tblClean[[#This Row],[Duration Hours]]&gt;0,tblClean[[#This Row],[Attributed GMV PHP]]/tblClean[[#This Row],[Duration Hours]],""),"")</f>
        <v>6814</v>
      </c>
      <c r="L34" s="22">
        <f>IF(ISNUMBER(tblClean[[#This Row],[Date]]),DATE(YEAR(tblClean[[#This Row],[Date]]),MONTH(tblClean[[#This Row],[Date]]),1),"")</f>
        <v>45809</v>
      </c>
      <c r="M34" s="10">
        <f>IF(ISNUMBER(tblClean[[#This Row],[Date]]),tblClean[[#This Row],[Date]]-WEEKDAY(tblClean[[#This Row],[Date]],2)+1,"")</f>
        <v>45810</v>
      </c>
      <c r="N34" s="23">
        <f>IF(ISNUMBER(tblClean[[#This Row],[Week Start]]),(tblClean[[#This Row],[Week Start]]-MIN(tblClean[Week Start]))/7+1,"")</f>
        <v>1</v>
      </c>
      <c r="O34" s="24" t="str">
        <f>IF(ISNUMBER(tblClean[[#This Row],[Date]]),CHOOSE(WEEKDAY(tblClean[[#This Row],[Date]],2),"Mon","Tue","Wed","Thu","Fri","Sat","Sun"),"")</f>
        <v>Sun</v>
      </c>
      <c r="P34" s="24" t="str">
        <f>IF(ISNUMBER(tblClean[[#This Row],[Date]]),IF(WEEKDAY(tblClean[[#This Row],[Date]],2)&gt;=6,"Weekend","Weekday"),"")</f>
        <v>Weekend</v>
      </c>
      <c r="Q3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4" s="9" t="str">
        <f>IF(ISNUMBER(tblClean[[#This Row],[Duration Hours]]),IF(tblClean[[#This Row],[Duration Hours]]&lt;2,"Short (under 2h)",IF(tblClean[[#This Row],[Duration Hours]]&lt;3,"Standard (2h to under 3h)","Long (3h or more)")),"")</f>
        <v>Standard (2h to under 3h)</v>
      </c>
      <c r="S3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4" s="24">
        <f>IF(COUNTIF(tblClean[Session ID],tblClean[[#This Row],[Session ID]])&gt;1,1,0)</f>
        <v>0</v>
      </c>
      <c r="U34" s="24">
        <f>IF(OR(N(tblClean[[#This Row],[Attributed GMV PHP]])&lt;0,N(tblClean[[#This Row],[Items Sold]])&lt;0,N(tblClean[[#This Row],[Livestream Views]])&lt;0,N(tblClean[[#This Row],[New Followers]])&lt;0),1,0)</f>
        <v>0</v>
      </c>
      <c r="V34" s="24">
        <f>IF(ISNUMBER(tblClean[[#This Row],[Duration Hours]]),IF(OR(tblClean[[#This Row],[Duration Hours]]&lt;=0,tblClean[[#This Row],[Duration Hours]]&gt;12),1,0),1)</f>
        <v>0</v>
      </c>
      <c r="W34" s="24">
        <f>IF(COUNTIF(HostRoster,tblClean[[#This Row],[Host Name]])=0,1,0)</f>
        <v>0</v>
      </c>
      <c r="X34" s="24">
        <f>IF(tblClean[[#This Row],[Missing Flag]]+tblClean[[#This Row],[Duplicate Flag]]+tblClean[[#This Row],[Negative Flag]]+tblClean[[#This Row],[Duration Flag]]+tblClean[[#This Row],[Host Flag]]=0,1,0)</f>
        <v>1</v>
      </c>
    </row>
    <row r="35" spans="1:24" x14ac:dyDescent="0.3">
      <c r="A35" s="9" t="str">
        <f>TRIM('Raw Data'!A31)</f>
        <v>LS-0027</v>
      </c>
      <c r="B35" s="10">
        <f>IF(ISNUMBER('Raw Data'!B31),INT('Raw Data'!B31),IFERROR(DATEVALUE('Raw Data'!B31),""))</f>
        <v>45816</v>
      </c>
      <c r="C35" s="9" t="str">
        <f>PROPER(TRIM('Raw Data'!C31))</f>
        <v>Dani Villanueva</v>
      </c>
      <c r="D35" s="11">
        <f>IF(ISNUMBER('Raw Data'!D31),MOD('Raw Data'!D31,1),IFERROR(TIMEVALUE('Raw Data'!D31),""))</f>
        <v>0.66666666666666663</v>
      </c>
      <c r="E35" s="11">
        <f>IF(ISNUMBER('Raw Data'!E31),MOD('Raw Data'!E31,1),IFERROR(TIMEVALUE('Raw Data'!E31),""))</f>
        <v>0.77083333333333337</v>
      </c>
      <c r="F35" s="12">
        <f>IF(ISNUMBER('Raw Data'!F31),'Raw Data'!F31,IFERROR(VALUE(SUBSTITUTE('Raw Data'!F31,",","")),""))</f>
        <v>5140</v>
      </c>
      <c r="G35" s="13">
        <f>IF(ISNUMBER('Raw Data'!G31),'Raw Data'!G31,IFERROR(VALUE(SUBSTITUTE('Raw Data'!G31,",","")),""))</f>
        <v>14</v>
      </c>
      <c r="H35" s="13">
        <f>IF(ISNUMBER('Raw Data'!H31),'Raw Data'!H31,IFERROR(VALUE(SUBSTITUTE('Raw Data'!H31,",","")),""))</f>
        <v>22377</v>
      </c>
      <c r="I35" s="13">
        <f>IF(ISNUMBER('Raw Data'!I31),'Raw Data'!I31,IFERROR(VALUE(SUBSTITUTE('Raw Data'!I31,",","")),""))</f>
        <v>239</v>
      </c>
      <c r="J35" s="21">
        <f>IF(AND(ISNUMBER(tblClean[[#This Row],[Start Time]]),ISNUMBER(tblClean[[#This Row],[End Time]])),ROUND(MOD(tblClean[[#This Row],[End Time]]-tblClean[[#This Row],[Start Time]],1)*24,2),"")</f>
        <v>2.5</v>
      </c>
      <c r="K35" s="12">
        <f>IF(AND(ISNUMBER(tblClean[[#This Row],[Duration Hours]]),ISNUMBER(tblClean[[#This Row],[Attributed GMV PHP]])),IF(tblClean[[#This Row],[Duration Hours]]&gt;0,tblClean[[#This Row],[Attributed GMV PHP]]/tblClean[[#This Row],[Duration Hours]],""),"")</f>
        <v>2056</v>
      </c>
      <c r="L35" s="22">
        <f>IF(ISNUMBER(tblClean[[#This Row],[Date]]),DATE(YEAR(tblClean[[#This Row],[Date]]),MONTH(tblClean[[#This Row],[Date]]),1),"")</f>
        <v>45809</v>
      </c>
      <c r="M35" s="10">
        <f>IF(ISNUMBER(tblClean[[#This Row],[Date]]),tblClean[[#This Row],[Date]]-WEEKDAY(tblClean[[#This Row],[Date]],2)+1,"")</f>
        <v>45810</v>
      </c>
      <c r="N35" s="23">
        <f>IF(ISNUMBER(tblClean[[#This Row],[Week Start]]),(tblClean[[#This Row],[Week Start]]-MIN(tblClean[Week Start]))/7+1,"")</f>
        <v>1</v>
      </c>
      <c r="O35" s="24" t="str">
        <f>IF(ISNUMBER(tblClean[[#This Row],[Date]]),CHOOSE(WEEKDAY(tblClean[[#This Row],[Date]],2),"Mon","Tue","Wed","Thu","Fri","Sat","Sun"),"")</f>
        <v>Sun</v>
      </c>
      <c r="P35" s="24" t="str">
        <f>IF(ISNUMBER(tblClean[[#This Row],[Date]]),IF(WEEKDAY(tblClean[[#This Row],[Date]],2)&gt;=6,"Weekend","Weekday"),"")</f>
        <v>Weekend</v>
      </c>
      <c r="Q3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5" s="9" t="str">
        <f>IF(ISNUMBER(tblClean[[#This Row],[Duration Hours]]),IF(tblClean[[#This Row],[Duration Hours]]&lt;2,"Short (under 2h)",IF(tblClean[[#This Row],[Duration Hours]]&lt;3,"Standard (2h to under 3h)","Long (3h or more)")),"")</f>
        <v>Standard (2h to under 3h)</v>
      </c>
      <c r="S3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5" s="24">
        <f>IF(COUNTIF(tblClean[Session ID],tblClean[[#This Row],[Session ID]])&gt;1,1,0)</f>
        <v>0</v>
      </c>
      <c r="U35" s="24">
        <f>IF(OR(N(tblClean[[#This Row],[Attributed GMV PHP]])&lt;0,N(tblClean[[#This Row],[Items Sold]])&lt;0,N(tblClean[[#This Row],[Livestream Views]])&lt;0,N(tblClean[[#This Row],[New Followers]])&lt;0),1,0)</f>
        <v>0</v>
      </c>
      <c r="V35" s="24">
        <f>IF(ISNUMBER(tblClean[[#This Row],[Duration Hours]]),IF(OR(tblClean[[#This Row],[Duration Hours]]&lt;=0,tblClean[[#This Row],[Duration Hours]]&gt;12),1,0),1)</f>
        <v>0</v>
      </c>
      <c r="W35" s="24">
        <f>IF(COUNTIF(HostRoster,tblClean[[#This Row],[Host Name]])=0,1,0)</f>
        <v>0</v>
      </c>
      <c r="X35" s="24">
        <f>IF(tblClean[[#This Row],[Missing Flag]]+tblClean[[#This Row],[Duplicate Flag]]+tblClean[[#This Row],[Negative Flag]]+tblClean[[#This Row],[Duration Flag]]+tblClean[[#This Row],[Host Flag]]=0,1,0)</f>
        <v>1</v>
      </c>
    </row>
    <row r="36" spans="1:24" x14ac:dyDescent="0.3">
      <c r="A36" s="9" t="str">
        <f>TRIM('Raw Data'!A32)</f>
        <v>LS-0028</v>
      </c>
      <c r="B36" s="10">
        <f>IF(ISNUMBER('Raw Data'!B32),INT('Raw Data'!B32),IFERROR(DATEVALUE('Raw Data'!B32),""))</f>
        <v>45816</v>
      </c>
      <c r="C36" s="9" t="str">
        <f>PROPER(TRIM('Raw Data'!C32))</f>
        <v>Carlo Mendoza</v>
      </c>
      <c r="D36" s="11">
        <f>IF(ISNUMBER('Raw Data'!D32),MOD('Raw Data'!D32,1),IFERROR(TIMEVALUE('Raw Data'!D32),""))</f>
        <v>0.79166666666666663</v>
      </c>
      <c r="E36" s="11">
        <f>IF(ISNUMBER('Raw Data'!E32),MOD('Raw Data'!E32,1),IFERROR(TIMEVALUE('Raw Data'!E32),""))</f>
        <v>0.875</v>
      </c>
      <c r="F36" s="12">
        <f>IF(ISNUMBER('Raw Data'!F32),'Raw Data'!F32,IFERROR(VALUE(SUBSTITUTE('Raw Data'!F32,",","")),""))</f>
        <v>19691</v>
      </c>
      <c r="G36" s="13">
        <f>IF(ISNUMBER('Raw Data'!G32),'Raw Data'!G32,IFERROR(VALUE(SUBSTITUTE('Raw Data'!G32,",","")),""))</f>
        <v>68</v>
      </c>
      <c r="H36" s="13">
        <f>IF(ISNUMBER('Raw Data'!H32),'Raw Data'!H32,IFERROR(VALUE(SUBSTITUTE('Raw Data'!H32,",","")),""))</f>
        <v>79310</v>
      </c>
      <c r="I36" s="13">
        <f>IF(ISNUMBER('Raw Data'!I32),'Raw Data'!I32,IFERROR(VALUE(SUBSTITUTE('Raw Data'!I32,",","")),""))</f>
        <v>712</v>
      </c>
      <c r="J36" s="21">
        <f>IF(AND(ISNUMBER(tblClean[[#This Row],[Start Time]]),ISNUMBER(tblClean[[#This Row],[End Time]])),ROUND(MOD(tblClean[[#This Row],[End Time]]-tblClean[[#This Row],[Start Time]],1)*24,2),"")</f>
        <v>2</v>
      </c>
      <c r="K36" s="12">
        <f>IF(AND(ISNUMBER(tblClean[[#This Row],[Duration Hours]]),ISNUMBER(tblClean[[#This Row],[Attributed GMV PHP]])),IF(tblClean[[#This Row],[Duration Hours]]&gt;0,tblClean[[#This Row],[Attributed GMV PHP]]/tblClean[[#This Row],[Duration Hours]],""),"")</f>
        <v>9845.5</v>
      </c>
      <c r="L36" s="22">
        <f>IF(ISNUMBER(tblClean[[#This Row],[Date]]),DATE(YEAR(tblClean[[#This Row],[Date]]),MONTH(tblClean[[#This Row],[Date]]),1),"")</f>
        <v>45809</v>
      </c>
      <c r="M36" s="10">
        <f>IF(ISNUMBER(tblClean[[#This Row],[Date]]),tblClean[[#This Row],[Date]]-WEEKDAY(tblClean[[#This Row],[Date]],2)+1,"")</f>
        <v>45810</v>
      </c>
      <c r="N36" s="23">
        <f>IF(ISNUMBER(tblClean[[#This Row],[Week Start]]),(tblClean[[#This Row],[Week Start]]-MIN(tblClean[Week Start]))/7+1,"")</f>
        <v>1</v>
      </c>
      <c r="O36" s="24" t="str">
        <f>IF(ISNUMBER(tblClean[[#This Row],[Date]]),CHOOSE(WEEKDAY(tblClean[[#This Row],[Date]],2),"Mon","Tue","Wed","Thu","Fri","Sat","Sun"),"")</f>
        <v>Sun</v>
      </c>
      <c r="P36" s="24" t="str">
        <f>IF(ISNUMBER(tblClean[[#This Row],[Date]]),IF(WEEKDAY(tblClean[[#This Row],[Date]],2)&gt;=6,"Weekend","Weekday"),"")</f>
        <v>Weekend</v>
      </c>
      <c r="Q3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6" s="9" t="str">
        <f>IF(ISNUMBER(tblClean[[#This Row],[Duration Hours]]),IF(tblClean[[#This Row],[Duration Hours]]&lt;2,"Short (under 2h)",IF(tblClean[[#This Row],[Duration Hours]]&lt;3,"Standard (2h to under 3h)","Long (3h or more)")),"")</f>
        <v>Standard (2h to under 3h)</v>
      </c>
      <c r="S3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6" s="24">
        <f>IF(COUNTIF(tblClean[Session ID],tblClean[[#This Row],[Session ID]])&gt;1,1,0)</f>
        <v>0</v>
      </c>
      <c r="U36" s="24">
        <f>IF(OR(N(tblClean[[#This Row],[Attributed GMV PHP]])&lt;0,N(tblClean[[#This Row],[Items Sold]])&lt;0,N(tblClean[[#This Row],[Livestream Views]])&lt;0,N(tblClean[[#This Row],[New Followers]])&lt;0),1,0)</f>
        <v>0</v>
      </c>
      <c r="V36" s="24">
        <f>IF(ISNUMBER(tblClean[[#This Row],[Duration Hours]]),IF(OR(tblClean[[#This Row],[Duration Hours]]&lt;=0,tblClean[[#This Row],[Duration Hours]]&gt;12),1,0),1)</f>
        <v>0</v>
      </c>
      <c r="W36" s="24">
        <f>IF(COUNTIF(HostRoster,tblClean[[#This Row],[Host Name]])=0,1,0)</f>
        <v>0</v>
      </c>
      <c r="X36" s="24">
        <f>IF(tblClean[[#This Row],[Missing Flag]]+tblClean[[#This Row],[Duplicate Flag]]+tblClean[[#This Row],[Negative Flag]]+tblClean[[#This Row],[Duration Flag]]+tblClean[[#This Row],[Host Flag]]=0,1,0)</f>
        <v>1</v>
      </c>
    </row>
    <row r="37" spans="1:24" x14ac:dyDescent="0.3">
      <c r="A37" s="9" t="str">
        <f>TRIM('Raw Data'!A33)</f>
        <v>LS-0029</v>
      </c>
      <c r="B37" s="10">
        <f>IF(ISNUMBER('Raw Data'!B33),INT('Raw Data'!B33),IFERROR(DATEVALUE('Raw Data'!B33),""))</f>
        <v>45816</v>
      </c>
      <c r="C37" s="9" t="str">
        <f>PROPER(TRIM('Raw Data'!C33))</f>
        <v>Carlo Mendoza</v>
      </c>
      <c r="D37" s="11">
        <f>IF(ISNUMBER('Raw Data'!D33),MOD('Raw Data'!D33,1),IFERROR(TIMEVALUE('Raw Data'!D33),""))</f>
        <v>0.91666666666666663</v>
      </c>
      <c r="E37" s="11">
        <f>IF(ISNUMBER('Raw Data'!E33),MOD('Raw Data'!E33,1),IFERROR(TIMEVALUE('Raw Data'!E33),""))</f>
        <v>4.1666666666666657E-2</v>
      </c>
      <c r="F37" s="12">
        <f>IF(ISNUMBER('Raw Data'!F33),'Raw Data'!F33,IFERROR(VALUE(SUBSTITUTE('Raw Data'!F33,",","")),""))</f>
        <v>26696</v>
      </c>
      <c r="G37" s="13">
        <f>IF(ISNUMBER('Raw Data'!G33),'Raw Data'!G33,IFERROR(VALUE(SUBSTITUTE('Raw Data'!G33,",","")),""))</f>
        <v>76</v>
      </c>
      <c r="H37" s="13">
        <f>IF(ISNUMBER('Raw Data'!H33),'Raw Data'!H33,IFERROR(VALUE(SUBSTITUTE('Raw Data'!H33,",","")),""))</f>
        <v>105144</v>
      </c>
      <c r="I37" s="13">
        <f>IF(ISNUMBER('Raw Data'!I33),'Raw Data'!I33,IFERROR(VALUE(SUBSTITUTE('Raw Data'!I33,",","")),""))</f>
        <v>812</v>
      </c>
      <c r="J37" s="21">
        <f>IF(AND(ISNUMBER(tblClean[[#This Row],[Start Time]]),ISNUMBER(tblClean[[#This Row],[End Time]])),ROUND(MOD(tblClean[[#This Row],[End Time]]-tblClean[[#This Row],[Start Time]],1)*24,2),"")</f>
        <v>3</v>
      </c>
      <c r="K37" s="12">
        <f>IF(AND(ISNUMBER(tblClean[[#This Row],[Duration Hours]]),ISNUMBER(tblClean[[#This Row],[Attributed GMV PHP]])),IF(tblClean[[#This Row],[Duration Hours]]&gt;0,tblClean[[#This Row],[Attributed GMV PHP]]/tblClean[[#This Row],[Duration Hours]],""),"")</f>
        <v>8898.6666666666661</v>
      </c>
      <c r="L37" s="22">
        <f>IF(ISNUMBER(tblClean[[#This Row],[Date]]),DATE(YEAR(tblClean[[#This Row],[Date]]),MONTH(tblClean[[#This Row],[Date]]),1),"")</f>
        <v>45809</v>
      </c>
      <c r="M37" s="10">
        <f>IF(ISNUMBER(tblClean[[#This Row],[Date]]),tblClean[[#This Row],[Date]]-WEEKDAY(tblClean[[#This Row],[Date]],2)+1,"")</f>
        <v>45810</v>
      </c>
      <c r="N37" s="23">
        <f>IF(ISNUMBER(tblClean[[#This Row],[Week Start]]),(tblClean[[#This Row],[Week Start]]-MIN(tblClean[Week Start]))/7+1,"")</f>
        <v>1</v>
      </c>
      <c r="O37" s="24" t="str">
        <f>IF(ISNUMBER(tblClean[[#This Row],[Date]]),CHOOSE(WEEKDAY(tblClean[[#This Row],[Date]],2),"Mon","Tue","Wed","Thu","Fri","Sat","Sun"),"")</f>
        <v>Sun</v>
      </c>
      <c r="P37" s="24" t="str">
        <f>IF(ISNUMBER(tblClean[[#This Row],[Date]]),IF(WEEKDAY(tblClean[[#This Row],[Date]],2)&gt;=6,"Weekend","Weekday"),"")</f>
        <v>Weekend</v>
      </c>
      <c r="Q3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7" s="9" t="str">
        <f>IF(ISNUMBER(tblClean[[#This Row],[Duration Hours]]),IF(tblClean[[#This Row],[Duration Hours]]&lt;2,"Short (under 2h)",IF(tblClean[[#This Row],[Duration Hours]]&lt;3,"Standard (2h to under 3h)","Long (3h or more)")),"")</f>
        <v>Long (3h or more)</v>
      </c>
      <c r="S3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7" s="24">
        <f>IF(COUNTIF(tblClean[Session ID],tblClean[[#This Row],[Session ID]])&gt;1,1,0)</f>
        <v>0</v>
      </c>
      <c r="U37" s="24">
        <f>IF(OR(N(tblClean[[#This Row],[Attributed GMV PHP]])&lt;0,N(tblClean[[#This Row],[Items Sold]])&lt;0,N(tblClean[[#This Row],[Livestream Views]])&lt;0,N(tblClean[[#This Row],[New Followers]])&lt;0),1,0)</f>
        <v>0</v>
      </c>
      <c r="V37" s="24">
        <f>IF(ISNUMBER(tblClean[[#This Row],[Duration Hours]]),IF(OR(tblClean[[#This Row],[Duration Hours]]&lt;=0,tblClean[[#This Row],[Duration Hours]]&gt;12),1,0),1)</f>
        <v>0</v>
      </c>
      <c r="W37" s="24">
        <f>IF(COUNTIF(HostRoster,tblClean[[#This Row],[Host Name]])=0,1,0)</f>
        <v>0</v>
      </c>
      <c r="X37" s="24">
        <f>IF(tblClean[[#This Row],[Missing Flag]]+tblClean[[#This Row],[Duplicate Flag]]+tblClean[[#This Row],[Negative Flag]]+tblClean[[#This Row],[Duration Flag]]+tblClean[[#This Row],[Host Flag]]=0,1,0)</f>
        <v>1</v>
      </c>
    </row>
    <row r="38" spans="1:24" x14ac:dyDescent="0.3">
      <c r="A38" s="9" t="str">
        <f>TRIM('Raw Data'!A34)</f>
        <v>LS-0030</v>
      </c>
      <c r="B38" s="10">
        <f>IF(ISNUMBER('Raw Data'!B34),INT('Raw Data'!B34),IFERROR(DATEVALUE('Raw Data'!B34),""))</f>
        <v>45817</v>
      </c>
      <c r="C38" s="9" t="str">
        <f>PROPER(TRIM('Raw Data'!C34))</f>
        <v>Bianca Reyes</v>
      </c>
      <c r="D38" s="11">
        <f>IF(ISNUMBER('Raw Data'!D34),MOD('Raw Data'!D34,1),IFERROR(TIMEVALUE('Raw Data'!D34),""))</f>
        <v>0.54166666666666663</v>
      </c>
      <c r="E38" s="11">
        <f>IF(ISNUMBER('Raw Data'!E34),MOD('Raw Data'!E34,1),IFERROR(TIMEVALUE('Raw Data'!E34),""))</f>
        <v>0.625</v>
      </c>
      <c r="F38" s="12">
        <f>IF(ISNUMBER('Raw Data'!F34),'Raw Data'!F34,IFERROR(VALUE(SUBSTITUTE('Raw Data'!F34,",","")),""))</f>
        <v>12353</v>
      </c>
      <c r="G38" s="13">
        <f>IF(ISNUMBER('Raw Data'!G34),'Raw Data'!G34,IFERROR(VALUE(SUBSTITUTE('Raw Data'!G34,",","")),""))</f>
        <v>39</v>
      </c>
      <c r="H38" s="13">
        <f>IF(ISNUMBER('Raw Data'!H34),'Raw Data'!H34,IFERROR(VALUE(SUBSTITUTE('Raw Data'!H34,",","")),""))</f>
        <v>32970</v>
      </c>
      <c r="I38" s="13">
        <f>IF(ISNUMBER('Raw Data'!I34),'Raw Data'!I34,IFERROR(VALUE(SUBSTITUTE('Raw Data'!I34,",","")),""))</f>
        <v>419</v>
      </c>
      <c r="J38" s="21">
        <f>IF(AND(ISNUMBER(tblClean[[#This Row],[Start Time]]),ISNUMBER(tblClean[[#This Row],[End Time]])),ROUND(MOD(tblClean[[#This Row],[End Time]]-tblClean[[#This Row],[Start Time]],1)*24,2),"")</f>
        <v>2</v>
      </c>
      <c r="K38" s="12">
        <f>IF(AND(ISNUMBER(tblClean[[#This Row],[Duration Hours]]),ISNUMBER(tblClean[[#This Row],[Attributed GMV PHP]])),IF(tblClean[[#This Row],[Duration Hours]]&gt;0,tblClean[[#This Row],[Attributed GMV PHP]]/tblClean[[#This Row],[Duration Hours]],""),"")</f>
        <v>6176.5</v>
      </c>
      <c r="L38" s="22">
        <f>IF(ISNUMBER(tblClean[[#This Row],[Date]]),DATE(YEAR(tblClean[[#This Row],[Date]]),MONTH(tblClean[[#This Row],[Date]]),1),"")</f>
        <v>45809</v>
      </c>
      <c r="M38" s="10">
        <f>IF(ISNUMBER(tblClean[[#This Row],[Date]]),tblClean[[#This Row],[Date]]-WEEKDAY(tblClean[[#This Row],[Date]],2)+1,"")</f>
        <v>45817</v>
      </c>
      <c r="N38" s="23">
        <f>IF(ISNUMBER(tblClean[[#This Row],[Week Start]]),(tblClean[[#This Row],[Week Start]]-MIN(tblClean[Week Start]))/7+1,"")</f>
        <v>2</v>
      </c>
      <c r="O38" s="24" t="str">
        <f>IF(ISNUMBER(tblClean[[#This Row],[Date]]),CHOOSE(WEEKDAY(tblClean[[#This Row],[Date]],2),"Mon","Tue","Wed","Thu","Fri","Sat","Sun"),"")</f>
        <v>Mon</v>
      </c>
      <c r="P38" s="24" t="str">
        <f>IF(ISNUMBER(tblClean[[#This Row],[Date]]),IF(WEEKDAY(tblClean[[#This Row],[Date]],2)&gt;=6,"Weekend","Weekday"),"")</f>
        <v>Weekday</v>
      </c>
      <c r="Q3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8" s="9" t="str">
        <f>IF(ISNUMBER(tblClean[[#This Row],[Duration Hours]]),IF(tblClean[[#This Row],[Duration Hours]]&lt;2,"Short (under 2h)",IF(tblClean[[#This Row],[Duration Hours]]&lt;3,"Standard (2h to under 3h)","Long (3h or more)")),"")</f>
        <v>Standard (2h to under 3h)</v>
      </c>
      <c r="S3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8" s="24">
        <f>IF(COUNTIF(tblClean[Session ID],tblClean[[#This Row],[Session ID]])&gt;1,1,0)</f>
        <v>0</v>
      </c>
      <c r="U38" s="24">
        <f>IF(OR(N(tblClean[[#This Row],[Attributed GMV PHP]])&lt;0,N(tblClean[[#This Row],[Items Sold]])&lt;0,N(tblClean[[#This Row],[Livestream Views]])&lt;0,N(tblClean[[#This Row],[New Followers]])&lt;0),1,0)</f>
        <v>0</v>
      </c>
      <c r="V38" s="24">
        <f>IF(ISNUMBER(tblClean[[#This Row],[Duration Hours]]),IF(OR(tblClean[[#This Row],[Duration Hours]]&lt;=0,tblClean[[#This Row],[Duration Hours]]&gt;12),1,0),1)</f>
        <v>0</v>
      </c>
      <c r="W38" s="24">
        <f>IF(COUNTIF(HostRoster,tblClean[[#This Row],[Host Name]])=0,1,0)</f>
        <v>0</v>
      </c>
      <c r="X38" s="24">
        <f>IF(tblClean[[#This Row],[Missing Flag]]+tblClean[[#This Row],[Duplicate Flag]]+tblClean[[#This Row],[Negative Flag]]+tblClean[[#This Row],[Duration Flag]]+tblClean[[#This Row],[Host Flag]]=0,1,0)</f>
        <v>1</v>
      </c>
    </row>
    <row r="39" spans="1:24" x14ac:dyDescent="0.3">
      <c r="A39" s="9" t="str">
        <f>TRIM('Raw Data'!A35)</f>
        <v>LS-0031</v>
      </c>
      <c r="B39" s="10">
        <f>IF(ISNUMBER('Raw Data'!B35),INT('Raw Data'!B35),IFERROR(DATEVALUE('Raw Data'!B35),""))</f>
        <v>45817</v>
      </c>
      <c r="C39" s="9" t="str">
        <f>PROPER(TRIM('Raw Data'!C35))</f>
        <v>Bianca Reyes</v>
      </c>
      <c r="D39" s="11">
        <f>IF(ISNUMBER('Raw Data'!D35),MOD('Raw Data'!D35,1),IFERROR(TIMEVALUE('Raw Data'!D35),""))</f>
        <v>0.66666666666666663</v>
      </c>
      <c r="E39" s="11">
        <f>IF(ISNUMBER('Raw Data'!E35),MOD('Raw Data'!E35,1),IFERROR(TIMEVALUE('Raw Data'!E35),""))</f>
        <v>0.79166666666666663</v>
      </c>
      <c r="F39" s="12">
        <f>IF(ISNUMBER('Raw Data'!F35),'Raw Data'!F35,IFERROR(VALUE(SUBSTITUTE('Raw Data'!F35,",","")),""))</f>
        <v>23109</v>
      </c>
      <c r="G39" s="13">
        <f>IF(ISNUMBER('Raw Data'!G35),'Raw Data'!G35,IFERROR(VALUE(SUBSTITUTE('Raw Data'!G35,",","")),""))</f>
        <v>68</v>
      </c>
      <c r="H39" s="13">
        <f>IF(ISNUMBER('Raw Data'!H35),'Raw Data'!H35,IFERROR(VALUE(SUBSTITUTE('Raw Data'!H35,",","")),""))</f>
        <v>104204</v>
      </c>
      <c r="I39" s="13">
        <f>IF(ISNUMBER('Raw Data'!I35),'Raw Data'!I35,IFERROR(VALUE(SUBSTITUTE('Raw Data'!I35,",","")),""))</f>
        <v>455</v>
      </c>
      <c r="J39" s="21">
        <f>IF(AND(ISNUMBER(tblClean[[#This Row],[Start Time]]),ISNUMBER(tblClean[[#This Row],[End Time]])),ROUND(MOD(tblClean[[#This Row],[End Time]]-tblClean[[#This Row],[Start Time]],1)*24,2),"")</f>
        <v>3</v>
      </c>
      <c r="K39" s="12">
        <f>IF(AND(ISNUMBER(tblClean[[#This Row],[Duration Hours]]),ISNUMBER(tblClean[[#This Row],[Attributed GMV PHP]])),IF(tblClean[[#This Row],[Duration Hours]]&gt;0,tblClean[[#This Row],[Attributed GMV PHP]]/tblClean[[#This Row],[Duration Hours]],""),"")</f>
        <v>7703</v>
      </c>
      <c r="L39" s="22">
        <f>IF(ISNUMBER(tblClean[[#This Row],[Date]]),DATE(YEAR(tblClean[[#This Row],[Date]]),MONTH(tblClean[[#This Row],[Date]]),1),"")</f>
        <v>45809</v>
      </c>
      <c r="M39" s="10">
        <f>IF(ISNUMBER(tblClean[[#This Row],[Date]]),tblClean[[#This Row],[Date]]-WEEKDAY(tblClean[[#This Row],[Date]],2)+1,"")</f>
        <v>45817</v>
      </c>
      <c r="N39" s="23">
        <f>IF(ISNUMBER(tblClean[[#This Row],[Week Start]]),(tblClean[[#This Row],[Week Start]]-MIN(tblClean[Week Start]))/7+1,"")</f>
        <v>2</v>
      </c>
      <c r="O39" s="24" t="str">
        <f>IF(ISNUMBER(tblClean[[#This Row],[Date]]),CHOOSE(WEEKDAY(tblClean[[#This Row],[Date]],2),"Mon","Tue","Wed","Thu","Fri","Sat","Sun"),"")</f>
        <v>Mon</v>
      </c>
      <c r="P39" s="24" t="str">
        <f>IF(ISNUMBER(tblClean[[#This Row],[Date]]),IF(WEEKDAY(tblClean[[#This Row],[Date]],2)&gt;=6,"Weekend","Weekday"),"")</f>
        <v>Weekday</v>
      </c>
      <c r="Q3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9" s="9" t="str">
        <f>IF(ISNUMBER(tblClean[[#This Row],[Duration Hours]]),IF(tblClean[[#This Row],[Duration Hours]]&lt;2,"Short (under 2h)",IF(tblClean[[#This Row],[Duration Hours]]&lt;3,"Standard (2h to under 3h)","Long (3h or more)")),"")</f>
        <v>Long (3h or more)</v>
      </c>
      <c r="S3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9" s="24">
        <f>IF(COUNTIF(tblClean[Session ID],tblClean[[#This Row],[Session ID]])&gt;1,1,0)</f>
        <v>0</v>
      </c>
      <c r="U39" s="24">
        <f>IF(OR(N(tblClean[[#This Row],[Attributed GMV PHP]])&lt;0,N(tblClean[[#This Row],[Items Sold]])&lt;0,N(tblClean[[#This Row],[Livestream Views]])&lt;0,N(tblClean[[#This Row],[New Followers]])&lt;0),1,0)</f>
        <v>0</v>
      </c>
      <c r="V39" s="24">
        <f>IF(ISNUMBER(tblClean[[#This Row],[Duration Hours]]),IF(OR(tblClean[[#This Row],[Duration Hours]]&lt;=0,tblClean[[#This Row],[Duration Hours]]&gt;12),1,0),1)</f>
        <v>0</v>
      </c>
      <c r="W39" s="24">
        <f>IF(COUNTIF(HostRoster,tblClean[[#This Row],[Host Name]])=0,1,0)</f>
        <v>0</v>
      </c>
      <c r="X39" s="24">
        <f>IF(tblClean[[#This Row],[Missing Flag]]+tblClean[[#This Row],[Duplicate Flag]]+tblClean[[#This Row],[Negative Flag]]+tblClean[[#This Row],[Duration Flag]]+tblClean[[#This Row],[Host Flag]]=0,1,0)</f>
        <v>1</v>
      </c>
    </row>
    <row r="40" spans="1:24" x14ac:dyDescent="0.3">
      <c r="A40" s="9" t="str">
        <f>TRIM('Raw Data'!A36)</f>
        <v>LS-0032</v>
      </c>
      <c r="B40" s="10">
        <f>IF(ISNUMBER('Raw Data'!B36),INT('Raw Data'!B36),IFERROR(DATEVALUE('Raw Data'!B36),""))</f>
        <v>45817</v>
      </c>
      <c r="C40" s="9" t="str">
        <f>PROPER(TRIM('Raw Data'!C36))</f>
        <v>Aira Valdez</v>
      </c>
      <c r="D40" s="11">
        <f>IF(ISNUMBER('Raw Data'!D36),MOD('Raw Data'!D36,1),IFERROR(TIMEVALUE('Raw Data'!D36),""))</f>
        <v>0.79166666666666663</v>
      </c>
      <c r="E40" s="11">
        <f>IF(ISNUMBER('Raw Data'!E36),MOD('Raw Data'!E36,1),IFERROR(TIMEVALUE('Raw Data'!E36),""))</f>
        <v>0.89583333333333337</v>
      </c>
      <c r="F40" s="12">
        <f>IF(ISNUMBER('Raw Data'!F36),'Raw Data'!F36,IFERROR(VALUE(SUBSTITUTE('Raw Data'!F36,",","")),""))</f>
        <v>56869</v>
      </c>
      <c r="G40" s="13">
        <f>IF(ISNUMBER('Raw Data'!G36),'Raw Data'!G36,IFERROR(VALUE(SUBSTITUTE('Raw Data'!G36,",","")),""))</f>
        <v>210</v>
      </c>
      <c r="H40" s="13">
        <f>IF(ISNUMBER('Raw Data'!H36),'Raw Data'!H36,IFERROR(VALUE(SUBSTITUTE('Raw Data'!H36,",","")),""))</f>
        <v>122432</v>
      </c>
      <c r="I40" s="13">
        <f>IF(ISNUMBER('Raw Data'!I36),'Raw Data'!I36,IFERROR(VALUE(SUBSTITUTE('Raw Data'!I36,",","")),""))</f>
        <v>622</v>
      </c>
      <c r="J40" s="21">
        <f>IF(AND(ISNUMBER(tblClean[[#This Row],[Start Time]]),ISNUMBER(tblClean[[#This Row],[End Time]])),ROUND(MOD(tblClean[[#This Row],[End Time]]-tblClean[[#This Row],[Start Time]],1)*24,2),"")</f>
        <v>2.5</v>
      </c>
      <c r="K40" s="12">
        <f>IF(AND(ISNUMBER(tblClean[[#This Row],[Duration Hours]]),ISNUMBER(tblClean[[#This Row],[Attributed GMV PHP]])),IF(tblClean[[#This Row],[Duration Hours]]&gt;0,tblClean[[#This Row],[Attributed GMV PHP]]/tblClean[[#This Row],[Duration Hours]],""),"")</f>
        <v>22747.599999999999</v>
      </c>
      <c r="L40" s="22">
        <f>IF(ISNUMBER(tblClean[[#This Row],[Date]]),DATE(YEAR(tblClean[[#This Row],[Date]]),MONTH(tblClean[[#This Row],[Date]]),1),"")</f>
        <v>45809</v>
      </c>
      <c r="M40" s="10">
        <f>IF(ISNUMBER(tblClean[[#This Row],[Date]]),tblClean[[#This Row],[Date]]-WEEKDAY(tblClean[[#This Row],[Date]],2)+1,"")</f>
        <v>45817</v>
      </c>
      <c r="N40" s="23">
        <f>IF(ISNUMBER(tblClean[[#This Row],[Week Start]]),(tblClean[[#This Row],[Week Start]]-MIN(tblClean[Week Start]))/7+1,"")</f>
        <v>2</v>
      </c>
      <c r="O40" s="24" t="str">
        <f>IF(ISNUMBER(tblClean[[#This Row],[Date]]),CHOOSE(WEEKDAY(tblClean[[#This Row],[Date]],2),"Mon","Tue","Wed","Thu","Fri","Sat","Sun"),"")</f>
        <v>Mon</v>
      </c>
      <c r="P40" s="24" t="str">
        <f>IF(ISNUMBER(tblClean[[#This Row],[Date]]),IF(WEEKDAY(tblClean[[#This Row],[Date]],2)&gt;=6,"Weekend","Weekday"),"")</f>
        <v>Weekday</v>
      </c>
      <c r="Q4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40" s="9" t="str">
        <f>IF(ISNUMBER(tblClean[[#This Row],[Duration Hours]]),IF(tblClean[[#This Row],[Duration Hours]]&lt;2,"Short (under 2h)",IF(tblClean[[#This Row],[Duration Hours]]&lt;3,"Standard (2h to under 3h)","Long (3h or more)")),"")</f>
        <v>Standard (2h to under 3h)</v>
      </c>
      <c r="S4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40" s="24">
        <f>IF(COUNTIF(tblClean[Session ID],tblClean[[#This Row],[Session ID]])&gt;1,1,0)</f>
        <v>0</v>
      </c>
      <c r="U40" s="24">
        <f>IF(OR(N(tblClean[[#This Row],[Attributed GMV PHP]])&lt;0,N(tblClean[[#This Row],[Items Sold]])&lt;0,N(tblClean[[#This Row],[Livestream Views]])&lt;0,N(tblClean[[#This Row],[New Followers]])&lt;0),1,0)</f>
        <v>0</v>
      </c>
      <c r="V40" s="24">
        <f>IF(ISNUMBER(tblClean[[#This Row],[Duration Hours]]),IF(OR(tblClean[[#This Row],[Duration Hours]]&lt;=0,tblClean[[#This Row],[Duration Hours]]&gt;12),1,0),1)</f>
        <v>0</v>
      </c>
      <c r="W40" s="24">
        <f>IF(COUNTIF(HostRoster,tblClean[[#This Row],[Host Name]])=0,1,0)</f>
        <v>0</v>
      </c>
      <c r="X40" s="24">
        <f>IF(tblClean[[#This Row],[Missing Flag]]+tblClean[[#This Row],[Duplicate Flag]]+tblClean[[#This Row],[Negative Flag]]+tblClean[[#This Row],[Duration Flag]]+tblClean[[#This Row],[Host Flag]]=0,1,0)</f>
        <v>1</v>
      </c>
    </row>
    <row r="41" spans="1:24" x14ac:dyDescent="0.3">
      <c r="A41" s="9" t="str">
        <f>TRIM('Raw Data'!A37)</f>
        <v>LS-0033</v>
      </c>
      <c r="B41" s="10">
        <f>IF(ISNUMBER('Raw Data'!B37),INT('Raw Data'!B37),IFERROR(DATEVALUE('Raw Data'!B37),""))</f>
        <v>45818</v>
      </c>
      <c r="C41" s="9" t="str">
        <f>PROPER(TRIM('Raw Data'!C37))</f>
        <v>Bianca Reyes</v>
      </c>
      <c r="D41" s="11">
        <f>IF(ISNUMBER('Raw Data'!D37),MOD('Raw Data'!D37,1),IFERROR(TIMEVALUE('Raw Data'!D37),""))</f>
        <v>0.41666666666666669</v>
      </c>
      <c r="E41" s="11">
        <f>IF(ISNUMBER('Raw Data'!E37),MOD('Raw Data'!E37,1),IFERROR(TIMEVALUE('Raw Data'!E37),""))</f>
        <v>0.52083333333333337</v>
      </c>
      <c r="F41" s="12">
        <f>IF(ISNUMBER('Raw Data'!F37),'Raw Data'!F37,IFERROR(VALUE(SUBSTITUTE('Raw Data'!F37,",","")),""))</f>
        <v>15246</v>
      </c>
      <c r="G41" s="13">
        <f>IF(ISNUMBER('Raw Data'!G37),'Raw Data'!G37,IFERROR(VALUE(SUBSTITUTE('Raw Data'!G37,",","")),""))</f>
        <v>47</v>
      </c>
      <c r="H41" s="13">
        <f>IF(ISNUMBER('Raw Data'!H37),'Raw Data'!H37,IFERROR(VALUE(SUBSTITUTE('Raw Data'!H37,",","")),""))</f>
        <v>54229</v>
      </c>
      <c r="I41" s="13">
        <f>IF(ISNUMBER('Raw Data'!I37),'Raw Data'!I37,IFERROR(VALUE(SUBSTITUTE('Raw Data'!I37,",","")),""))</f>
        <v>315</v>
      </c>
      <c r="J41" s="21">
        <f>IF(AND(ISNUMBER(tblClean[[#This Row],[Start Time]]),ISNUMBER(tblClean[[#This Row],[End Time]])),ROUND(MOD(tblClean[[#This Row],[End Time]]-tblClean[[#This Row],[Start Time]],1)*24,2),"")</f>
        <v>2.5</v>
      </c>
      <c r="K41" s="12">
        <f>IF(AND(ISNUMBER(tblClean[[#This Row],[Duration Hours]]),ISNUMBER(tblClean[[#This Row],[Attributed GMV PHP]])),IF(tblClean[[#This Row],[Duration Hours]]&gt;0,tblClean[[#This Row],[Attributed GMV PHP]]/tblClean[[#This Row],[Duration Hours]],""),"")</f>
        <v>6098.4</v>
      </c>
      <c r="L41" s="22">
        <f>IF(ISNUMBER(tblClean[[#This Row],[Date]]),DATE(YEAR(tblClean[[#This Row],[Date]]),MONTH(tblClean[[#This Row],[Date]]),1),"")</f>
        <v>45809</v>
      </c>
      <c r="M41" s="10">
        <f>IF(ISNUMBER(tblClean[[#This Row],[Date]]),tblClean[[#This Row],[Date]]-WEEKDAY(tblClean[[#This Row],[Date]],2)+1,"")</f>
        <v>45817</v>
      </c>
      <c r="N41" s="23">
        <f>IF(ISNUMBER(tblClean[[#This Row],[Week Start]]),(tblClean[[#This Row],[Week Start]]-MIN(tblClean[Week Start]))/7+1,"")</f>
        <v>2</v>
      </c>
      <c r="O41" s="24" t="str">
        <f>IF(ISNUMBER(tblClean[[#This Row],[Date]]),CHOOSE(WEEKDAY(tblClean[[#This Row],[Date]],2),"Mon","Tue","Wed","Thu","Fri","Sat","Sun"),"")</f>
        <v>Tue</v>
      </c>
      <c r="P41" s="24" t="str">
        <f>IF(ISNUMBER(tblClean[[#This Row],[Date]]),IF(WEEKDAY(tblClean[[#This Row],[Date]],2)&gt;=6,"Weekend","Weekday"),"")</f>
        <v>Weekday</v>
      </c>
      <c r="Q4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41" s="9" t="str">
        <f>IF(ISNUMBER(tblClean[[#This Row],[Duration Hours]]),IF(tblClean[[#This Row],[Duration Hours]]&lt;2,"Short (under 2h)",IF(tblClean[[#This Row],[Duration Hours]]&lt;3,"Standard (2h to under 3h)","Long (3h or more)")),"")</f>
        <v>Standard (2h to under 3h)</v>
      </c>
      <c r="S4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41" s="24">
        <f>IF(COUNTIF(tblClean[Session ID],tblClean[[#This Row],[Session ID]])&gt;1,1,0)</f>
        <v>0</v>
      </c>
      <c r="U41" s="24">
        <f>IF(OR(N(tblClean[[#This Row],[Attributed GMV PHP]])&lt;0,N(tblClean[[#This Row],[Items Sold]])&lt;0,N(tblClean[[#This Row],[Livestream Views]])&lt;0,N(tblClean[[#This Row],[New Followers]])&lt;0),1,0)</f>
        <v>0</v>
      </c>
      <c r="V41" s="24">
        <f>IF(ISNUMBER(tblClean[[#This Row],[Duration Hours]]),IF(OR(tblClean[[#This Row],[Duration Hours]]&lt;=0,tblClean[[#This Row],[Duration Hours]]&gt;12),1,0),1)</f>
        <v>0</v>
      </c>
      <c r="W41" s="24">
        <f>IF(COUNTIF(HostRoster,tblClean[[#This Row],[Host Name]])=0,1,0)</f>
        <v>0</v>
      </c>
      <c r="X41" s="24">
        <f>IF(tblClean[[#This Row],[Missing Flag]]+tblClean[[#This Row],[Duplicate Flag]]+tblClean[[#This Row],[Negative Flag]]+tblClean[[#This Row],[Duration Flag]]+tblClean[[#This Row],[Host Flag]]=0,1,0)</f>
        <v>1</v>
      </c>
    </row>
    <row r="42" spans="1:24" x14ac:dyDescent="0.3">
      <c r="A42" s="9" t="str">
        <f>TRIM('Raw Data'!A38)</f>
        <v>LS-0034</v>
      </c>
      <c r="B42" s="10">
        <f>IF(ISNUMBER('Raw Data'!B38),INT('Raw Data'!B38),IFERROR(DATEVALUE('Raw Data'!B38),""))</f>
        <v>45818</v>
      </c>
      <c r="C42" s="9" t="str">
        <f>PROPER(TRIM('Raw Data'!C38))</f>
        <v>Bianca Reyes</v>
      </c>
      <c r="D42" s="11">
        <f>IF(ISNUMBER('Raw Data'!D38),MOD('Raw Data'!D38,1),IFERROR(TIMEVALUE('Raw Data'!D38),""))</f>
        <v>0.54166666666666663</v>
      </c>
      <c r="E42" s="11">
        <f>IF(ISNUMBER('Raw Data'!E38),MOD('Raw Data'!E38,1),IFERROR(TIMEVALUE('Raw Data'!E38),""))</f>
        <v>0.66666666666666663</v>
      </c>
      <c r="F42" s="12">
        <f>IF(ISNUMBER('Raw Data'!F38),'Raw Data'!F38,IFERROR(VALUE(SUBSTITUTE('Raw Data'!F38,",","")),""))</f>
        <v>29046</v>
      </c>
      <c r="G42" s="13">
        <f>IF(ISNUMBER('Raw Data'!G38),'Raw Data'!G38,IFERROR(VALUE(SUBSTITUTE('Raw Data'!G38,",","")),""))</f>
        <v>84</v>
      </c>
      <c r="H42" s="13">
        <f>IF(ISNUMBER('Raw Data'!H38),'Raw Data'!H38,IFERROR(VALUE(SUBSTITUTE('Raw Data'!H38,",","")),""))</f>
        <v>104319</v>
      </c>
      <c r="I42" s="13">
        <f>IF(ISNUMBER('Raw Data'!I38),'Raw Data'!I38,IFERROR(VALUE(SUBSTITUTE('Raw Data'!I38,",","")),""))</f>
        <v>798</v>
      </c>
      <c r="J42" s="21">
        <f>IF(AND(ISNUMBER(tblClean[[#This Row],[Start Time]]),ISNUMBER(tblClean[[#This Row],[End Time]])),ROUND(MOD(tblClean[[#This Row],[End Time]]-tblClean[[#This Row],[Start Time]],1)*24,2),"")</f>
        <v>3</v>
      </c>
      <c r="K42" s="12">
        <f>IF(AND(ISNUMBER(tblClean[[#This Row],[Duration Hours]]),ISNUMBER(tblClean[[#This Row],[Attributed GMV PHP]])),IF(tblClean[[#This Row],[Duration Hours]]&gt;0,tblClean[[#This Row],[Attributed GMV PHP]]/tblClean[[#This Row],[Duration Hours]],""),"")</f>
        <v>9682</v>
      </c>
      <c r="L42" s="22">
        <f>IF(ISNUMBER(tblClean[[#This Row],[Date]]),DATE(YEAR(tblClean[[#This Row],[Date]]),MONTH(tblClean[[#This Row],[Date]]),1),"")</f>
        <v>45809</v>
      </c>
      <c r="M42" s="10">
        <f>IF(ISNUMBER(tblClean[[#This Row],[Date]]),tblClean[[#This Row],[Date]]-WEEKDAY(tblClean[[#This Row],[Date]],2)+1,"")</f>
        <v>45817</v>
      </c>
      <c r="N42" s="23">
        <f>IF(ISNUMBER(tblClean[[#This Row],[Week Start]]),(tblClean[[#This Row],[Week Start]]-MIN(tblClean[Week Start]))/7+1,"")</f>
        <v>2</v>
      </c>
      <c r="O42" s="24" t="str">
        <f>IF(ISNUMBER(tblClean[[#This Row],[Date]]),CHOOSE(WEEKDAY(tblClean[[#This Row],[Date]],2),"Mon","Tue","Wed","Thu","Fri","Sat","Sun"),"")</f>
        <v>Tue</v>
      </c>
      <c r="P42" s="24" t="str">
        <f>IF(ISNUMBER(tblClean[[#This Row],[Date]]),IF(WEEKDAY(tblClean[[#This Row],[Date]],2)&gt;=6,"Weekend","Weekday"),"")</f>
        <v>Weekday</v>
      </c>
      <c r="Q4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42" s="9" t="str">
        <f>IF(ISNUMBER(tblClean[[#This Row],[Duration Hours]]),IF(tblClean[[#This Row],[Duration Hours]]&lt;2,"Short (under 2h)",IF(tblClean[[#This Row],[Duration Hours]]&lt;3,"Standard (2h to under 3h)","Long (3h or more)")),"")</f>
        <v>Long (3h or more)</v>
      </c>
      <c r="S4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42" s="24">
        <f>IF(COUNTIF(tblClean[Session ID],tblClean[[#This Row],[Session ID]])&gt;1,1,0)</f>
        <v>0</v>
      </c>
      <c r="U42" s="24">
        <f>IF(OR(N(tblClean[[#This Row],[Attributed GMV PHP]])&lt;0,N(tblClean[[#This Row],[Items Sold]])&lt;0,N(tblClean[[#This Row],[Livestream Views]])&lt;0,N(tblClean[[#This Row],[New Followers]])&lt;0),1,0)</f>
        <v>0</v>
      </c>
      <c r="V42" s="24">
        <f>IF(ISNUMBER(tblClean[[#This Row],[Duration Hours]]),IF(OR(tblClean[[#This Row],[Duration Hours]]&lt;=0,tblClean[[#This Row],[Duration Hours]]&gt;12),1,0),1)</f>
        <v>0</v>
      </c>
      <c r="W42" s="24">
        <f>IF(COUNTIF(HostRoster,tblClean[[#This Row],[Host Name]])=0,1,0)</f>
        <v>0</v>
      </c>
      <c r="X42" s="24">
        <f>IF(tblClean[[#This Row],[Missing Flag]]+tblClean[[#This Row],[Duplicate Flag]]+tblClean[[#This Row],[Negative Flag]]+tblClean[[#This Row],[Duration Flag]]+tblClean[[#This Row],[Host Flag]]=0,1,0)</f>
        <v>1</v>
      </c>
    </row>
    <row r="43" spans="1:24" x14ac:dyDescent="0.3">
      <c r="A43" s="9" t="str">
        <f>TRIM('Raw Data'!A39)</f>
        <v>LS-0035</v>
      </c>
      <c r="B43" s="10">
        <f>IF(ISNUMBER('Raw Data'!B39),INT('Raw Data'!B39),IFERROR(DATEVALUE('Raw Data'!B39),""))</f>
        <v>45818</v>
      </c>
      <c r="C43" s="9" t="str">
        <f>PROPER(TRIM('Raw Data'!C39))</f>
        <v>Bianca Reyes</v>
      </c>
      <c r="D43" s="11">
        <f>IF(ISNUMBER('Raw Data'!D39),MOD('Raw Data'!D39,1),IFERROR(TIMEVALUE('Raw Data'!D39),""))</f>
        <v>0.66666666666666663</v>
      </c>
      <c r="E43" s="11">
        <f>IF(ISNUMBER('Raw Data'!E39),MOD('Raw Data'!E39,1),IFERROR(TIMEVALUE('Raw Data'!E39),""))</f>
        <v>0.77083333333333337</v>
      </c>
      <c r="F43" s="12">
        <f>IF(ISNUMBER('Raw Data'!F39),'Raw Data'!F39,IFERROR(VALUE(SUBSTITUTE('Raw Data'!F39,",","")),""))</f>
        <v>20428</v>
      </c>
      <c r="G43" s="13">
        <f>IF(ISNUMBER('Raw Data'!G39),'Raw Data'!G39,IFERROR(VALUE(SUBSTITUTE('Raw Data'!G39,",","")),""))</f>
        <v>58</v>
      </c>
      <c r="H43" s="13">
        <f>IF(ISNUMBER('Raw Data'!H39),'Raw Data'!H39,IFERROR(VALUE(SUBSTITUTE('Raw Data'!H39,",","")),""))</f>
        <v>60136</v>
      </c>
      <c r="I43" s="13">
        <f>IF(ISNUMBER('Raw Data'!I39),'Raw Data'!I39,IFERROR(VALUE(SUBSTITUTE('Raw Data'!I39,",","")),""))</f>
        <v>778</v>
      </c>
      <c r="J43" s="21">
        <f>IF(AND(ISNUMBER(tblClean[[#This Row],[Start Time]]),ISNUMBER(tblClean[[#This Row],[End Time]])),ROUND(MOD(tblClean[[#This Row],[End Time]]-tblClean[[#This Row],[Start Time]],1)*24,2),"")</f>
        <v>2.5</v>
      </c>
      <c r="K43" s="12">
        <f>IF(AND(ISNUMBER(tblClean[[#This Row],[Duration Hours]]),ISNUMBER(tblClean[[#This Row],[Attributed GMV PHP]])),IF(tblClean[[#This Row],[Duration Hours]]&gt;0,tblClean[[#This Row],[Attributed GMV PHP]]/tblClean[[#This Row],[Duration Hours]],""),"")</f>
        <v>8171.2</v>
      </c>
      <c r="L43" s="22">
        <f>IF(ISNUMBER(tblClean[[#This Row],[Date]]),DATE(YEAR(tblClean[[#This Row],[Date]]),MONTH(tblClean[[#This Row],[Date]]),1),"")</f>
        <v>45809</v>
      </c>
      <c r="M43" s="10">
        <f>IF(ISNUMBER(tblClean[[#This Row],[Date]]),tblClean[[#This Row],[Date]]-WEEKDAY(tblClean[[#This Row],[Date]],2)+1,"")</f>
        <v>45817</v>
      </c>
      <c r="N43" s="23">
        <f>IF(ISNUMBER(tblClean[[#This Row],[Week Start]]),(tblClean[[#This Row],[Week Start]]-MIN(tblClean[Week Start]))/7+1,"")</f>
        <v>2</v>
      </c>
      <c r="O43" s="24" t="str">
        <f>IF(ISNUMBER(tblClean[[#This Row],[Date]]),CHOOSE(WEEKDAY(tblClean[[#This Row],[Date]],2),"Mon","Tue","Wed","Thu","Fri","Sat","Sun"),"")</f>
        <v>Tue</v>
      </c>
      <c r="P43" s="24" t="str">
        <f>IF(ISNUMBER(tblClean[[#This Row],[Date]]),IF(WEEKDAY(tblClean[[#This Row],[Date]],2)&gt;=6,"Weekend","Weekday"),"")</f>
        <v>Weekday</v>
      </c>
      <c r="Q4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43" s="9" t="str">
        <f>IF(ISNUMBER(tblClean[[#This Row],[Duration Hours]]),IF(tblClean[[#This Row],[Duration Hours]]&lt;2,"Short (under 2h)",IF(tblClean[[#This Row],[Duration Hours]]&lt;3,"Standard (2h to under 3h)","Long (3h or more)")),"")</f>
        <v>Standard (2h to under 3h)</v>
      </c>
      <c r="S4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43" s="24">
        <f>IF(COUNTIF(tblClean[Session ID],tblClean[[#This Row],[Session ID]])&gt;1,1,0)</f>
        <v>0</v>
      </c>
      <c r="U43" s="24">
        <f>IF(OR(N(tblClean[[#This Row],[Attributed GMV PHP]])&lt;0,N(tblClean[[#This Row],[Items Sold]])&lt;0,N(tblClean[[#This Row],[Livestream Views]])&lt;0,N(tblClean[[#This Row],[New Followers]])&lt;0),1,0)</f>
        <v>0</v>
      </c>
      <c r="V43" s="24">
        <f>IF(ISNUMBER(tblClean[[#This Row],[Duration Hours]]),IF(OR(tblClean[[#This Row],[Duration Hours]]&lt;=0,tblClean[[#This Row],[Duration Hours]]&gt;12),1,0),1)</f>
        <v>0</v>
      </c>
      <c r="W43" s="24">
        <f>IF(COUNTIF(HostRoster,tblClean[[#This Row],[Host Name]])=0,1,0)</f>
        <v>0</v>
      </c>
      <c r="X43" s="24">
        <f>IF(tblClean[[#This Row],[Missing Flag]]+tblClean[[#This Row],[Duplicate Flag]]+tblClean[[#This Row],[Negative Flag]]+tblClean[[#This Row],[Duration Flag]]+tblClean[[#This Row],[Host Flag]]=0,1,0)</f>
        <v>1</v>
      </c>
    </row>
    <row r="44" spans="1:24" x14ac:dyDescent="0.3">
      <c r="A44" s="9" t="str">
        <f>TRIM('Raw Data'!A40)</f>
        <v>LS-0036</v>
      </c>
      <c r="B44" s="10">
        <f>IF(ISNUMBER('Raw Data'!B40),INT('Raw Data'!B40),IFERROR(DATEVALUE('Raw Data'!B40),""))</f>
        <v>45818</v>
      </c>
      <c r="C44" s="9" t="str">
        <f>PROPER(TRIM('Raw Data'!C40))</f>
        <v>Aira Valdez</v>
      </c>
      <c r="D44" s="11">
        <f>IF(ISNUMBER('Raw Data'!D40),MOD('Raw Data'!D40,1),IFERROR(TIMEVALUE('Raw Data'!D40),""))</f>
        <v>0.79166666666666663</v>
      </c>
      <c r="E44" s="11">
        <f>IF(ISNUMBER('Raw Data'!E40),MOD('Raw Data'!E40,1),IFERROR(TIMEVALUE('Raw Data'!E40),""))</f>
        <v>0.875</v>
      </c>
      <c r="F44" s="12">
        <f>IF(ISNUMBER('Raw Data'!F40),'Raw Data'!F40,IFERROR(VALUE(SUBSTITUTE('Raw Data'!F40,",","")),""))</f>
        <v>37418</v>
      </c>
      <c r="G44" s="13">
        <f>IF(ISNUMBER('Raw Data'!G40),'Raw Data'!G40,IFERROR(VALUE(SUBSTITUTE('Raw Data'!G40,",","")),""))</f>
        <v>101</v>
      </c>
      <c r="H44" s="13">
        <f>IF(ISNUMBER('Raw Data'!H40),'Raw Data'!H40,IFERROR(VALUE(SUBSTITUTE('Raw Data'!H40,",","")),""))</f>
        <v>131134</v>
      </c>
      <c r="I44" s="13">
        <f>IF(ISNUMBER('Raw Data'!I40),'Raw Data'!I40,IFERROR(VALUE(SUBSTITUTE('Raw Data'!I40,",","")),""))</f>
        <v>751</v>
      </c>
      <c r="J44" s="21">
        <f>IF(AND(ISNUMBER(tblClean[[#This Row],[Start Time]]),ISNUMBER(tblClean[[#This Row],[End Time]])),ROUND(MOD(tblClean[[#This Row],[End Time]]-tblClean[[#This Row],[Start Time]],1)*24,2),"")</f>
        <v>2</v>
      </c>
      <c r="K44" s="12">
        <f>IF(AND(ISNUMBER(tblClean[[#This Row],[Duration Hours]]),ISNUMBER(tblClean[[#This Row],[Attributed GMV PHP]])),IF(tblClean[[#This Row],[Duration Hours]]&gt;0,tblClean[[#This Row],[Attributed GMV PHP]]/tblClean[[#This Row],[Duration Hours]],""),"")</f>
        <v>18709</v>
      </c>
      <c r="L44" s="22">
        <f>IF(ISNUMBER(tblClean[[#This Row],[Date]]),DATE(YEAR(tblClean[[#This Row],[Date]]),MONTH(tblClean[[#This Row],[Date]]),1),"")</f>
        <v>45809</v>
      </c>
      <c r="M44" s="10">
        <f>IF(ISNUMBER(tblClean[[#This Row],[Date]]),tblClean[[#This Row],[Date]]-WEEKDAY(tblClean[[#This Row],[Date]],2)+1,"")</f>
        <v>45817</v>
      </c>
      <c r="N44" s="23">
        <f>IF(ISNUMBER(tblClean[[#This Row],[Week Start]]),(tblClean[[#This Row],[Week Start]]-MIN(tblClean[Week Start]))/7+1,"")</f>
        <v>2</v>
      </c>
      <c r="O44" s="24" t="str">
        <f>IF(ISNUMBER(tblClean[[#This Row],[Date]]),CHOOSE(WEEKDAY(tblClean[[#This Row],[Date]],2),"Mon","Tue","Wed","Thu","Fri","Sat","Sun"),"")</f>
        <v>Tue</v>
      </c>
      <c r="P44" s="24" t="str">
        <f>IF(ISNUMBER(tblClean[[#This Row],[Date]]),IF(WEEKDAY(tblClean[[#This Row],[Date]],2)&gt;=6,"Weekend","Weekday"),"")</f>
        <v>Weekday</v>
      </c>
      <c r="Q4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44" s="9" t="str">
        <f>IF(ISNUMBER(tblClean[[#This Row],[Duration Hours]]),IF(tblClean[[#This Row],[Duration Hours]]&lt;2,"Short (under 2h)",IF(tblClean[[#This Row],[Duration Hours]]&lt;3,"Standard (2h to under 3h)","Long (3h or more)")),"")</f>
        <v>Standard (2h to under 3h)</v>
      </c>
      <c r="S4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44" s="24">
        <f>IF(COUNTIF(tblClean[Session ID],tblClean[[#This Row],[Session ID]])&gt;1,1,0)</f>
        <v>0</v>
      </c>
      <c r="U44" s="24">
        <f>IF(OR(N(tblClean[[#This Row],[Attributed GMV PHP]])&lt;0,N(tblClean[[#This Row],[Items Sold]])&lt;0,N(tblClean[[#This Row],[Livestream Views]])&lt;0,N(tblClean[[#This Row],[New Followers]])&lt;0),1,0)</f>
        <v>0</v>
      </c>
      <c r="V44" s="24">
        <f>IF(ISNUMBER(tblClean[[#This Row],[Duration Hours]]),IF(OR(tblClean[[#This Row],[Duration Hours]]&lt;=0,tblClean[[#This Row],[Duration Hours]]&gt;12),1,0),1)</f>
        <v>0</v>
      </c>
      <c r="W44" s="24">
        <f>IF(COUNTIF(HostRoster,tblClean[[#This Row],[Host Name]])=0,1,0)</f>
        <v>0</v>
      </c>
      <c r="X44" s="24">
        <f>IF(tblClean[[#This Row],[Missing Flag]]+tblClean[[#This Row],[Duplicate Flag]]+tblClean[[#This Row],[Negative Flag]]+tblClean[[#This Row],[Duration Flag]]+tblClean[[#This Row],[Host Flag]]=0,1,0)</f>
        <v>1</v>
      </c>
    </row>
    <row r="45" spans="1:24" x14ac:dyDescent="0.3">
      <c r="A45" s="9" t="str">
        <f>TRIM('Raw Data'!A41)</f>
        <v>LS-0037</v>
      </c>
      <c r="B45" s="10">
        <f>IF(ISNUMBER('Raw Data'!B41),INT('Raw Data'!B41),IFERROR(DATEVALUE('Raw Data'!B41),""))</f>
        <v>45818</v>
      </c>
      <c r="C45" s="9" t="str">
        <f>PROPER(TRIM('Raw Data'!C41))</f>
        <v>Dani Villanueva</v>
      </c>
      <c r="D45" s="11">
        <f>IF(ISNUMBER('Raw Data'!D41),MOD('Raw Data'!D41,1),IFERROR(TIMEVALUE('Raw Data'!D41),""))</f>
        <v>0.91666666666666663</v>
      </c>
      <c r="E45" s="11">
        <f>IF(ISNUMBER('Raw Data'!E41),MOD('Raw Data'!E41,1),IFERROR(TIMEVALUE('Raw Data'!E41),""))</f>
        <v>0</v>
      </c>
      <c r="F45" s="12">
        <f>IF(ISNUMBER('Raw Data'!F41),'Raw Data'!F41,IFERROR(VALUE(SUBSTITUTE('Raw Data'!F41,",","")),""))</f>
        <v>9189</v>
      </c>
      <c r="G45" s="13">
        <f>IF(ISNUMBER('Raw Data'!G41),'Raw Data'!G41,IFERROR(VALUE(SUBSTITUTE('Raw Data'!G41,",","")),""))</f>
        <v>28</v>
      </c>
      <c r="H45" s="13">
        <f>IF(ISNUMBER('Raw Data'!H41),'Raw Data'!H41,IFERROR(VALUE(SUBSTITUTE('Raw Data'!H41,",","")),""))</f>
        <v>35928</v>
      </c>
      <c r="I45" s="13">
        <f>IF(ISNUMBER('Raw Data'!I41),'Raw Data'!I41,IFERROR(VALUE(SUBSTITUTE('Raw Data'!I41,",","")),""))</f>
        <v>260</v>
      </c>
      <c r="J45" s="21">
        <f>IF(AND(ISNUMBER(tblClean[[#This Row],[Start Time]]),ISNUMBER(tblClean[[#This Row],[End Time]])),ROUND(MOD(tblClean[[#This Row],[End Time]]-tblClean[[#This Row],[Start Time]],1)*24,2),"")</f>
        <v>2</v>
      </c>
      <c r="K45" s="12">
        <f>IF(AND(ISNUMBER(tblClean[[#This Row],[Duration Hours]]),ISNUMBER(tblClean[[#This Row],[Attributed GMV PHP]])),IF(tblClean[[#This Row],[Duration Hours]]&gt;0,tblClean[[#This Row],[Attributed GMV PHP]]/tblClean[[#This Row],[Duration Hours]],""),"")</f>
        <v>4594.5</v>
      </c>
      <c r="L45" s="22">
        <f>IF(ISNUMBER(tblClean[[#This Row],[Date]]),DATE(YEAR(tblClean[[#This Row],[Date]]),MONTH(tblClean[[#This Row],[Date]]),1),"")</f>
        <v>45809</v>
      </c>
      <c r="M45" s="10">
        <f>IF(ISNUMBER(tblClean[[#This Row],[Date]]),tblClean[[#This Row],[Date]]-WEEKDAY(tblClean[[#This Row],[Date]],2)+1,"")</f>
        <v>45817</v>
      </c>
      <c r="N45" s="23">
        <f>IF(ISNUMBER(tblClean[[#This Row],[Week Start]]),(tblClean[[#This Row],[Week Start]]-MIN(tblClean[Week Start]))/7+1,"")</f>
        <v>2</v>
      </c>
      <c r="O45" s="24" t="str">
        <f>IF(ISNUMBER(tblClean[[#This Row],[Date]]),CHOOSE(WEEKDAY(tblClean[[#This Row],[Date]],2),"Mon","Tue","Wed","Thu","Fri","Sat","Sun"),"")</f>
        <v>Tue</v>
      </c>
      <c r="P45" s="24" t="str">
        <f>IF(ISNUMBER(tblClean[[#This Row],[Date]]),IF(WEEKDAY(tblClean[[#This Row],[Date]],2)&gt;=6,"Weekend","Weekday"),"")</f>
        <v>Weekday</v>
      </c>
      <c r="Q4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45" s="9" t="str">
        <f>IF(ISNUMBER(tblClean[[#This Row],[Duration Hours]]),IF(tblClean[[#This Row],[Duration Hours]]&lt;2,"Short (under 2h)",IF(tblClean[[#This Row],[Duration Hours]]&lt;3,"Standard (2h to under 3h)","Long (3h or more)")),"")</f>
        <v>Standard (2h to under 3h)</v>
      </c>
      <c r="S4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45" s="24">
        <f>IF(COUNTIF(tblClean[Session ID],tblClean[[#This Row],[Session ID]])&gt;1,1,0)</f>
        <v>0</v>
      </c>
      <c r="U45" s="24">
        <f>IF(OR(N(tblClean[[#This Row],[Attributed GMV PHP]])&lt;0,N(tblClean[[#This Row],[Items Sold]])&lt;0,N(tblClean[[#This Row],[Livestream Views]])&lt;0,N(tblClean[[#This Row],[New Followers]])&lt;0),1,0)</f>
        <v>0</v>
      </c>
      <c r="V45" s="24">
        <f>IF(ISNUMBER(tblClean[[#This Row],[Duration Hours]]),IF(OR(tblClean[[#This Row],[Duration Hours]]&lt;=0,tblClean[[#This Row],[Duration Hours]]&gt;12),1,0),1)</f>
        <v>0</v>
      </c>
      <c r="W45" s="24">
        <f>IF(COUNTIF(HostRoster,tblClean[[#This Row],[Host Name]])=0,1,0)</f>
        <v>0</v>
      </c>
      <c r="X45" s="24">
        <f>IF(tblClean[[#This Row],[Missing Flag]]+tblClean[[#This Row],[Duplicate Flag]]+tblClean[[#This Row],[Negative Flag]]+tblClean[[#This Row],[Duration Flag]]+tblClean[[#This Row],[Host Flag]]=0,1,0)</f>
        <v>1</v>
      </c>
    </row>
    <row r="46" spans="1:24" x14ac:dyDescent="0.3">
      <c r="A46" s="9" t="str">
        <f>TRIM('Raw Data'!A42)</f>
        <v>LS-0038</v>
      </c>
      <c r="B46" s="10">
        <f>IF(ISNUMBER('Raw Data'!B42),INT('Raw Data'!B42),IFERROR(DATEVALUE('Raw Data'!B42),""))</f>
        <v>45819</v>
      </c>
      <c r="C46" s="9" t="str">
        <f>PROPER(TRIM('Raw Data'!C42))</f>
        <v>Bianca Reyes</v>
      </c>
      <c r="D46" s="11">
        <f>IF(ISNUMBER('Raw Data'!D42),MOD('Raw Data'!D42,1),IFERROR(TIMEVALUE('Raw Data'!D42),""))</f>
        <v>0.41666666666666669</v>
      </c>
      <c r="E46" s="11">
        <f>IF(ISNUMBER('Raw Data'!E42),MOD('Raw Data'!E42,1),IFERROR(TIMEVALUE('Raw Data'!E42),""))</f>
        <v>0.54166666666666663</v>
      </c>
      <c r="F46" s="12">
        <f>IF(ISNUMBER('Raw Data'!F42),'Raw Data'!F42,IFERROR(VALUE(SUBSTITUTE('Raw Data'!F42,",","")),""))</f>
        <v>19963</v>
      </c>
      <c r="G46" s="13">
        <f>IF(ISNUMBER('Raw Data'!G42),'Raw Data'!G42,IFERROR(VALUE(SUBSTITUTE('Raw Data'!G42,",","")),""))</f>
        <v>63</v>
      </c>
      <c r="H46" s="13">
        <f>IF(ISNUMBER('Raw Data'!H42),'Raw Data'!H42,IFERROR(VALUE(SUBSTITUTE('Raw Data'!H42,",","")),""))</f>
        <v>89903</v>
      </c>
      <c r="I46" s="13">
        <f>IF(ISNUMBER('Raw Data'!I42),'Raw Data'!I42,IFERROR(VALUE(SUBSTITUTE('Raw Data'!I42,",","")),""))</f>
        <v>675</v>
      </c>
      <c r="J46" s="21">
        <f>IF(AND(ISNUMBER(tblClean[[#This Row],[Start Time]]),ISNUMBER(tblClean[[#This Row],[End Time]])),ROUND(MOD(tblClean[[#This Row],[End Time]]-tblClean[[#This Row],[Start Time]],1)*24,2),"")</f>
        <v>3</v>
      </c>
      <c r="K46" s="12">
        <f>IF(AND(ISNUMBER(tblClean[[#This Row],[Duration Hours]]),ISNUMBER(tblClean[[#This Row],[Attributed GMV PHP]])),IF(tblClean[[#This Row],[Duration Hours]]&gt;0,tblClean[[#This Row],[Attributed GMV PHP]]/tblClean[[#This Row],[Duration Hours]],""),"")</f>
        <v>6654.333333333333</v>
      </c>
      <c r="L46" s="22">
        <f>IF(ISNUMBER(tblClean[[#This Row],[Date]]),DATE(YEAR(tblClean[[#This Row],[Date]]),MONTH(tblClean[[#This Row],[Date]]),1),"")</f>
        <v>45809</v>
      </c>
      <c r="M46" s="10">
        <f>IF(ISNUMBER(tblClean[[#This Row],[Date]]),tblClean[[#This Row],[Date]]-WEEKDAY(tblClean[[#This Row],[Date]],2)+1,"")</f>
        <v>45817</v>
      </c>
      <c r="N46" s="23">
        <f>IF(ISNUMBER(tblClean[[#This Row],[Week Start]]),(tblClean[[#This Row],[Week Start]]-MIN(tblClean[Week Start]))/7+1,"")</f>
        <v>2</v>
      </c>
      <c r="O46" s="24" t="str">
        <f>IF(ISNUMBER(tblClean[[#This Row],[Date]]),CHOOSE(WEEKDAY(tblClean[[#This Row],[Date]],2),"Mon","Tue","Wed","Thu","Fri","Sat","Sun"),"")</f>
        <v>Wed</v>
      </c>
      <c r="P46" s="24" t="str">
        <f>IF(ISNUMBER(tblClean[[#This Row],[Date]]),IF(WEEKDAY(tblClean[[#This Row],[Date]],2)&gt;=6,"Weekend","Weekday"),"")</f>
        <v>Weekday</v>
      </c>
      <c r="Q4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46" s="9" t="str">
        <f>IF(ISNUMBER(tblClean[[#This Row],[Duration Hours]]),IF(tblClean[[#This Row],[Duration Hours]]&lt;2,"Short (under 2h)",IF(tblClean[[#This Row],[Duration Hours]]&lt;3,"Standard (2h to under 3h)","Long (3h or more)")),"")</f>
        <v>Long (3h or more)</v>
      </c>
      <c r="S4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46" s="24">
        <f>IF(COUNTIF(tblClean[Session ID],tblClean[[#This Row],[Session ID]])&gt;1,1,0)</f>
        <v>0</v>
      </c>
      <c r="U46" s="24">
        <f>IF(OR(N(tblClean[[#This Row],[Attributed GMV PHP]])&lt;0,N(tblClean[[#This Row],[Items Sold]])&lt;0,N(tblClean[[#This Row],[Livestream Views]])&lt;0,N(tblClean[[#This Row],[New Followers]])&lt;0),1,0)</f>
        <v>0</v>
      </c>
      <c r="V46" s="24">
        <f>IF(ISNUMBER(tblClean[[#This Row],[Duration Hours]]),IF(OR(tblClean[[#This Row],[Duration Hours]]&lt;=0,tblClean[[#This Row],[Duration Hours]]&gt;12),1,0),1)</f>
        <v>0</v>
      </c>
      <c r="W46" s="24">
        <f>IF(COUNTIF(HostRoster,tblClean[[#This Row],[Host Name]])=0,1,0)</f>
        <v>0</v>
      </c>
      <c r="X46" s="24">
        <f>IF(tblClean[[#This Row],[Missing Flag]]+tblClean[[#This Row],[Duplicate Flag]]+tblClean[[#This Row],[Negative Flag]]+tblClean[[#This Row],[Duration Flag]]+tblClean[[#This Row],[Host Flag]]=0,1,0)</f>
        <v>1</v>
      </c>
    </row>
    <row r="47" spans="1:24" x14ac:dyDescent="0.3">
      <c r="A47" s="9" t="str">
        <f>TRIM('Raw Data'!A43)</f>
        <v>LS-0039</v>
      </c>
      <c r="B47" s="10">
        <f>IF(ISNUMBER('Raw Data'!B43),INT('Raw Data'!B43),IFERROR(DATEVALUE('Raw Data'!B43),""))</f>
        <v>45819</v>
      </c>
      <c r="C47" s="9" t="str">
        <f>PROPER(TRIM('Raw Data'!C43))</f>
        <v>Dani Villanueva</v>
      </c>
      <c r="D47" s="11">
        <f>IF(ISNUMBER('Raw Data'!D43),MOD('Raw Data'!D43,1),IFERROR(TIMEVALUE('Raw Data'!D43),""))</f>
        <v>0.54166666666666663</v>
      </c>
      <c r="E47" s="11">
        <f>IF(ISNUMBER('Raw Data'!E43),MOD('Raw Data'!E43,1),IFERROR(TIMEVALUE('Raw Data'!E43),""))</f>
        <v>0.60416666666666663</v>
      </c>
      <c r="F47" s="12">
        <f>IF(ISNUMBER('Raw Data'!F43),'Raw Data'!F43,IFERROR(VALUE(SUBSTITUTE('Raw Data'!F43,",","")),""))</f>
        <v>5807</v>
      </c>
      <c r="G47" s="13">
        <f>IF(ISNUMBER('Raw Data'!G43),'Raw Data'!G43,IFERROR(VALUE(SUBSTITUTE('Raw Data'!G43,",","")),""))</f>
        <v>16</v>
      </c>
      <c r="H47" s="13">
        <f>IF(ISNUMBER('Raw Data'!H43),'Raw Data'!H43,IFERROR(VALUE(SUBSTITUTE('Raw Data'!H43,",","")),""))</f>
        <v>18923</v>
      </c>
      <c r="I47" s="13">
        <f>IF(ISNUMBER('Raw Data'!I43),'Raw Data'!I43,IFERROR(VALUE(SUBSTITUTE('Raw Data'!I43,",","")),""))</f>
        <v>95</v>
      </c>
      <c r="J47" s="21">
        <f>IF(AND(ISNUMBER(tblClean[[#This Row],[Start Time]]),ISNUMBER(tblClean[[#This Row],[End Time]])),ROUND(MOD(tblClean[[#This Row],[End Time]]-tblClean[[#This Row],[Start Time]],1)*24,2),"")</f>
        <v>1.5</v>
      </c>
      <c r="K47" s="12">
        <f>IF(AND(ISNUMBER(tblClean[[#This Row],[Duration Hours]]),ISNUMBER(tblClean[[#This Row],[Attributed GMV PHP]])),IF(tblClean[[#This Row],[Duration Hours]]&gt;0,tblClean[[#This Row],[Attributed GMV PHP]]/tblClean[[#This Row],[Duration Hours]],""),"")</f>
        <v>3871.3333333333335</v>
      </c>
      <c r="L47" s="22">
        <f>IF(ISNUMBER(tblClean[[#This Row],[Date]]),DATE(YEAR(tblClean[[#This Row],[Date]]),MONTH(tblClean[[#This Row],[Date]]),1),"")</f>
        <v>45809</v>
      </c>
      <c r="M47" s="10">
        <f>IF(ISNUMBER(tblClean[[#This Row],[Date]]),tblClean[[#This Row],[Date]]-WEEKDAY(tblClean[[#This Row],[Date]],2)+1,"")</f>
        <v>45817</v>
      </c>
      <c r="N47" s="23">
        <f>IF(ISNUMBER(tblClean[[#This Row],[Week Start]]),(tblClean[[#This Row],[Week Start]]-MIN(tblClean[Week Start]))/7+1,"")</f>
        <v>2</v>
      </c>
      <c r="O47" s="24" t="str">
        <f>IF(ISNUMBER(tblClean[[#This Row],[Date]]),CHOOSE(WEEKDAY(tblClean[[#This Row],[Date]],2),"Mon","Tue","Wed","Thu","Fri","Sat","Sun"),"")</f>
        <v>Wed</v>
      </c>
      <c r="P47" s="24" t="str">
        <f>IF(ISNUMBER(tblClean[[#This Row],[Date]]),IF(WEEKDAY(tblClean[[#This Row],[Date]],2)&gt;=6,"Weekend","Weekday"),"")</f>
        <v>Weekday</v>
      </c>
      <c r="Q4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47" s="9" t="str">
        <f>IF(ISNUMBER(tblClean[[#This Row],[Duration Hours]]),IF(tblClean[[#This Row],[Duration Hours]]&lt;2,"Short (under 2h)",IF(tblClean[[#This Row],[Duration Hours]]&lt;3,"Standard (2h to under 3h)","Long (3h or more)")),"")</f>
        <v>Short (under 2h)</v>
      </c>
      <c r="S4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47" s="24">
        <f>IF(COUNTIF(tblClean[Session ID],tblClean[[#This Row],[Session ID]])&gt;1,1,0)</f>
        <v>0</v>
      </c>
      <c r="U47" s="24">
        <f>IF(OR(N(tblClean[[#This Row],[Attributed GMV PHP]])&lt;0,N(tblClean[[#This Row],[Items Sold]])&lt;0,N(tblClean[[#This Row],[Livestream Views]])&lt;0,N(tblClean[[#This Row],[New Followers]])&lt;0),1,0)</f>
        <v>0</v>
      </c>
      <c r="V47" s="24">
        <f>IF(ISNUMBER(tblClean[[#This Row],[Duration Hours]]),IF(OR(tblClean[[#This Row],[Duration Hours]]&lt;=0,tblClean[[#This Row],[Duration Hours]]&gt;12),1,0),1)</f>
        <v>0</v>
      </c>
      <c r="W47" s="24">
        <f>IF(COUNTIF(HostRoster,tblClean[[#This Row],[Host Name]])=0,1,0)</f>
        <v>0</v>
      </c>
      <c r="X47" s="24">
        <f>IF(tblClean[[#This Row],[Missing Flag]]+tblClean[[#This Row],[Duplicate Flag]]+tblClean[[#This Row],[Negative Flag]]+tblClean[[#This Row],[Duration Flag]]+tblClean[[#This Row],[Host Flag]]=0,1,0)</f>
        <v>1</v>
      </c>
    </row>
    <row r="48" spans="1:24" x14ac:dyDescent="0.3">
      <c r="A48" s="9" t="str">
        <f>TRIM('Raw Data'!A44)</f>
        <v>LS-0040</v>
      </c>
      <c r="B48" s="10">
        <f>IF(ISNUMBER('Raw Data'!B44),INT('Raw Data'!B44),IFERROR(DATEVALUE('Raw Data'!B44),""))</f>
        <v>45819</v>
      </c>
      <c r="C48" s="9" t="str">
        <f>PROPER(TRIM('Raw Data'!C44))</f>
        <v>Aira Valdez</v>
      </c>
      <c r="D48" s="11">
        <f>IF(ISNUMBER('Raw Data'!D44),MOD('Raw Data'!D44,1),IFERROR(TIMEVALUE('Raw Data'!D44),""))</f>
        <v>0.66666666666666663</v>
      </c>
      <c r="E48" s="11">
        <f>IF(ISNUMBER('Raw Data'!E44),MOD('Raw Data'!E44,1),IFERROR(TIMEVALUE('Raw Data'!E44),""))</f>
        <v>0.75</v>
      </c>
      <c r="F48" s="12">
        <f>IF(ISNUMBER('Raw Data'!F44),'Raw Data'!F44,IFERROR(VALUE(SUBSTITUTE('Raw Data'!F44,",","")),""))</f>
        <v>35428</v>
      </c>
      <c r="G48" s="13">
        <f>IF(ISNUMBER('Raw Data'!G44),'Raw Data'!G44,IFERROR(VALUE(SUBSTITUTE('Raw Data'!G44,",","")),""))</f>
        <v>99</v>
      </c>
      <c r="H48" s="13">
        <f>IF(ISNUMBER('Raw Data'!H44),'Raw Data'!H44,IFERROR(VALUE(SUBSTITUTE('Raw Data'!H44,",","")),""))</f>
        <v>97519</v>
      </c>
      <c r="I48" s="13">
        <f>IF(ISNUMBER('Raw Data'!I44),'Raw Data'!I44,IFERROR(VALUE(SUBSTITUTE('Raw Data'!I44,",","")),""))</f>
        <v>419</v>
      </c>
      <c r="J48" s="21">
        <f>IF(AND(ISNUMBER(tblClean[[#This Row],[Start Time]]),ISNUMBER(tblClean[[#This Row],[End Time]])),ROUND(MOD(tblClean[[#This Row],[End Time]]-tblClean[[#This Row],[Start Time]],1)*24,2),"")</f>
        <v>2</v>
      </c>
      <c r="K48" s="12">
        <f>IF(AND(ISNUMBER(tblClean[[#This Row],[Duration Hours]]),ISNUMBER(tblClean[[#This Row],[Attributed GMV PHP]])),IF(tblClean[[#This Row],[Duration Hours]]&gt;0,tblClean[[#This Row],[Attributed GMV PHP]]/tblClean[[#This Row],[Duration Hours]],""),"")</f>
        <v>17714</v>
      </c>
      <c r="L48" s="22">
        <f>IF(ISNUMBER(tblClean[[#This Row],[Date]]),DATE(YEAR(tblClean[[#This Row],[Date]]),MONTH(tblClean[[#This Row],[Date]]),1),"")</f>
        <v>45809</v>
      </c>
      <c r="M48" s="10">
        <f>IF(ISNUMBER(tblClean[[#This Row],[Date]]),tblClean[[#This Row],[Date]]-WEEKDAY(tblClean[[#This Row],[Date]],2)+1,"")</f>
        <v>45817</v>
      </c>
      <c r="N48" s="23">
        <f>IF(ISNUMBER(tblClean[[#This Row],[Week Start]]),(tblClean[[#This Row],[Week Start]]-MIN(tblClean[Week Start]))/7+1,"")</f>
        <v>2</v>
      </c>
      <c r="O48" s="24" t="str">
        <f>IF(ISNUMBER(tblClean[[#This Row],[Date]]),CHOOSE(WEEKDAY(tblClean[[#This Row],[Date]],2),"Mon","Tue","Wed","Thu","Fri","Sat","Sun"),"")</f>
        <v>Wed</v>
      </c>
      <c r="P48" s="24" t="str">
        <f>IF(ISNUMBER(tblClean[[#This Row],[Date]]),IF(WEEKDAY(tblClean[[#This Row],[Date]],2)&gt;=6,"Weekend","Weekday"),"")</f>
        <v>Weekday</v>
      </c>
      <c r="Q4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48" s="9" t="str">
        <f>IF(ISNUMBER(tblClean[[#This Row],[Duration Hours]]),IF(tblClean[[#This Row],[Duration Hours]]&lt;2,"Short (under 2h)",IF(tblClean[[#This Row],[Duration Hours]]&lt;3,"Standard (2h to under 3h)","Long (3h or more)")),"")</f>
        <v>Standard (2h to under 3h)</v>
      </c>
      <c r="S4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48" s="24">
        <f>IF(COUNTIF(tblClean[Session ID],tblClean[[#This Row],[Session ID]])&gt;1,1,0)</f>
        <v>0</v>
      </c>
      <c r="U48" s="24">
        <f>IF(OR(N(tblClean[[#This Row],[Attributed GMV PHP]])&lt;0,N(tblClean[[#This Row],[Items Sold]])&lt;0,N(tblClean[[#This Row],[Livestream Views]])&lt;0,N(tblClean[[#This Row],[New Followers]])&lt;0),1,0)</f>
        <v>0</v>
      </c>
      <c r="V48" s="24">
        <f>IF(ISNUMBER(tblClean[[#This Row],[Duration Hours]]),IF(OR(tblClean[[#This Row],[Duration Hours]]&lt;=0,tblClean[[#This Row],[Duration Hours]]&gt;12),1,0),1)</f>
        <v>0</v>
      </c>
      <c r="W48" s="24">
        <f>IF(COUNTIF(HostRoster,tblClean[[#This Row],[Host Name]])=0,1,0)</f>
        <v>0</v>
      </c>
      <c r="X48" s="24">
        <f>IF(tblClean[[#This Row],[Missing Flag]]+tblClean[[#This Row],[Duplicate Flag]]+tblClean[[#This Row],[Negative Flag]]+tblClean[[#This Row],[Duration Flag]]+tblClean[[#This Row],[Host Flag]]=0,1,0)</f>
        <v>1</v>
      </c>
    </row>
    <row r="49" spans="1:24" x14ac:dyDescent="0.3">
      <c r="A49" s="9" t="str">
        <f>TRIM('Raw Data'!A45)</f>
        <v>LS-0041</v>
      </c>
      <c r="B49" s="10">
        <f>IF(ISNUMBER('Raw Data'!B45),INT('Raw Data'!B45),IFERROR(DATEVALUE('Raw Data'!B45),""))</f>
        <v>45819</v>
      </c>
      <c r="C49" s="9" t="str">
        <f>PROPER(TRIM('Raw Data'!C45))</f>
        <v>Bianca Reyes</v>
      </c>
      <c r="D49" s="11">
        <f>IF(ISNUMBER('Raw Data'!D45),MOD('Raw Data'!D45,1),IFERROR(TIMEVALUE('Raw Data'!D45),""))</f>
        <v>0.79166666666666663</v>
      </c>
      <c r="E49" s="11">
        <f>IF(ISNUMBER('Raw Data'!E45),MOD('Raw Data'!E45,1),IFERROR(TIMEVALUE('Raw Data'!E45),""))</f>
        <v>0.89583333333333337</v>
      </c>
      <c r="F49" s="12">
        <f>IF(ISNUMBER('Raw Data'!F45),'Raw Data'!F45,IFERROR(VALUE(SUBSTITUTE('Raw Data'!F45,",","")),""))</f>
        <v>23672</v>
      </c>
      <c r="G49" s="13">
        <f>IF(ISNUMBER('Raw Data'!G45),'Raw Data'!G45,IFERROR(VALUE(SUBSTITUTE('Raw Data'!G45,",","")),""))</f>
        <v>63</v>
      </c>
      <c r="H49" s="13">
        <f>IF(ISNUMBER('Raw Data'!H45),'Raw Data'!H45,IFERROR(VALUE(SUBSTITUTE('Raw Data'!H45,",","")),""))</f>
        <v>118575</v>
      </c>
      <c r="I49" s="13">
        <f>IF(ISNUMBER('Raw Data'!I45),'Raw Data'!I45,IFERROR(VALUE(SUBSTITUTE('Raw Data'!I45,",","")),""))</f>
        <v>1016</v>
      </c>
      <c r="J49" s="21">
        <f>IF(AND(ISNUMBER(tblClean[[#This Row],[Start Time]]),ISNUMBER(tblClean[[#This Row],[End Time]])),ROUND(MOD(tblClean[[#This Row],[End Time]]-tblClean[[#This Row],[Start Time]],1)*24,2),"")</f>
        <v>2.5</v>
      </c>
      <c r="K49" s="12">
        <f>IF(AND(ISNUMBER(tblClean[[#This Row],[Duration Hours]]),ISNUMBER(tblClean[[#This Row],[Attributed GMV PHP]])),IF(tblClean[[#This Row],[Duration Hours]]&gt;0,tblClean[[#This Row],[Attributed GMV PHP]]/tblClean[[#This Row],[Duration Hours]],""),"")</f>
        <v>9468.7999999999993</v>
      </c>
      <c r="L49" s="22">
        <f>IF(ISNUMBER(tblClean[[#This Row],[Date]]),DATE(YEAR(tblClean[[#This Row],[Date]]),MONTH(tblClean[[#This Row],[Date]]),1),"")</f>
        <v>45809</v>
      </c>
      <c r="M49" s="10">
        <f>IF(ISNUMBER(tblClean[[#This Row],[Date]]),tblClean[[#This Row],[Date]]-WEEKDAY(tblClean[[#This Row],[Date]],2)+1,"")</f>
        <v>45817</v>
      </c>
      <c r="N49" s="23">
        <f>IF(ISNUMBER(tblClean[[#This Row],[Week Start]]),(tblClean[[#This Row],[Week Start]]-MIN(tblClean[Week Start]))/7+1,"")</f>
        <v>2</v>
      </c>
      <c r="O49" s="24" t="str">
        <f>IF(ISNUMBER(tblClean[[#This Row],[Date]]),CHOOSE(WEEKDAY(tblClean[[#This Row],[Date]],2),"Mon","Tue","Wed","Thu","Fri","Sat","Sun"),"")</f>
        <v>Wed</v>
      </c>
      <c r="P49" s="24" t="str">
        <f>IF(ISNUMBER(tblClean[[#This Row],[Date]]),IF(WEEKDAY(tblClean[[#This Row],[Date]],2)&gt;=6,"Weekend","Weekday"),"")</f>
        <v>Weekday</v>
      </c>
      <c r="Q4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49" s="9" t="str">
        <f>IF(ISNUMBER(tblClean[[#This Row],[Duration Hours]]),IF(tblClean[[#This Row],[Duration Hours]]&lt;2,"Short (under 2h)",IF(tblClean[[#This Row],[Duration Hours]]&lt;3,"Standard (2h to under 3h)","Long (3h or more)")),"")</f>
        <v>Standard (2h to under 3h)</v>
      </c>
      <c r="S4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49" s="24">
        <f>IF(COUNTIF(tblClean[Session ID],tblClean[[#This Row],[Session ID]])&gt;1,1,0)</f>
        <v>0</v>
      </c>
      <c r="U49" s="24">
        <f>IF(OR(N(tblClean[[#This Row],[Attributed GMV PHP]])&lt;0,N(tblClean[[#This Row],[Items Sold]])&lt;0,N(tblClean[[#This Row],[Livestream Views]])&lt;0,N(tblClean[[#This Row],[New Followers]])&lt;0),1,0)</f>
        <v>0</v>
      </c>
      <c r="V49" s="24">
        <f>IF(ISNUMBER(tblClean[[#This Row],[Duration Hours]]),IF(OR(tblClean[[#This Row],[Duration Hours]]&lt;=0,tblClean[[#This Row],[Duration Hours]]&gt;12),1,0),1)</f>
        <v>0</v>
      </c>
      <c r="W49" s="24">
        <f>IF(COUNTIF(HostRoster,tblClean[[#This Row],[Host Name]])=0,1,0)</f>
        <v>0</v>
      </c>
      <c r="X49" s="24">
        <f>IF(tblClean[[#This Row],[Missing Flag]]+tblClean[[#This Row],[Duplicate Flag]]+tblClean[[#This Row],[Negative Flag]]+tblClean[[#This Row],[Duration Flag]]+tblClean[[#This Row],[Host Flag]]=0,1,0)</f>
        <v>1</v>
      </c>
    </row>
    <row r="50" spans="1:24" x14ac:dyDescent="0.3">
      <c r="A50" s="9" t="str">
        <f>TRIM('Raw Data'!A46)</f>
        <v>LS-0042</v>
      </c>
      <c r="B50" s="10">
        <f>IF(ISNUMBER('Raw Data'!B46),INT('Raw Data'!B46),IFERROR(DATEVALUE('Raw Data'!B46),""))</f>
        <v>45819</v>
      </c>
      <c r="C50" s="9" t="str">
        <f>PROPER(TRIM('Raw Data'!C46))</f>
        <v>Dani Villanueva</v>
      </c>
      <c r="D50" s="11">
        <f>IF(ISNUMBER('Raw Data'!D46),MOD('Raw Data'!D46,1),IFERROR(TIMEVALUE('Raw Data'!D46),""))</f>
        <v>0.91666666666666663</v>
      </c>
      <c r="E50" s="11">
        <f>IF(ISNUMBER('Raw Data'!E46),MOD('Raw Data'!E46,1),IFERROR(TIMEVALUE('Raw Data'!E46),""))</f>
        <v>0</v>
      </c>
      <c r="F50" s="12">
        <f>IF(ISNUMBER('Raw Data'!F46),'Raw Data'!F46,IFERROR(VALUE(SUBSTITUTE('Raw Data'!F46,",","")),""))</f>
        <v>8834</v>
      </c>
      <c r="G50" s="13">
        <f>IF(ISNUMBER('Raw Data'!G46),'Raw Data'!G46,IFERROR(VALUE(SUBSTITUTE('Raw Data'!G46,",","")),""))</f>
        <v>28</v>
      </c>
      <c r="H50" s="13">
        <f>IF(ISNUMBER('Raw Data'!H46),'Raw Data'!H46,IFERROR(VALUE(SUBSTITUTE('Raw Data'!H46,",","")),""))</f>
        <v>39010</v>
      </c>
      <c r="I50" s="13">
        <f>IF(ISNUMBER('Raw Data'!I46),'Raw Data'!I46,IFERROR(VALUE(SUBSTITUTE('Raw Data'!I46,",","")),""))</f>
        <v>264</v>
      </c>
      <c r="J50" s="21">
        <f>IF(AND(ISNUMBER(tblClean[[#This Row],[Start Time]]),ISNUMBER(tblClean[[#This Row],[End Time]])),ROUND(MOD(tblClean[[#This Row],[End Time]]-tblClean[[#This Row],[Start Time]],1)*24,2),"")</f>
        <v>2</v>
      </c>
      <c r="K50" s="12">
        <f>IF(AND(ISNUMBER(tblClean[[#This Row],[Duration Hours]]),ISNUMBER(tblClean[[#This Row],[Attributed GMV PHP]])),IF(tblClean[[#This Row],[Duration Hours]]&gt;0,tblClean[[#This Row],[Attributed GMV PHP]]/tblClean[[#This Row],[Duration Hours]],""),"")</f>
        <v>4417</v>
      </c>
      <c r="L50" s="22">
        <f>IF(ISNUMBER(tblClean[[#This Row],[Date]]),DATE(YEAR(tblClean[[#This Row],[Date]]),MONTH(tblClean[[#This Row],[Date]]),1),"")</f>
        <v>45809</v>
      </c>
      <c r="M50" s="10">
        <f>IF(ISNUMBER(tblClean[[#This Row],[Date]]),tblClean[[#This Row],[Date]]-WEEKDAY(tblClean[[#This Row],[Date]],2)+1,"")</f>
        <v>45817</v>
      </c>
      <c r="N50" s="23">
        <f>IF(ISNUMBER(tblClean[[#This Row],[Week Start]]),(tblClean[[#This Row],[Week Start]]-MIN(tblClean[Week Start]))/7+1,"")</f>
        <v>2</v>
      </c>
      <c r="O50" s="24" t="str">
        <f>IF(ISNUMBER(tblClean[[#This Row],[Date]]),CHOOSE(WEEKDAY(tblClean[[#This Row],[Date]],2),"Mon","Tue","Wed","Thu","Fri","Sat","Sun"),"")</f>
        <v>Wed</v>
      </c>
      <c r="P50" s="24" t="str">
        <f>IF(ISNUMBER(tblClean[[#This Row],[Date]]),IF(WEEKDAY(tblClean[[#This Row],[Date]],2)&gt;=6,"Weekend","Weekday"),"")</f>
        <v>Weekday</v>
      </c>
      <c r="Q5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50" s="9" t="str">
        <f>IF(ISNUMBER(tblClean[[#This Row],[Duration Hours]]),IF(tblClean[[#This Row],[Duration Hours]]&lt;2,"Short (under 2h)",IF(tblClean[[#This Row],[Duration Hours]]&lt;3,"Standard (2h to under 3h)","Long (3h or more)")),"")</f>
        <v>Standard (2h to under 3h)</v>
      </c>
      <c r="S5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50" s="24">
        <f>IF(COUNTIF(tblClean[Session ID],tblClean[[#This Row],[Session ID]])&gt;1,1,0)</f>
        <v>0</v>
      </c>
      <c r="U50" s="24">
        <f>IF(OR(N(tblClean[[#This Row],[Attributed GMV PHP]])&lt;0,N(tblClean[[#This Row],[Items Sold]])&lt;0,N(tblClean[[#This Row],[Livestream Views]])&lt;0,N(tblClean[[#This Row],[New Followers]])&lt;0),1,0)</f>
        <v>0</v>
      </c>
      <c r="V50" s="24">
        <f>IF(ISNUMBER(tblClean[[#This Row],[Duration Hours]]),IF(OR(tblClean[[#This Row],[Duration Hours]]&lt;=0,tblClean[[#This Row],[Duration Hours]]&gt;12),1,0),1)</f>
        <v>0</v>
      </c>
      <c r="W50" s="24">
        <f>IF(COUNTIF(HostRoster,tblClean[[#This Row],[Host Name]])=0,1,0)</f>
        <v>0</v>
      </c>
      <c r="X50" s="24">
        <f>IF(tblClean[[#This Row],[Missing Flag]]+tblClean[[#This Row],[Duplicate Flag]]+tblClean[[#This Row],[Negative Flag]]+tblClean[[#This Row],[Duration Flag]]+tblClean[[#This Row],[Host Flag]]=0,1,0)</f>
        <v>1</v>
      </c>
    </row>
    <row r="51" spans="1:24" x14ac:dyDescent="0.3">
      <c r="A51" s="9" t="str">
        <f>TRIM('Raw Data'!A47)</f>
        <v>LS-0043</v>
      </c>
      <c r="B51" s="10">
        <f>IF(ISNUMBER('Raw Data'!B47),INT('Raw Data'!B47),IFERROR(DATEVALUE('Raw Data'!B47),""))</f>
        <v>45820</v>
      </c>
      <c r="C51" s="9" t="str">
        <f>PROPER(TRIM('Raw Data'!C47))</f>
        <v>Bianca Reyes</v>
      </c>
      <c r="D51" s="11">
        <f>IF(ISNUMBER('Raw Data'!D47),MOD('Raw Data'!D47,1),IFERROR(TIMEVALUE('Raw Data'!D47),""))</f>
        <v>0.54166666666666663</v>
      </c>
      <c r="E51" s="11">
        <f>IF(ISNUMBER('Raw Data'!E47),MOD('Raw Data'!E47,1),IFERROR(TIMEVALUE('Raw Data'!E47),""))</f>
        <v>0.66666666666666663</v>
      </c>
      <c r="F51" s="12">
        <f>IF(ISNUMBER('Raw Data'!F47),'Raw Data'!F47,IFERROR(VALUE(SUBSTITUTE('Raw Data'!F47,",","")),""))</f>
        <v>11212</v>
      </c>
      <c r="G51" s="13">
        <f>IF(ISNUMBER('Raw Data'!G47),'Raw Data'!G47,IFERROR(VALUE(SUBSTITUTE('Raw Data'!G47,",","")),""))</f>
        <v>29</v>
      </c>
      <c r="H51" s="13">
        <f>IF(ISNUMBER('Raw Data'!H47),'Raw Data'!H47,IFERROR(VALUE(SUBSTITUTE('Raw Data'!H47,",","")),""))</f>
        <v>28108</v>
      </c>
      <c r="I51" s="13">
        <f>IF(ISNUMBER('Raw Data'!I47),'Raw Data'!I47,IFERROR(VALUE(SUBSTITUTE('Raw Data'!I47,",","")),""))</f>
        <v>248</v>
      </c>
      <c r="J51" s="21">
        <f>IF(AND(ISNUMBER(tblClean[[#This Row],[Start Time]]),ISNUMBER(tblClean[[#This Row],[End Time]])),ROUND(MOD(tblClean[[#This Row],[End Time]]-tblClean[[#This Row],[Start Time]],1)*24,2),"")</f>
        <v>3</v>
      </c>
      <c r="K51" s="12">
        <f>IF(AND(ISNUMBER(tblClean[[#This Row],[Duration Hours]]),ISNUMBER(tblClean[[#This Row],[Attributed GMV PHP]])),IF(tblClean[[#This Row],[Duration Hours]]&gt;0,tblClean[[#This Row],[Attributed GMV PHP]]/tblClean[[#This Row],[Duration Hours]],""),"")</f>
        <v>3737.3333333333335</v>
      </c>
      <c r="L51" s="22">
        <f>IF(ISNUMBER(tblClean[[#This Row],[Date]]),DATE(YEAR(tblClean[[#This Row],[Date]]),MONTH(tblClean[[#This Row],[Date]]),1),"")</f>
        <v>45809</v>
      </c>
      <c r="M51" s="10">
        <f>IF(ISNUMBER(tblClean[[#This Row],[Date]]),tblClean[[#This Row],[Date]]-WEEKDAY(tblClean[[#This Row],[Date]],2)+1,"")</f>
        <v>45817</v>
      </c>
      <c r="N51" s="23">
        <f>IF(ISNUMBER(tblClean[[#This Row],[Week Start]]),(tblClean[[#This Row],[Week Start]]-MIN(tblClean[Week Start]))/7+1,"")</f>
        <v>2</v>
      </c>
      <c r="O51" s="24" t="str">
        <f>IF(ISNUMBER(tblClean[[#This Row],[Date]]),CHOOSE(WEEKDAY(tblClean[[#This Row],[Date]],2),"Mon","Tue","Wed","Thu","Fri","Sat","Sun"),"")</f>
        <v>Thu</v>
      </c>
      <c r="P51" s="24" t="str">
        <f>IF(ISNUMBER(tblClean[[#This Row],[Date]]),IF(WEEKDAY(tblClean[[#This Row],[Date]],2)&gt;=6,"Weekend","Weekday"),"")</f>
        <v>Weekday</v>
      </c>
      <c r="Q5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51" s="9" t="str">
        <f>IF(ISNUMBER(tblClean[[#This Row],[Duration Hours]]),IF(tblClean[[#This Row],[Duration Hours]]&lt;2,"Short (under 2h)",IF(tblClean[[#This Row],[Duration Hours]]&lt;3,"Standard (2h to under 3h)","Long (3h or more)")),"")</f>
        <v>Long (3h or more)</v>
      </c>
      <c r="S5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51" s="24">
        <f>IF(COUNTIF(tblClean[Session ID],tblClean[[#This Row],[Session ID]])&gt;1,1,0)</f>
        <v>0</v>
      </c>
      <c r="U51" s="24">
        <f>IF(OR(N(tblClean[[#This Row],[Attributed GMV PHP]])&lt;0,N(tblClean[[#This Row],[Items Sold]])&lt;0,N(tblClean[[#This Row],[Livestream Views]])&lt;0,N(tblClean[[#This Row],[New Followers]])&lt;0),1,0)</f>
        <v>0</v>
      </c>
      <c r="V51" s="24">
        <f>IF(ISNUMBER(tblClean[[#This Row],[Duration Hours]]),IF(OR(tblClean[[#This Row],[Duration Hours]]&lt;=0,tblClean[[#This Row],[Duration Hours]]&gt;12),1,0),1)</f>
        <v>0</v>
      </c>
      <c r="W51" s="24">
        <f>IF(COUNTIF(HostRoster,tblClean[[#This Row],[Host Name]])=0,1,0)</f>
        <v>0</v>
      </c>
      <c r="X51" s="24">
        <f>IF(tblClean[[#This Row],[Missing Flag]]+tblClean[[#This Row],[Duplicate Flag]]+tblClean[[#This Row],[Negative Flag]]+tblClean[[#This Row],[Duration Flag]]+tblClean[[#This Row],[Host Flag]]=0,1,0)</f>
        <v>1</v>
      </c>
    </row>
    <row r="52" spans="1:24" x14ac:dyDescent="0.3">
      <c r="A52" s="9" t="str">
        <f>TRIM('Raw Data'!A48)</f>
        <v>LS-0044</v>
      </c>
      <c r="B52" s="10">
        <f>IF(ISNUMBER('Raw Data'!B48),INT('Raw Data'!B48),IFERROR(DATEVALUE('Raw Data'!B48),""))</f>
        <v>45820</v>
      </c>
      <c r="C52" s="9" t="str">
        <f>PROPER(TRIM('Raw Data'!C48))</f>
        <v>Carlo Mendoza</v>
      </c>
      <c r="D52" s="11">
        <f>IF(ISNUMBER('Raw Data'!D48),MOD('Raw Data'!D48,1),IFERROR(TIMEVALUE('Raw Data'!D48),""))</f>
        <v>0.79166666666666663</v>
      </c>
      <c r="E52" s="11">
        <f>IF(ISNUMBER('Raw Data'!E48),MOD('Raw Data'!E48,1),IFERROR(TIMEVALUE('Raw Data'!E48),""))</f>
        <v>0.89583333333333337</v>
      </c>
      <c r="F52" s="12">
        <f>IF(ISNUMBER('Raw Data'!F48),'Raw Data'!F48,IFERROR(VALUE(SUBSTITUTE('Raw Data'!F48,",","")),""))</f>
        <v>19044</v>
      </c>
      <c r="G52" s="13">
        <f>IF(ISNUMBER('Raw Data'!G48),'Raw Data'!G48,IFERROR(VALUE(SUBSTITUTE('Raw Data'!G48,",","")),""))</f>
        <v>59</v>
      </c>
      <c r="H52" s="13">
        <f>IF(ISNUMBER('Raw Data'!H48),'Raw Data'!H48,IFERROR(VALUE(SUBSTITUTE('Raw Data'!H48,",","")),""))</f>
        <v>57176</v>
      </c>
      <c r="I52" s="13">
        <f>IF(ISNUMBER('Raw Data'!I48),'Raw Data'!I48,IFERROR(VALUE(SUBSTITUTE('Raw Data'!I48,",","")),""))</f>
        <v>351</v>
      </c>
      <c r="J52" s="21">
        <f>IF(AND(ISNUMBER(tblClean[[#This Row],[Start Time]]),ISNUMBER(tblClean[[#This Row],[End Time]])),ROUND(MOD(tblClean[[#This Row],[End Time]]-tblClean[[#This Row],[Start Time]],1)*24,2),"")</f>
        <v>2.5</v>
      </c>
      <c r="K52" s="12">
        <f>IF(AND(ISNUMBER(tblClean[[#This Row],[Duration Hours]]),ISNUMBER(tblClean[[#This Row],[Attributed GMV PHP]])),IF(tblClean[[#This Row],[Duration Hours]]&gt;0,tblClean[[#This Row],[Attributed GMV PHP]]/tblClean[[#This Row],[Duration Hours]],""),"")</f>
        <v>7617.6</v>
      </c>
      <c r="L52" s="22">
        <f>IF(ISNUMBER(tblClean[[#This Row],[Date]]),DATE(YEAR(tblClean[[#This Row],[Date]]),MONTH(tblClean[[#This Row],[Date]]),1),"")</f>
        <v>45809</v>
      </c>
      <c r="M52" s="10">
        <f>IF(ISNUMBER(tblClean[[#This Row],[Date]]),tblClean[[#This Row],[Date]]-WEEKDAY(tblClean[[#This Row],[Date]],2)+1,"")</f>
        <v>45817</v>
      </c>
      <c r="N52" s="23">
        <f>IF(ISNUMBER(tblClean[[#This Row],[Week Start]]),(tblClean[[#This Row],[Week Start]]-MIN(tblClean[Week Start]))/7+1,"")</f>
        <v>2</v>
      </c>
      <c r="O52" s="24" t="str">
        <f>IF(ISNUMBER(tblClean[[#This Row],[Date]]),CHOOSE(WEEKDAY(tblClean[[#This Row],[Date]],2),"Mon","Tue","Wed","Thu","Fri","Sat","Sun"),"")</f>
        <v>Thu</v>
      </c>
      <c r="P52" s="24" t="str">
        <f>IF(ISNUMBER(tblClean[[#This Row],[Date]]),IF(WEEKDAY(tblClean[[#This Row],[Date]],2)&gt;=6,"Weekend","Weekday"),"")</f>
        <v>Weekday</v>
      </c>
      <c r="Q5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52" s="9" t="str">
        <f>IF(ISNUMBER(tblClean[[#This Row],[Duration Hours]]),IF(tblClean[[#This Row],[Duration Hours]]&lt;2,"Short (under 2h)",IF(tblClean[[#This Row],[Duration Hours]]&lt;3,"Standard (2h to under 3h)","Long (3h or more)")),"")</f>
        <v>Standard (2h to under 3h)</v>
      </c>
      <c r="S5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52" s="24">
        <f>IF(COUNTIF(tblClean[Session ID],tblClean[[#This Row],[Session ID]])&gt;1,1,0)</f>
        <v>0</v>
      </c>
      <c r="U52" s="24">
        <f>IF(OR(N(tblClean[[#This Row],[Attributed GMV PHP]])&lt;0,N(tblClean[[#This Row],[Items Sold]])&lt;0,N(tblClean[[#This Row],[Livestream Views]])&lt;0,N(tblClean[[#This Row],[New Followers]])&lt;0),1,0)</f>
        <v>0</v>
      </c>
      <c r="V52" s="24">
        <f>IF(ISNUMBER(tblClean[[#This Row],[Duration Hours]]),IF(OR(tblClean[[#This Row],[Duration Hours]]&lt;=0,tblClean[[#This Row],[Duration Hours]]&gt;12),1,0),1)</f>
        <v>0</v>
      </c>
      <c r="W52" s="24">
        <f>IF(COUNTIF(HostRoster,tblClean[[#This Row],[Host Name]])=0,1,0)</f>
        <v>0</v>
      </c>
      <c r="X52" s="24">
        <f>IF(tblClean[[#This Row],[Missing Flag]]+tblClean[[#This Row],[Duplicate Flag]]+tblClean[[#This Row],[Negative Flag]]+tblClean[[#This Row],[Duration Flag]]+tblClean[[#This Row],[Host Flag]]=0,1,0)</f>
        <v>1</v>
      </c>
    </row>
    <row r="53" spans="1:24" x14ac:dyDescent="0.3">
      <c r="A53" s="9" t="str">
        <f>TRIM('Raw Data'!A49)</f>
        <v>LS-0045</v>
      </c>
      <c r="B53" s="10">
        <f>IF(ISNUMBER('Raw Data'!B49),INT('Raw Data'!B49),IFERROR(DATEVALUE('Raw Data'!B49),""))</f>
        <v>45820</v>
      </c>
      <c r="C53" s="9" t="str">
        <f>PROPER(TRIM('Raw Data'!C49))</f>
        <v>Bianca Reyes</v>
      </c>
      <c r="D53" s="11">
        <f>IF(ISNUMBER('Raw Data'!D49),MOD('Raw Data'!D49,1),IFERROR(TIMEVALUE('Raw Data'!D49),""))</f>
        <v>0.91666666666666663</v>
      </c>
      <c r="E53" s="11">
        <f>IF(ISNUMBER('Raw Data'!E49),MOD('Raw Data'!E49,1),IFERROR(TIMEVALUE('Raw Data'!E49),""))</f>
        <v>2.0833333333333329E-2</v>
      </c>
      <c r="F53" s="12">
        <f>IF(ISNUMBER('Raw Data'!F49),'Raw Data'!F49,IFERROR(VALUE(SUBSTITUTE('Raw Data'!F49,",","")),""))</f>
        <v>6306</v>
      </c>
      <c r="G53" s="13">
        <f>IF(ISNUMBER('Raw Data'!G49),'Raw Data'!G49,IFERROR(VALUE(SUBSTITUTE('Raw Data'!G49,",","")),""))</f>
        <v>17</v>
      </c>
      <c r="H53" s="13">
        <f>IF(ISNUMBER('Raw Data'!H49),'Raw Data'!H49,IFERROR(VALUE(SUBSTITUTE('Raw Data'!H49,",","")),""))</f>
        <v>19388</v>
      </c>
      <c r="I53" s="13">
        <f>IF(ISNUMBER('Raw Data'!I49),'Raw Data'!I49,IFERROR(VALUE(SUBSTITUTE('Raw Data'!I49,",","")),""))</f>
        <v>232</v>
      </c>
      <c r="J53" s="21">
        <f>IF(AND(ISNUMBER(tblClean[[#This Row],[Start Time]]),ISNUMBER(tblClean[[#This Row],[End Time]])),ROUND(MOD(tblClean[[#This Row],[End Time]]-tblClean[[#This Row],[Start Time]],1)*24,2),"")</f>
        <v>2.5</v>
      </c>
      <c r="K53" s="12">
        <f>IF(AND(ISNUMBER(tblClean[[#This Row],[Duration Hours]]),ISNUMBER(tblClean[[#This Row],[Attributed GMV PHP]])),IF(tblClean[[#This Row],[Duration Hours]]&gt;0,tblClean[[#This Row],[Attributed GMV PHP]]/tblClean[[#This Row],[Duration Hours]],""),"")</f>
        <v>2522.4</v>
      </c>
      <c r="L53" s="22">
        <f>IF(ISNUMBER(tblClean[[#This Row],[Date]]),DATE(YEAR(tblClean[[#This Row],[Date]]),MONTH(tblClean[[#This Row],[Date]]),1),"")</f>
        <v>45809</v>
      </c>
      <c r="M53" s="10">
        <f>IF(ISNUMBER(tblClean[[#This Row],[Date]]),tblClean[[#This Row],[Date]]-WEEKDAY(tblClean[[#This Row],[Date]],2)+1,"")</f>
        <v>45817</v>
      </c>
      <c r="N53" s="23">
        <f>IF(ISNUMBER(tblClean[[#This Row],[Week Start]]),(tblClean[[#This Row],[Week Start]]-MIN(tblClean[Week Start]))/7+1,"")</f>
        <v>2</v>
      </c>
      <c r="O53" s="24" t="str">
        <f>IF(ISNUMBER(tblClean[[#This Row],[Date]]),CHOOSE(WEEKDAY(tblClean[[#This Row],[Date]],2),"Mon","Tue","Wed","Thu","Fri","Sat","Sun"),"")</f>
        <v>Thu</v>
      </c>
      <c r="P53" s="24" t="str">
        <f>IF(ISNUMBER(tblClean[[#This Row],[Date]]),IF(WEEKDAY(tblClean[[#This Row],[Date]],2)&gt;=6,"Weekend","Weekday"),"")</f>
        <v>Weekday</v>
      </c>
      <c r="Q5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53" s="9" t="str">
        <f>IF(ISNUMBER(tblClean[[#This Row],[Duration Hours]]),IF(tblClean[[#This Row],[Duration Hours]]&lt;2,"Short (under 2h)",IF(tblClean[[#This Row],[Duration Hours]]&lt;3,"Standard (2h to under 3h)","Long (3h or more)")),"")</f>
        <v>Standard (2h to under 3h)</v>
      </c>
      <c r="S5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53" s="24">
        <f>IF(COUNTIF(tblClean[Session ID],tblClean[[#This Row],[Session ID]])&gt;1,1,0)</f>
        <v>0</v>
      </c>
      <c r="U53" s="24">
        <f>IF(OR(N(tblClean[[#This Row],[Attributed GMV PHP]])&lt;0,N(tblClean[[#This Row],[Items Sold]])&lt;0,N(tblClean[[#This Row],[Livestream Views]])&lt;0,N(tblClean[[#This Row],[New Followers]])&lt;0),1,0)</f>
        <v>0</v>
      </c>
      <c r="V53" s="24">
        <f>IF(ISNUMBER(tblClean[[#This Row],[Duration Hours]]),IF(OR(tblClean[[#This Row],[Duration Hours]]&lt;=0,tblClean[[#This Row],[Duration Hours]]&gt;12),1,0),1)</f>
        <v>0</v>
      </c>
      <c r="W53" s="24">
        <f>IF(COUNTIF(HostRoster,tblClean[[#This Row],[Host Name]])=0,1,0)</f>
        <v>0</v>
      </c>
      <c r="X53" s="24">
        <f>IF(tblClean[[#This Row],[Missing Flag]]+tblClean[[#This Row],[Duplicate Flag]]+tblClean[[#This Row],[Negative Flag]]+tblClean[[#This Row],[Duration Flag]]+tblClean[[#This Row],[Host Flag]]=0,1,0)</f>
        <v>1</v>
      </c>
    </row>
    <row r="54" spans="1:24" x14ac:dyDescent="0.3">
      <c r="A54" s="9" t="str">
        <f>TRIM('Raw Data'!A50)</f>
        <v>LS-0046</v>
      </c>
      <c r="B54" s="10">
        <f>IF(ISNUMBER('Raw Data'!B50),INT('Raw Data'!B50),IFERROR(DATEVALUE('Raw Data'!B50),""))</f>
        <v>45821</v>
      </c>
      <c r="C54" s="9" t="str">
        <f>PROPER(TRIM('Raw Data'!C50))</f>
        <v>Bianca Reyes</v>
      </c>
      <c r="D54" s="11">
        <f>IF(ISNUMBER('Raw Data'!D50),MOD('Raw Data'!D50,1),IFERROR(TIMEVALUE('Raw Data'!D50),""))</f>
        <v>0.41666666666666669</v>
      </c>
      <c r="E54" s="11">
        <f>IF(ISNUMBER('Raw Data'!E50),MOD('Raw Data'!E50,1),IFERROR(TIMEVALUE('Raw Data'!E50),""))</f>
        <v>0.54166666666666663</v>
      </c>
      <c r="F54" s="12">
        <f>IF(ISNUMBER('Raw Data'!F50),'Raw Data'!F50,IFERROR(VALUE(SUBSTITUTE('Raw Data'!F50,",","")),""))</f>
        <v>38873</v>
      </c>
      <c r="G54" s="13">
        <f>IF(ISNUMBER('Raw Data'!G50),'Raw Data'!G50,IFERROR(VALUE(SUBSTITUTE('Raw Data'!G50,",","")),""))</f>
        <v>139</v>
      </c>
      <c r="H54" s="13">
        <f>IF(ISNUMBER('Raw Data'!H50),'Raw Data'!H50,IFERROR(VALUE(SUBSTITUTE('Raw Data'!H50,",","")),""))</f>
        <v>175646</v>
      </c>
      <c r="I54" s="13">
        <f>IF(ISNUMBER('Raw Data'!I50),'Raw Data'!I50,IFERROR(VALUE(SUBSTITUTE('Raw Data'!I50,",","")),""))</f>
        <v>1102</v>
      </c>
      <c r="J54" s="21">
        <f>IF(AND(ISNUMBER(tblClean[[#This Row],[Start Time]]),ISNUMBER(tblClean[[#This Row],[End Time]])),ROUND(MOD(tblClean[[#This Row],[End Time]]-tblClean[[#This Row],[Start Time]],1)*24,2),"")</f>
        <v>3</v>
      </c>
      <c r="K54" s="12">
        <f>IF(AND(ISNUMBER(tblClean[[#This Row],[Duration Hours]]),ISNUMBER(tblClean[[#This Row],[Attributed GMV PHP]])),IF(tblClean[[#This Row],[Duration Hours]]&gt;0,tblClean[[#This Row],[Attributed GMV PHP]]/tblClean[[#This Row],[Duration Hours]],""),"")</f>
        <v>12957.666666666666</v>
      </c>
      <c r="L54" s="22">
        <f>IF(ISNUMBER(tblClean[[#This Row],[Date]]),DATE(YEAR(tblClean[[#This Row],[Date]]),MONTH(tblClean[[#This Row],[Date]]),1),"")</f>
        <v>45809</v>
      </c>
      <c r="M54" s="10">
        <f>IF(ISNUMBER(tblClean[[#This Row],[Date]]),tblClean[[#This Row],[Date]]-WEEKDAY(tblClean[[#This Row],[Date]],2)+1,"")</f>
        <v>45817</v>
      </c>
      <c r="N54" s="23">
        <f>IF(ISNUMBER(tblClean[[#This Row],[Week Start]]),(tblClean[[#This Row],[Week Start]]-MIN(tblClean[Week Start]))/7+1,"")</f>
        <v>2</v>
      </c>
      <c r="O54" s="24" t="str">
        <f>IF(ISNUMBER(tblClean[[#This Row],[Date]]),CHOOSE(WEEKDAY(tblClean[[#This Row],[Date]],2),"Mon","Tue","Wed","Thu","Fri","Sat","Sun"),"")</f>
        <v>Fri</v>
      </c>
      <c r="P54" s="24" t="str">
        <f>IF(ISNUMBER(tblClean[[#This Row],[Date]]),IF(WEEKDAY(tblClean[[#This Row],[Date]],2)&gt;=6,"Weekend","Weekday"),"")</f>
        <v>Weekday</v>
      </c>
      <c r="Q5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54" s="9" t="str">
        <f>IF(ISNUMBER(tblClean[[#This Row],[Duration Hours]]),IF(tblClean[[#This Row],[Duration Hours]]&lt;2,"Short (under 2h)",IF(tblClean[[#This Row],[Duration Hours]]&lt;3,"Standard (2h to under 3h)","Long (3h or more)")),"")</f>
        <v>Long (3h or more)</v>
      </c>
      <c r="S5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54" s="24">
        <f>IF(COUNTIF(tblClean[Session ID],tblClean[[#This Row],[Session ID]])&gt;1,1,0)</f>
        <v>0</v>
      </c>
      <c r="U54" s="24">
        <f>IF(OR(N(tblClean[[#This Row],[Attributed GMV PHP]])&lt;0,N(tblClean[[#This Row],[Items Sold]])&lt;0,N(tblClean[[#This Row],[Livestream Views]])&lt;0,N(tblClean[[#This Row],[New Followers]])&lt;0),1,0)</f>
        <v>0</v>
      </c>
      <c r="V54" s="24">
        <f>IF(ISNUMBER(tblClean[[#This Row],[Duration Hours]]),IF(OR(tblClean[[#This Row],[Duration Hours]]&lt;=0,tblClean[[#This Row],[Duration Hours]]&gt;12),1,0),1)</f>
        <v>0</v>
      </c>
      <c r="W54" s="24">
        <f>IF(COUNTIF(HostRoster,tblClean[[#This Row],[Host Name]])=0,1,0)</f>
        <v>0</v>
      </c>
      <c r="X54" s="24">
        <f>IF(tblClean[[#This Row],[Missing Flag]]+tblClean[[#This Row],[Duplicate Flag]]+tblClean[[#This Row],[Negative Flag]]+tblClean[[#This Row],[Duration Flag]]+tblClean[[#This Row],[Host Flag]]=0,1,0)</f>
        <v>1</v>
      </c>
    </row>
    <row r="55" spans="1:24" x14ac:dyDescent="0.3">
      <c r="A55" s="9" t="str">
        <f>TRIM('Raw Data'!A51)</f>
        <v>LS-0047</v>
      </c>
      <c r="B55" s="10">
        <f>IF(ISNUMBER('Raw Data'!B51),INT('Raw Data'!B51),IFERROR(DATEVALUE('Raw Data'!B51),""))</f>
        <v>45821</v>
      </c>
      <c r="C55" s="9" t="str">
        <f>PROPER(TRIM('Raw Data'!C51))</f>
        <v>Bianca Reyes</v>
      </c>
      <c r="D55" s="11">
        <f>IF(ISNUMBER('Raw Data'!D51),MOD('Raw Data'!D51,1),IFERROR(TIMEVALUE('Raw Data'!D51),""))</f>
        <v>0.54166666666666663</v>
      </c>
      <c r="E55" s="11">
        <f>IF(ISNUMBER('Raw Data'!E51),MOD('Raw Data'!E51,1),IFERROR(TIMEVALUE('Raw Data'!E51),""))</f>
        <v>0.625</v>
      </c>
      <c r="F55" s="12">
        <f>IF(ISNUMBER('Raw Data'!F51),'Raw Data'!F51,IFERROR(VALUE(SUBSTITUTE('Raw Data'!F51,",","")),""))</f>
        <v>13983</v>
      </c>
      <c r="G55" s="13">
        <f>IF(ISNUMBER('Raw Data'!G51),'Raw Data'!G51,IFERROR(VALUE(SUBSTITUTE('Raw Data'!G51,",","")),""))</f>
        <v>34</v>
      </c>
      <c r="H55" s="13">
        <f>IF(ISNUMBER('Raw Data'!H51),'Raw Data'!H51,IFERROR(VALUE(SUBSTITUTE('Raw Data'!H51,",","")),""))</f>
        <v>70988</v>
      </c>
      <c r="I55" s="13">
        <f>IF(ISNUMBER('Raw Data'!I51),'Raw Data'!I51,IFERROR(VALUE(SUBSTITUTE('Raw Data'!I51,",","")),""))</f>
        <v>700</v>
      </c>
      <c r="J55" s="21">
        <f>IF(AND(ISNUMBER(tblClean[[#This Row],[Start Time]]),ISNUMBER(tblClean[[#This Row],[End Time]])),ROUND(MOD(tblClean[[#This Row],[End Time]]-tblClean[[#This Row],[Start Time]],1)*24,2),"")</f>
        <v>2</v>
      </c>
      <c r="K55" s="12">
        <f>IF(AND(ISNUMBER(tblClean[[#This Row],[Duration Hours]]),ISNUMBER(tblClean[[#This Row],[Attributed GMV PHP]])),IF(tblClean[[#This Row],[Duration Hours]]&gt;0,tblClean[[#This Row],[Attributed GMV PHP]]/tblClean[[#This Row],[Duration Hours]],""),"")</f>
        <v>6991.5</v>
      </c>
      <c r="L55" s="22">
        <f>IF(ISNUMBER(tblClean[[#This Row],[Date]]),DATE(YEAR(tblClean[[#This Row],[Date]]),MONTH(tblClean[[#This Row],[Date]]),1),"")</f>
        <v>45809</v>
      </c>
      <c r="M55" s="10">
        <f>IF(ISNUMBER(tblClean[[#This Row],[Date]]),tblClean[[#This Row],[Date]]-WEEKDAY(tblClean[[#This Row],[Date]],2)+1,"")</f>
        <v>45817</v>
      </c>
      <c r="N55" s="23">
        <f>IF(ISNUMBER(tblClean[[#This Row],[Week Start]]),(tblClean[[#This Row],[Week Start]]-MIN(tblClean[Week Start]))/7+1,"")</f>
        <v>2</v>
      </c>
      <c r="O55" s="24" t="str">
        <f>IF(ISNUMBER(tblClean[[#This Row],[Date]]),CHOOSE(WEEKDAY(tblClean[[#This Row],[Date]],2),"Mon","Tue","Wed","Thu","Fri","Sat","Sun"),"")</f>
        <v>Fri</v>
      </c>
      <c r="P55" s="24" t="str">
        <f>IF(ISNUMBER(tblClean[[#This Row],[Date]]),IF(WEEKDAY(tblClean[[#This Row],[Date]],2)&gt;=6,"Weekend","Weekday"),"")</f>
        <v>Weekday</v>
      </c>
      <c r="Q5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55" s="9" t="str">
        <f>IF(ISNUMBER(tblClean[[#This Row],[Duration Hours]]),IF(tblClean[[#This Row],[Duration Hours]]&lt;2,"Short (under 2h)",IF(tblClean[[#This Row],[Duration Hours]]&lt;3,"Standard (2h to under 3h)","Long (3h or more)")),"")</f>
        <v>Standard (2h to under 3h)</v>
      </c>
      <c r="S5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55" s="24">
        <f>IF(COUNTIF(tblClean[Session ID],tblClean[[#This Row],[Session ID]])&gt;1,1,0)</f>
        <v>0</v>
      </c>
      <c r="U55" s="24">
        <f>IF(OR(N(tblClean[[#This Row],[Attributed GMV PHP]])&lt;0,N(tblClean[[#This Row],[Items Sold]])&lt;0,N(tblClean[[#This Row],[Livestream Views]])&lt;0,N(tblClean[[#This Row],[New Followers]])&lt;0),1,0)</f>
        <v>0</v>
      </c>
      <c r="V55" s="24">
        <f>IF(ISNUMBER(tblClean[[#This Row],[Duration Hours]]),IF(OR(tblClean[[#This Row],[Duration Hours]]&lt;=0,tblClean[[#This Row],[Duration Hours]]&gt;12),1,0),1)</f>
        <v>0</v>
      </c>
      <c r="W55" s="24">
        <f>IF(COUNTIF(HostRoster,tblClean[[#This Row],[Host Name]])=0,1,0)</f>
        <v>0</v>
      </c>
      <c r="X55" s="24">
        <f>IF(tblClean[[#This Row],[Missing Flag]]+tblClean[[#This Row],[Duplicate Flag]]+tblClean[[#This Row],[Negative Flag]]+tblClean[[#This Row],[Duration Flag]]+tblClean[[#This Row],[Host Flag]]=0,1,0)</f>
        <v>1</v>
      </c>
    </row>
    <row r="56" spans="1:24" x14ac:dyDescent="0.3">
      <c r="A56" s="9" t="str">
        <f>TRIM('Raw Data'!A52)</f>
        <v>LS-0048</v>
      </c>
      <c r="B56" s="10">
        <f>IF(ISNUMBER('Raw Data'!B52),INT('Raw Data'!B52),IFERROR(DATEVALUE('Raw Data'!B52),""))</f>
        <v>45821</v>
      </c>
      <c r="C56" s="9" t="str">
        <f>PROPER(TRIM('Raw Data'!C52))</f>
        <v>Carlo Mendoza</v>
      </c>
      <c r="D56" s="11">
        <f>IF(ISNUMBER('Raw Data'!D52),MOD('Raw Data'!D52,1),IFERROR(TIMEVALUE('Raw Data'!D52),""))</f>
        <v>0.66666666666666663</v>
      </c>
      <c r="E56" s="11">
        <f>IF(ISNUMBER('Raw Data'!E52),MOD('Raw Data'!E52,1),IFERROR(TIMEVALUE('Raw Data'!E52),""))</f>
        <v>0.79166666666666663</v>
      </c>
      <c r="F56" s="12">
        <f>IF(ISNUMBER('Raw Data'!F52),'Raw Data'!F52,IFERROR(VALUE(SUBSTITUTE('Raw Data'!F52,",","")),""))</f>
        <v>12609</v>
      </c>
      <c r="G56" s="13">
        <f>IF(ISNUMBER('Raw Data'!G52),'Raw Data'!G52,IFERROR(VALUE(SUBSTITUTE('Raw Data'!G52,",","")),""))</f>
        <v>37</v>
      </c>
      <c r="H56" s="13">
        <f>IF(ISNUMBER('Raw Data'!H52),'Raw Data'!H52,IFERROR(VALUE(SUBSTITUTE('Raw Data'!H52,",","")),""))</f>
        <v>31074</v>
      </c>
      <c r="I56" s="13">
        <f>IF(ISNUMBER('Raw Data'!I52),'Raw Data'!I52,IFERROR(VALUE(SUBSTITUTE('Raw Data'!I52,",","")),""))</f>
        <v>153</v>
      </c>
      <c r="J56" s="21">
        <f>IF(AND(ISNUMBER(tblClean[[#This Row],[Start Time]]),ISNUMBER(tblClean[[#This Row],[End Time]])),ROUND(MOD(tblClean[[#This Row],[End Time]]-tblClean[[#This Row],[Start Time]],1)*24,2),"")</f>
        <v>3</v>
      </c>
      <c r="K56" s="12">
        <f>IF(AND(ISNUMBER(tblClean[[#This Row],[Duration Hours]]),ISNUMBER(tblClean[[#This Row],[Attributed GMV PHP]])),IF(tblClean[[#This Row],[Duration Hours]]&gt;0,tblClean[[#This Row],[Attributed GMV PHP]]/tblClean[[#This Row],[Duration Hours]],""),"")</f>
        <v>4203</v>
      </c>
      <c r="L56" s="22">
        <f>IF(ISNUMBER(tblClean[[#This Row],[Date]]),DATE(YEAR(tblClean[[#This Row],[Date]]),MONTH(tblClean[[#This Row],[Date]]),1),"")</f>
        <v>45809</v>
      </c>
      <c r="M56" s="10">
        <f>IF(ISNUMBER(tblClean[[#This Row],[Date]]),tblClean[[#This Row],[Date]]-WEEKDAY(tblClean[[#This Row],[Date]],2)+1,"")</f>
        <v>45817</v>
      </c>
      <c r="N56" s="23">
        <f>IF(ISNUMBER(tblClean[[#This Row],[Week Start]]),(tblClean[[#This Row],[Week Start]]-MIN(tblClean[Week Start]))/7+1,"")</f>
        <v>2</v>
      </c>
      <c r="O56" s="24" t="str">
        <f>IF(ISNUMBER(tblClean[[#This Row],[Date]]),CHOOSE(WEEKDAY(tblClean[[#This Row],[Date]],2),"Mon","Tue","Wed","Thu","Fri","Sat","Sun"),"")</f>
        <v>Fri</v>
      </c>
      <c r="P56" s="24" t="str">
        <f>IF(ISNUMBER(tblClean[[#This Row],[Date]]),IF(WEEKDAY(tblClean[[#This Row],[Date]],2)&gt;=6,"Weekend","Weekday"),"")</f>
        <v>Weekday</v>
      </c>
      <c r="Q5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56" s="9" t="str">
        <f>IF(ISNUMBER(tblClean[[#This Row],[Duration Hours]]),IF(tblClean[[#This Row],[Duration Hours]]&lt;2,"Short (under 2h)",IF(tblClean[[#This Row],[Duration Hours]]&lt;3,"Standard (2h to under 3h)","Long (3h or more)")),"")</f>
        <v>Long (3h or more)</v>
      </c>
      <c r="S5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56" s="24">
        <f>IF(COUNTIF(tblClean[Session ID],tblClean[[#This Row],[Session ID]])&gt;1,1,0)</f>
        <v>0</v>
      </c>
      <c r="U56" s="24">
        <f>IF(OR(N(tblClean[[#This Row],[Attributed GMV PHP]])&lt;0,N(tblClean[[#This Row],[Items Sold]])&lt;0,N(tblClean[[#This Row],[Livestream Views]])&lt;0,N(tblClean[[#This Row],[New Followers]])&lt;0),1,0)</f>
        <v>0</v>
      </c>
      <c r="V56" s="24">
        <f>IF(ISNUMBER(tblClean[[#This Row],[Duration Hours]]),IF(OR(tblClean[[#This Row],[Duration Hours]]&lt;=0,tblClean[[#This Row],[Duration Hours]]&gt;12),1,0),1)</f>
        <v>0</v>
      </c>
      <c r="W56" s="24">
        <f>IF(COUNTIF(HostRoster,tblClean[[#This Row],[Host Name]])=0,1,0)</f>
        <v>0</v>
      </c>
      <c r="X56" s="24">
        <f>IF(tblClean[[#This Row],[Missing Flag]]+tblClean[[#This Row],[Duplicate Flag]]+tblClean[[#This Row],[Negative Flag]]+tblClean[[#This Row],[Duration Flag]]+tblClean[[#This Row],[Host Flag]]=0,1,0)</f>
        <v>1</v>
      </c>
    </row>
    <row r="57" spans="1:24" x14ac:dyDescent="0.3">
      <c r="A57" s="9" t="str">
        <f>TRIM('Raw Data'!A53)</f>
        <v>LS-0049</v>
      </c>
      <c r="B57" s="10">
        <f>IF(ISNUMBER('Raw Data'!B53),INT('Raw Data'!B53),IFERROR(DATEVALUE('Raw Data'!B53),""))</f>
        <v>45821</v>
      </c>
      <c r="C57" s="9" t="str">
        <f>PROPER(TRIM('Raw Data'!C53))</f>
        <v>Bianca Reyes</v>
      </c>
      <c r="D57" s="11">
        <f>IF(ISNUMBER('Raw Data'!D53),MOD('Raw Data'!D53,1),IFERROR(TIMEVALUE('Raw Data'!D53),""))</f>
        <v>0.79166666666666663</v>
      </c>
      <c r="E57" s="11">
        <f>IF(ISNUMBER('Raw Data'!E53),MOD('Raw Data'!E53,1),IFERROR(TIMEVALUE('Raw Data'!E53),""))</f>
        <v>0.89583333333333337</v>
      </c>
      <c r="F57" s="12">
        <f>IF(ISNUMBER('Raw Data'!F53),'Raw Data'!F53,IFERROR(VALUE(SUBSTITUTE('Raw Data'!F53,",","")),""))</f>
        <v>58437</v>
      </c>
      <c r="G57" s="13">
        <f>IF(ISNUMBER('Raw Data'!G53),'Raw Data'!G53,IFERROR(VALUE(SUBSTITUTE('Raw Data'!G53,",","")),""))</f>
        <v>146</v>
      </c>
      <c r="H57" s="13">
        <f>IF(ISNUMBER('Raw Data'!H53),'Raw Data'!H53,IFERROR(VALUE(SUBSTITUTE('Raw Data'!H53,",","")),""))</f>
        <v>235872</v>
      </c>
      <c r="I57" s="13">
        <f>IF(ISNUMBER('Raw Data'!I53),'Raw Data'!I53,IFERROR(VALUE(SUBSTITUTE('Raw Data'!I53,",","")),""))</f>
        <v>1554</v>
      </c>
      <c r="J57" s="21">
        <f>IF(AND(ISNUMBER(tblClean[[#This Row],[Start Time]]),ISNUMBER(tblClean[[#This Row],[End Time]])),ROUND(MOD(tblClean[[#This Row],[End Time]]-tblClean[[#This Row],[Start Time]],1)*24,2),"")</f>
        <v>2.5</v>
      </c>
      <c r="K57" s="12">
        <f>IF(AND(ISNUMBER(tblClean[[#This Row],[Duration Hours]]),ISNUMBER(tblClean[[#This Row],[Attributed GMV PHP]])),IF(tblClean[[#This Row],[Duration Hours]]&gt;0,tblClean[[#This Row],[Attributed GMV PHP]]/tblClean[[#This Row],[Duration Hours]],""),"")</f>
        <v>23374.799999999999</v>
      </c>
      <c r="L57" s="22">
        <f>IF(ISNUMBER(tblClean[[#This Row],[Date]]),DATE(YEAR(tblClean[[#This Row],[Date]]),MONTH(tblClean[[#This Row],[Date]]),1),"")</f>
        <v>45809</v>
      </c>
      <c r="M57" s="10">
        <f>IF(ISNUMBER(tblClean[[#This Row],[Date]]),tblClean[[#This Row],[Date]]-WEEKDAY(tblClean[[#This Row],[Date]],2)+1,"")</f>
        <v>45817</v>
      </c>
      <c r="N57" s="23">
        <f>IF(ISNUMBER(tblClean[[#This Row],[Week Start]]),(tblClean[[#This Row],[Week Start]]-MIN(tblClean[Week Start]))/7+1,"")</f>
        <v>2</v>
      </c>
      <c r="O57" s="24" t="str">
        <f>IF(ISNUMBER(tblClean[[#This Row],[Date]]),CHOOSE(WEEKDAY(tblClean[[#This Row],[Date]],2),"Mon","Tue","Wed","Thu","Fri","Sat","Sun"),"")</f>
        <v>Fri</v>
      </c>
      <c r="P57" s="24" t="str">
        <f>IF(ISNUMBER(tblClean[[#This Row],[Date]]),IF(WEEKDAY(tblClean[[#This Row],[Date]],2)&gt;=6,"Weekend","Weekday"),"")</f>
        <v>Weekday</v>
      </c>
      <c r="Q5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57" s="9" t="str">
        <f>IF(ISNUMBER(tblClean[[#This Row],[Duration Hours]]),IF(tblClean[[#This Row],[Duration Hours]]&lt;2,"Short (under 2h)",IF(tblClean[[#This Row],[Duration Hours]]&lt;3,"Standard (2h to under 3h)","Long (3h or more)")),"")</f>
        <v>Standard (2h to under 3h)</v>
      </c>
      <c r="S5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57" s="24">
        <f>IF(COUNTIF(tblClean[Session ID],tblClean[[#This Row],[Session ID]])&gt;1,1,0)</f>
        <v>0</v>
      </c>
      <c r="U57" s="24">
        <f>IF(OR(N(tblClean[[#This Row],[Attributed GMV PHP]])&lt;0,N(tblClean[[#This Row],[Items Sold]])&lt;0,N(tblClean[[#This Row],[Livestream Views]])&lt;0,N(tblClean[[#This Row],[New Followers]])&lt;0),1,0)</f>
        <v>0</v>
      </c>
      <c r="V57" s="24">
        <f>IF(ISNUMBER(tblClean[[#This Row],[Duration Hours]]),IF(OR(tblClean[[#This Row],[Duration Hours]]&lt;=0,tblClean[[#This Row],[Duration Hours]]&gt;12),1,0),1)</f>
        <v>0</v>
      </c>
      <c r="W57" s="24">
        <f>IF(COUNTIF(HostRoster,tblClean[[#This Row],[Host Name]])=0,1,0)</f>
        <v>0</v>
      </c>
      <c r="X57" s="24">
        <f>IF(tblClean[[#This Row],[Missing Flag]]+tblClean[[#This Row],[Duplicate Flag]]+tblClean[[#This Row],[Negative Flag]]+tblClean[[#This Row],[Duration Flag]]+tblClean[[#This Row],[Host Flag]]=0,1,0)</f>
        <v>1</v>
      </c>
    </row>
    <row r="58" spans="1:24" x14ac:dyDescent="0.3">
      <c r="A58" s="9" t="str">
        <f>TRIM('Raw Data'!A54)</f>
        <v>LS-0050</v>
      </c>
      <c r="B58" s="10">
        <f>IF(ISNUMBER('Raw Data'!B54),INT('Raw Data'!B54),IFERROR(DATEVALUE('Raw Data'!B54),""))</f>
        <v>45822</v>
      </c>
      <c r="C58" s="9" t="str">
        <f>PROPER(TRIM('Raw Data'!C54))</f>
        <v>Bianca Reyes</v>
      </c>
      <c r="D58" s="11">
        <f>IF(ISNUMBER('Raw Data'!D54),MOD('Raw Data'!D54,1),IFERROR(TIMEVALUE('Raw Data'!D54),""))</f>
        <v>0.41666666666666669</v>
      </c>
      <c r="E58" s="11">
        <f>IF(ISNUMBER('Raw Data'!E54),MOD('Raw Data'!E54,1),IFERROR(TIMEVALUE('Raw Data'!E54),""))</f>
        <v>0.5</v>
      </c>
      <c r="F58" s="12">
        <f>IF(ISNUMBER('Raw Data'!F54),'Raw Data'!F54,IFERROR(VALUE(SUBSTITUTE('Raw Data'!F54,",","")),""))</f>
        <v>17708</v>
      </c>
      <c r="G58" s="13">
        <f>IF(ISNUMBER('Raw Data'!G54),'Raw Data'!G54,IFERROR(VALUE(SUBSTITUTE('Raw Data'!G54,",","")),""))</f>
        <v>53</v>
      </c>
      <c r="H58" s="13">
        <f>IF(ISNUMBER('Raw Data'!H54),'Raw Data'!H54,IFERROR(VALUE(SUBSTITUTE('Raw Data'!H54,",","")),""))</f>
        <v>55615</v>
      </c>
      <c r="I58" s="13">
        <f>IF(ISNUMBER('Raw Data'!I54),'Raw Data'!I54,IFERROR(VALUE(SUBSTITUTE('Raw Data'!I54,",","")),""))</f>
        <v>398</v>
      </c>
      <c r="J58" s="21">
        <f>IF(AND(ISNUMBER(tblClean[[#This Row],[Start Time]]),ISNUMBER(tblClean[[#This Row],[End Time]])),ROUND(MOD(tblClean[[#This Row],[End Time]]-tblClean[[#This Row],[Start Time]],1)*24,2),"")</f>
        <v>2</v>
      </c>
      <c r="K58" s="12">
        <f>IF(AND(ISNUMBER(tblClean[[#This Row],[Duration Hours]]),ISNUMBER(tblClean[[#This Row],[Attributed GMV PHP]])),IF(tblClean[[#This Row],[Duration Hours]]&gt;0,tblClean[[#This Row],[Attributed GMV PHP]]/tblClean[[#This Row],[Duration Hours]],""),"")</f>
        <v>8854</v>
      </c>
      <c r="L58" s="22">
        <f>IF(ISNUMBER(tblClean[[#This Row],[Date]]),DATE(YEAR(tblClean[[#This Row],[Date]]),MONTH(tblClean[[#This Row],[Date]]),1),"")</f>
        <v>45809</v>
      </c>
      <c r="M58" s="10">
        <f>IF(ISNUMBER(tblClean[[#This Row],[Date]]),tblClean[[#This Row],[Date]]-WEEKDAY(tblClean[[#This Row],[Date]],2)+1,"")</f>
        <v>45817</v>
      </c>
      <c r="N58" s="23">
        <f>IF(ISNUMBER(tblClean[[#This Row],[Week Start]]),(tblClean[[#This Row],[Week Start]]-MIN(tblClean[Week Start]))/7+1,"")</f>
        <v>2</v>
      </c>
      <c r="O58" s="24" t="str">
        <f>IF(ISNUMBER(tblClean[[#This Row],[Date]]),CHOOSE(WEEKDAY(tblClean[[#This Row],[Date]],2),"Mon","Tue","Wed","Thu","Fri","Sat","Sun"),"")</f>
        <v>Sat</v>
      </c>
      <c r="P58" s="24" t="str">
        <f>IF(ISNUMBER(tblClean[[#This Row],[Date]]),IF(WEEKDAY(tblClean[[#This Row],[Date]],2)&gt;=6,"Weekend","Weekday"),"")</f>
        <v>Weekend</v>
      </c>
      <c r="Q5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58" s="9" t="str">
        <f>IF(ISNUMBER(tblClean[[#This Row],[Duration Hours]]),IF(tblClean[[#This Row],[Duration Hours]]&lt;2,"Short (under 2h)",IF(tblClean[[#This Row],[Duration Hours]]&lt;3,"Standard (2h to under 3h)","Long (3h or more)")),"")</f>
        <v>Standard (2h to under 3h)</v>
      </c>
      <c r="S5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58" s="24">
        <f>IF(COUNTIF(tblClean[Session ID],tblClean[[#This Row],[Session ID]])&gt;1,1,0)</f>
        <v>0</v>
      </c>
      <c r="U58" s="24">
        <f>IF(OR(N(tblClean[[#This Row],[Attributed GMV PHP]])&lt;0,N(tblClean[[#This Row],[Items Sold]])&lt;0,N(tblClean[[#This Row],[Livestream Views]])&lt;0,N(tblClean[[#This Row],[New Followers]])&lt;0),1,0)</f>
        <v>0</v>
      </c>
      <c r="V58" s="24">
        <f>IF(ISNUMBER(tblClean[[#This Row],[Duration Hours]]),IF(OR(tblClean[[#This Row],[Duration Hours]]&lt;=0,tblClean[[#This Row],[Duration Hours]]&gt;12),1,0),1)</f>
        <v>0</v>
      </c>
      <c r="W58" s="24">
        <f>IF(COUNTIF(HostRoster,tblClean[[#This Row],[Host Name]])=0,1,0)</f>
        <v>0</v>
      </c>
      <c r="X58" s="24">
        <f>IF(tblClean[[#This Row],[Missing Flag]]+tblClean[[#This Row],[Duplicate Flag]]+tblClean[[#This Row],[Negative Flag]]+tblClean[[#This Row],[Duration Flag]]+tblClean[[#This Row],[Host Flag]]=0,1,0)</f>
        <v>1</v>
      </c>
    </row>
    <row r="59" spans="1:24" x14ac:dyDescent="0.3">
      <c r="A59" s="9" t="str">
        <f>TRIM('Raw Data'!A55)</f>
        <v>LS-0051</v>
      </c>
      <c r="B59" s="10">
        <f>IF(ISNUMBER('Raw Data'!B55),INT('Raw Data'!B55),IFERROR(DATEVALUE('Raw Data'!B55),""))</f>
        <v>45822</v>
      </c>
      <c r="C59" s="9" t="str">
        <f>PROPER(TRIM('Raw Data'!C55))</f>
        <v>Dani Villanueva</v>
      </c>
      <c r="D59" s="11">
        <f>IF(ISNUMBER('Raw Data'!D55),MOD('Raw Data'!D55,1),IFERROR(TIMEVALUE('Raw Data'!D55),""))</f>
        <v>0.54166666666666663</v>
      </c>
      <c r="E59" s="11">
        <f>IF(ISNUMBER('Raw Data'!E55),MOD('Raw Data'!E55,1),IFERROR(TIMEVALUE('Raw Data'!E55),""))</f>
        <v>0.625</v>
      </c>
      <c r="F59" s="12">
        <f>IF(ISNUMBER('Raw Data'!F55),'Raw Data'!F55,IFERROR(VALUE(SUBSTITUTE('Raw Data'!F55,",","")),""))</f>
        <v>21887</v>
      </c>
      <c r="G59" s="13">
        <f>IF(ISNUMBER('Raw Data'!G55),'Raw Data'!G55,IFERROR(VALUE(SUBSTITUTE('Raw Data'!G55,",","")),""))</f>
        <v>58</v>
      </c>
      <c r="H59" s="13">
        <f>IF(ISNUMBER('Raw Data'!H55),'Raw Data'!H55,IFERROR(VALUE(SUBSTITUTE('Raw Data'!H55,",","")),""))</f>
        <v>90332</v>
      </c>
      <c r="I59" s="13">
        <f>IF(ISNUMBER('Raw Data'!I55),'Raw Data'!I55,IFERROR(VALUE(SUBSTITUTE('Raw Data'!I55,",","")),""))</f>
        <v>568</v>
      </c>
      <c r="J59" s="21">
        <f>IF(AND(ISNUMBER(tblClean[[#This Row],[Start Time]]),ISNUMBER(tblClean[[#This Row],[End Time]])),ROUND(MOD(tblClean[[#This Row],[End Time]]-tblClean[[#This Row],[Start Time]],1)*24,2),"")</f>
        <v>2</v>
      </c>
      <c r="K59" s="12">
        <f>IF(AND(ISNUMBER(tblClean[[#This Row],[Duration Hours]]),ISNUMBER(tblClean[[#This Row],[Attributed GMV PHP]])),IF(tblClean[[#This Row],[Duration Hours]]&gt;0,tblClean[[#This Row],[Attributed GMV PHP]]/tblClean[[#This Row],[Duration Hours]],""),"")</f>
        <v>10943.5</v>
      </c>
      <c r="L59" s="22">
        <f>IF(ISNUMBER(tblClean[[#This Row],[Date]]),DATE(YEAR(tblClean[[#This Row],[Date]]),MONTH(tblClean[[#This Row],[Date]]),1),"")</f>
        <v>45809</v>
      </c>
      <c r="M59" s="10">
        <f>IF(ISNUMBER(tblClean[[#This Row],[Date]]),tblClean[[#This Row],[Date]]-WEEKDAY(tblClean[[#This Row],[Date]],2)+1,"")</f>
        <v>45817</v>
      </c>
      <c r="N59" s="23">
        <f>IF(ISNUMBER(tblClean[[#This Row],[Week Start]]),(tblClean[[#This Row],[Week Start]]-MIN(tblClean[Week Start]))/7+1,"")</f>
        <v>2</v>
      </c>
      <c r="O59" s="24" t="str">
        <f>IF(ISNUMBER(tblClean[[#This Row],[Date]]),CHOOSE(WEEKDAY(tblClean[[#This Row],[Date]],2),"Mon","Tue","Wed","Thu","Fri","Sat","Sun"),"")</f>
        <v>Sat</v>
      </c>
      <c r="P59" s="24" t="str">
        <f>IF(ISNUMBER(tblClean[[#This Row],[Date]]),IF(WEEKDAY(tblClean[[#This Row],[Date]],2)&gt;=6,"Weekend","Weekday"),"")</f>
        <v>Weekend</v>
      </c>
      <c r="Q5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59" s="9" t="str">
        <f>IF(ISNUMBER(tblClean[[#This Row],[Duration Hours]]),IF(tblClean[[#This Row],[Duration Hours]]&lt;2,"Short (under 2h)",IF(tblClean[[#This Row],[Duration Hours]]&lt;3,"Standard (2h to under 3h)","Long (3h or more)")),"")</f>
        <v>Standard (2h to under 3h)</v>
      </c>
      <c r="S5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59" s="24">
        <f>IF(COUNTIF(tblClean[Session ID],tblClean[[#This Row],[Session ID]])&gt;1,1,0)</f>
        <v>0</v>
      </c>
      <c r="U59" s="24">
        <f>IF(OR(N(tblClean[[#This Row],[Attributed GMV PHP]])&lt;0,N(tblClean[[#This Row],[Items Sold]])&lt;0,N(tblClean[[#This Row],[Livestream Views]])&lt;0,N(tblClean[[#This Row],[New Followers]])&lt;0),1,0)</f>
        <v>0</v>
      </c>
      <c r="V59" s="24">
        <f>IF(ISNUMBER(tblClean[[#This Row],[Duration Hours]]),IF(OR(tblClean[[#This Row],[Duration Hours]]&lt;=0,tblClean[[#This Row],[Duration Hours]]&gt;12),1,0),1)</f>
        <v>0</v>
      </c>
      <c r="W59" s="24">
        <f>IF(COUNTIF(HostRoster,tblClean[[#This Row],[Host Name]])=0,1,0)</f>
        <v>0</v>
      </c>
      <c r="X59" s="24">
        <f>IF(tblClean[[#This Row],[Missing Flag]]+tblClean[[#This Row],[Duplicate Flag]]+tblClean[[#This Row],[Negative Flag]]+tblClean[[#This Row],[Duration Flag]]+tblClean[[#This Row],[Host Flag]]=0,1,0)</f>
        <v>1</v>
      </c>
    </row>
    <row r="60" spans="1:24" x14ac:dyDescent="0.3">
      <c r="A60" s="9" t="str">
        <f>TRIM('Raw Data'!A56)</f>
        <v>LS-0052</v>
      </c>
      <c r="B60" s="10">
        <f>IF(ISNUMBER('Raw Data'!B56),INT('Raw Data'!B56),IFERROR(DATEVALUE('Raw Data'!B56),""))</f>
        <v>45822</v>
      </c>
      <c r="C60" s="9" t="str">
        <f>PROPER(TRIM('Raw Data'!C56))</f>
        <v>Carlo Mendoza</v>
      </c>
      <c r="D60" s="11">
        <f>IF(ISNUMBER('Raw Data'!D56),MOD('Raw Data'!D56,1),IFERROR(TIMEVALUE('Raw Data'!D56),""))</f>
        <v>0.66666666666666663</v>
      </c>
      <c r="E60" s="11">
        <f>IF(ISNUMBER('Raw Data'!E56),MOD('Raw Data'!E56,1),IFERROR(TIMEVALUE('Raw Data'!E56),""))</f>
        <v>0.77083333333333337</v>
      </c>
      <c r="F60" s="12">
        <f>IF(ISNUMBER('Raw Data'!F56),'Raw Data'!F56,IFERROR(VALUE(SUBSTITUTE('Raw Data'!F56,",","")),""))</f>
        <v>46792</v>
      </c>
      <c r="G60" s="13">
        <f>IF(ISNUMBER('Raw Data'!G56),'Raw Data'!G56,IFERROR(VALUE(SUBSTITUTE('Raw Data'!G56,",","")),""))</f>
        <v>142</v>
      </c>
      <c r="H60" s="13">
        <f>IF(ISNUMBER('Raw Data'!H56),'Raw Data'!H56,IFERROR(VALUE(SUBSTITUTE('Raw Data'!H56,",","")),""))</f>
        <v>181510</v>
      </c>
      <c r="I60" s="13">
        <f>IF(ISNUMBER('Raw Data'!I56),'Raw Data'!I56,IFERROR(VALUE(SUBSTITUTE('Raw Data'!I56,",","")),""))</f>
        <v>1227</v>
      </c>
      <c r="J60" s="21">
        <f>IF(AND(ISNUMBER(tblClean[[#This Row],[Start Time]]),ISNUMBER(tblClean[[#This Row],[End Time]])),ROUND(MOD(tblClean[[#This Row],[End Time]]-tblClean[[#This Row],[Start Time]],1)*24,2),"")</f>
        <v>2.5</v>
      </c>
      <c r="K60" s="12">
        <f>IF(AND(ISNUMBER(tblClean[[#This Row],[Duration Hours]]),ISNUMBER(tblClean[[#This Row],[Attributed GMV PHP]])),IF(tblClean[[#This Row],[Duration Hours]]&gt;0,tblClean[[#This Row],[Attributed GMV PHP]]/tblClean[[#This Row],[Duration Hours]],""),"")</f>
        <v>18716.8</v>
      </c>
      <c r="L60" s="22">
        <f>IF(ISNUMBER(tblClean[[#This Row],[Date]]),DATE(YEAR(tblClean[[#This Row],[Date]]),MONTH(tblClean[[#This Row],[Date]]),1),"")</f>
        <v>45809</v>
      </c>
      <c r="M60" s="10">
        <f>IF(ISNUMBER(tblClean[[#This Row],[Date]]),tblClean[[#This Row],[Date]]-WEEKDAY(tblClean[[#This Row],[Date]],2)+1,"")</f>
        <v>45817</v>
      </c>
      <c r="N60" s="23">
        <f>IF(ISNUMBER(tblClean[[#This Row],[Week Start]]),(tblClean[[#This Row],[Week Start]]-MIN(tblClean[Week Start]))/7+1,"")</f>
        <v>2</v>
      </c>
      <c r="O60" s="24" t="str">
        <f>IF(ISNUMBER(tblClean[[#This Row],[Date]]),CHOOSE(WEEKDAY(tblClean[[#This Row],[Date]],2),"Mon","Tue","Wed","Thu","Fri","Sat","Sun"),"")</f>
        <v>Sat</v>
      </c>
      <c r="P60" s="24" t="str">
        <f>IF(ISNUMBER(tblClean[[#This Row],[Date]]),IF(WEEKDAY(tblClean[[#This Row],[Date]],2)&gt;=6,"Weekend","Weekday"),"")</f>
        <v>Weekend</v>
      </c>
      <c r="Q6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60" s="9" t="str">
        <f>IF(ISNUMBER(tblClean[[#This Row],[Duration Hours]]),IF(tblClean[[#This Row],[Duration Hours]]&lt;2,"Short (under 2h)",IF(tblClean[[#This Row],[Duration Hours]]&lt;3,"Standard (2h to under 3h)","Long (3h or more)")),"")</f>
        <v>Standard (2h to under 3h)</v>
      </c>
      <c r="S6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60" s="24">
        <f>IF(COUNTIF(tblClean[Session ID],tblClean[[#This Row],[Session ID]])&gt;1,1,0)</f>
        <v>0</v>
      </c>
      <c r="U60" s="24">
        <f>IF(OR(N(tblClean[[#This Row],[Attributed GMV PHP]])&lt;0,N(tblClean[[#This Row],[Items Sold]])&lt;0,N(tblClean[[#This Row],[Livestream Views]])&lt;0,N(tblClean[[#This Row],[New Followers]])&lt;0),1,0)</f>
        <v>0</v>
      </c>
      <c r="V60" s="24">
        <f>IF(ISNUMBER(tblClean[[#This Row],[Duration Hours]]),IF(OR(tblClean[[#This Row],[Duration Hours]]&lt;=0,tblClean[[#This Row],[Duration Hours]]&gt;12),1,0),1)</f>
        <v>0</v>
      </c>
      <c r="W60" s="24">
        <f>IF(COUNTIF(HostRoster,tblClean[[#This Row],[Host Name]])=0,1,0)</f>
        <v>0</v>
      </c>
      <c r="X60" s="24">
        <f>IF(tblClean[[#This Row],[Missing Flag]]+tblClean[[#This Row],[Duplicate Flag]]+tblClean[[#This Row],[Negative Flag]]+tblClean[[#This Row],[Duration Flag]]+tblClean[[#This Row],[Host Flag]]=0,1,0)</f>
        <v>1</v>
      </c>
    </row>
    <row r="61" spans="1:24" x14ac:dyDescent="0.3">
      <c r="A61" s="9" t="str">
        <f>TRIM('Raw Data'!A57)</f>
        <v>LS-0053</v>
      </c>
      <c r="B61" s="10">
        <f>IF(ISNUMBER('Raw Data'!B57),INT('Raw Data'!B57),IFERROR(DATEVALUE('Raw Data'!B57),""))</f>
        <v>45822</v>
      </c>
      <c r="C61" s="9" t="str">
        <f>PROPER(TRIM('Raw Data'!C57))</f>
        <v>Bianca Reyes</v>
      </c>
      <c r="D61" s="11">
        <f>IF(ISNUMBER('Raw Data'!D57),MOD('Raw Data'!D57,1),IFERROR(TIMEVALUE('Raw Data'!D57),""))</f>
        <v>0.79166666666666663</v>
      </c>
      <c r="E61" s="11">
        <f>IF(ISNUMBER('Raw Data'!E57),MOD('Raw Data'!E57,1),IFERROR(TIMEVALUE('Raw Data'!E57),""))</f>
        <v>0.89583333333333337</v>
      </c>
      <c r="F61" s="12">
        <f>IF(ISNUMBER('Raw Data'!F57),'Raw Data'!F57,IFERROR(VALUE(SUBSTITUTE('Raw Data'!F57,",","")),""))</f>
        <v>48161</v>
      </c>
      <c r="G61" s="13">
        <f>IF(ISNUMBER('Raw Data'!G57),'Raw Data'!G57,IFERROR(VALUE(SUBSTITUTE('Raw Data'!G57,",","")),""))</f>
        <v>164</v>
      </c>
      <c r="H61" s="13">
        <f>IF(ISNUMBER('Raw Data'!H57),'Raw Data'!H57,IFERROR(VALUE(SUBSTITUTE('Raw Data'!H57,",","")),""))</f>
        <v>141162</v>
      </c>
      <c r="I61" s="13">
        <f>IF(ISNUMBER('Raw Data'!I57),'Raw Data'!I57,IFERROR(VALUE(SUBSTITUTE('Raw Data'!I57,",","")),""))</f>
        <v>1381</v>
      </c>
      <c r="J61" s="21">
        <f>IF(AND(ISNUMBER(tblClean[[#This Row],[Start Time]]),ISNUMBER(tblClean[[#This Row],[End Time]])),ROUND(MOD(tblClean[[#This Row],[End Time]]-tblClean[[#This Row],[Start Time]],1)*24,2),"")</f>
        <v>2.5</v>
      </c>
      <c r="K61" s="12">
        <f>IF(AND(ISNUMBER(tblClean[[#This Row],[Duration Hours]]),ISNUMBER(tblClean[[#This Row],[Attributed GMV PHP]])),IF(tblClean[[#This Row],[Duration Hours]]&gt;0,tblClean[[#This Row],[Attributed GMV PHP]]/tblClean[[#This Row],[Duration Hours]],""),"")</f>
        <v>19264.400000000001</v>
      </c>
      <c r="L61" s="22">
        <f>IF(ISNUMBER(tblClean[[#This Row],[Date]]),DATE(YEAR(tblClean[[#This Row],[Date]]),MONTH(tblClean[[#This Row],[Date]]),1),"")</f>
        <v>45809</v>
      </c>
      <c r="M61" s="10">
        <f>IF(ISNUMBER(tblClean[[#This Row],[Date]]),tblClean[[#This Row],[Date]]-WEEKDAY(tblClean[[#This Row],[Date]],2)+1,"")</f>
        <v>45817</v>
      </c>
      <c r="N61" s="23">
        <f>IF(ISNUMBER(tblClean[[#This Row],[Week Start]]),(tblClean[[#This Row],[Week Start]]-MIN(tblClean[Week Start]))/7+1,"")</f>
        <v>2</v>
      </c>
      <c r="O61" s="24" t="str">
        <f>IF(ISNUMBER(tblClean[[#This Row],[Date]]),CHOOSE(WEEKDAY(tblClean[[#This Row],[Date]],2),"Mon","Tue","Wed","Thu","Fri","Sat","Sun"),"")</f>
        <v>Sat</v>
      </c>
      <c r="P61" s="24" t="str">
        <f>IF(ISNUMBER(tblClean[[#This Row],[Date]]),IF(WEEKDAY(tblClean[[#This Row],[Date]],2)&gt;=6,"Weekend","Weekday"),"")</f>
        <v>Weekend</v>
      </c>
      <c r="Q6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61" s="9" t="str">
        <f>IF(ISNUMBER(tblClean[[#This Row],[Duration Hours]]),IF(tblClean[[#This Row],[Duration Hours]]&lt;2,"Short (under 2h)",IF(tblClean[[#This Row],[Duration Hours]]&lt;3,"Standard (2h to under 3h)","Long (3h or more)")),"")</f>
        <v>Standard (2h to under 3h)</v>
      </c>
      <c r="S6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61" s="24">
        <f>IF(COUNTIF(tblClean[Session ID],tblClean[[#This Row],[Session ID]])&gt;1,1,0)</f>
        <v>0</v>
      </c>
      <c r="U61" s="24">
        <f>IF(OR(N(tblClean[[#This Row],[Attributed GMV PHP]])&lt;0,N(tblClean[[#This Row],[Items Sold]])&lt;0,N(tblClean[[#This Row],[Livestream Views]])&lt;0,N(tblClean[[#This Row],[New Followers]])&lt;0),1,0)</f>
        <v>0</v>
      </c>
      <c r="V61" s="24">
        <f>IF(ISNUMBER(tblClean[[#This Row],[Duration Hours]]),IF(OR(tblClean[[#This Row],[Duration Hours]]&lt;=0,tblClean[[#This Row],[Duration Hours]]&gt;12),1,0),1)</f>
        <v>0</v>
      </c>
      <c r="W61" s="24">
        <f>IF(COUNTIF(HostRoster,tblClean[[#This Row],[Host Name]])=0,1,0)</f>
        <v>0</v>
      </c>
      <c r="X61" s="24">
        <f>IF(tblClean[[#This Row],[Missing Flag]]+tblClean[[#This Row],[Duplicate Flag]]+tblClean[[#This Row],[Negative Flag]]+tblClean[[#This Row],[Duration Flag]]+tblClean[[#This Row],[Host Flag]]=0,1,0)</f>
        <v>1</v>
      </c>
    </row>
    <row r="62" spans="1:24" x14ac:dyDescent="0.3">
      <c r="A62" s="9" t="str">
        <f>TRIM('Raw Data'!A58)</f>
        <v>LS-0054</v>
      </c>
      <c r="B62" s="10">
        <f>IF(ISNUMBER('Raw Data'!B58),INT('Raw Data'!B58),IFERROR(DATEVALUE('Raw Data'!B58),""))</f>
        <v>45823</v>
      </c>
      <c r="C62" s="9" t="str">
        <f>PROPER(TRIM('Raw Data'!C58))</f>
        <v>Carlo Mendoza</v>
      </c>
      <c r="D62" s="11">
        <f>IF(ISNUMBER('Raw Data'!D58),MOD('Raw Data'!D58,1),IFERROR(TIMEVALUE('Raw Data'!D58),""))</f>
        <v>0.54166666666666663</v>
      </c>
      <c r="E62" s="11">
        <f>IF(ISNUMBER('Raw Data'!E58),MOD('Raw Data'!E58,1),IFERROR(TIMEVALUE('Raw Data'!E58),""))</f>
        <v>0.64583333333333337</v>
      </c>
      <c r="F62" s="12">
        <f>IF(ISNUMBER('Raw Data'!F58),'Raw Data'!F58,IFERROR(VALUE(SUBSTITUTE('Raw Data'!F58,",","")),""))</f>
        <v>47132</v>
      </c>
      <c r="G62" s="13">
        <f>IF(ISNUMBER('Raw Data'!G58),'Raw Data'!G58,IFERROR(VALUE(SUBSTITUTE('Raw Data'!G58,",","")),""))</f>
        <v>144</v>
      </c>
      <c r="H62" s="13">
        <f>IF(ISNUMBER('Raw Data'!H58),'Raw Data'!H58,IFERROR(VALUE(SUBSTITUTE('Raw Data'!H58,",","")),""))</f>
        <v>133225</v>
      </c>
      <c r="I62" s="13">
        <f>IF(ISNUMBER('Raw Data'!I58),'Raw Data'!I58,IFERROR(VALUE(SUBSTITUTE('Raw Data'!I58,",","")),""))</f>
        <v>943</v>
      </c>
      <c r="J62" s="21">
        <f>IF(AND(ISNUMBER(tblClean[[#This Row],[Start Time]]),ISNUMBER(tblClean[[#This Row],[End Time]])),ROUND(MOD(tblClean[[#This Row],[End Time]]-tblClean[[#This Row],[Start Time]],1)*24,2),"")</f>
        <v>2.5</v>
      </c>
      <c r="K62" s="12">
        <f>IF(AND(ISNUMBER(tblClean[[#This Row],[Duration Hours]]),ISNUMBER(tblClean[[#This Row],[Attributed GMV PHP]])),IF(tblClean[[#This Row],[Duration Hours]]&gt;0,tblClean[[#This Row],[Attributed GMV PHP]]/tblClean[[#This Row],[Duration Hours]],""),"")</f>
        <v>18852.8</v>
      </c>
      <c r="L62" s="22">
        <f>IF(ISNUMBER(tblClean[[#This Row],[Date]]),DATE(YEAR(tblClean[[#This Row],[Date]]),MONTH(tblClean[[#This Row],[Date]]),1),"")</f>
        <v>45809</v>
      </c>
      <c r="M62" s="10">
        <f>IF(ISNUMBER(tblClean[[#This Row],[Date]]),tblClean[[#This Row],[Date]]-WEEKDAY(tblClean[[#This Row],[Date]],2)+1,"")</f>
        <v>45817</v>
      </c>
      <c r="N62" s="23">
        <f>IF(ISNUMBER(tblClean[[#This Row],[Week Start]]),(tblClean[[#This Row],[Week Start]]-MIN(tblClean[Week Start]))/7+1,"")</f>
        <v>2</v>
      </c>
      <c r="O62" s="24" t="str">
        <f>IF(ISNUMBER(tblClean[[#This Row],[Date]]),CHOOSE(WEEKDAY(tblClean[[#This Row],[Date]],2),"Mon","Tue","Wed","Thu","Fri","Sat","Sun"),"")</f>
        <v>Sun</v>
      </c>
      <c r="P62" s="24" t="str">
        <f>IF(ISNUMBER(tblClean[[#This Row],[Date]]),IF(WEEKDAY(tblClean[[#This Row],[Date]],2)&gt;=6,"Weekend","Weekday"),"")</f>
        <v>Weekend</v>
      </c>
      <c r="Q6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62" s="9" t="str">
        <f>IF(ISNUMBER(tblClean[[#This Row],[Duration Hours]]),IF(tblClean[[#This Row],[Duration Hours]]&lt;2,"Short (under 2h)",IF(tblClean[[#This Row],[Duration Hours]]&lt;3,"Standard (2h to under 3h)","Long (3h or more)")),"")</f>
        <v>Standard (2h to under 3h)</v>
      </c>
      <c r="S6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62" s="24">
        <f>IF(COUNTIF(tblClean[Session ID],tblClean[[#This Row],[Session ID]])&gt;1,1,0)</f>
        <v>0</v>
      </c>
      <c r="U62" s="24">
        <f>IF(OR(N(tblClean[[#This Row],[Attributed GMV PHP]])&lt;0,N(tblClean[[#This Row],[Items Sold]])&lt;0,N(tblClean[[#This Row],[Livestream Views]])&lt;0,N(tblClean[[#This Row],[New Followers]])&lt;0),1,0)</f>
        <v>0</v>
      </c>
      <c r="V62" s="24">
        <f>IF(ISNUMBER(tblClean[[#This Row],[Duration Hours]]),IF(OR(tblClean[[#This Row],[Duration Hours]]&lt;=0,tblClean[[#This Row],[Duration Hours]]&gt;12),1,0),1)</f>
        <v>0</v>
      </c>
      <c r="W62" s="24">
        <f>IF(COUNTIF(HostRoster,tblClean[[#This Row],[Host Name]])=0,1,0)</f>
        <v>0</v>
      </c>
      <c r="X62" s="24">
        <f>IF(tblClean[[#This Row],[Missing Flag]]+tblClean[[#This Row],[Duplicate Flag]]+tblClean[[#This Row],[Negative Flag]]+tblClean[[#This Row],[Duration Flag]]+tblClean[[#This Row],[Host Flag]]=0,1,0)</f>
        <v>1</v>
      </c>
    </row>
    <row r="63" spans="1:24" x14ac:dyDescent="0.3">
      <c r="A63" s="9" t="str">
        <f>TRIM('Raw Data'!A59)</f>
        <v>LS-0055</v>
      </c>
      <c r="B63" s="10">
        <f>IF(ISNUMBER('Raw Data'!B59),INT('Raw Data'!B59),IFERROR(DATEVALUE('Raw Data'!B59),""))</f>
        <v>45823</v>
      </c>
      <c r="C63" s="9" t="str">
        <f>PROPER(TRIM('Raw Data'!C59))</f>
        <v>Dani Villanueva</v>
      </c>
      <c r="D63" s="11">
        <f>IF(ISNUMBER('Raw Data'!D59),MOD('Raw Data'!D59,1),IFERROR(TIMEVALUE('Raw Data'!D59),""))</f>
        <v>0.66666666666666663</v>
      </c>
      <c r="E63" s="11">
        <f>IF(ISNUMBER('Raw Data'!E59),MOD('Raw Data'!E59,1),IFERROR(TIMEVALUE('Raw Data'!E59),""))</f>
        <v>0.77083333333333337</v>
      </c>
      <c r="F63" s="12">
        <f>IF(ISNUMBER('Raw Data'!F59),'Raw Data'!F59,IFERROR(VALUE(SUBSTITUTE('Raw Data'!F59,",","")),""))</f>
        <v>28805</v>
      </c>
      <c r="G63" s="13">
        <f>IF(ISNUMBER('Raw Data'!G59),'Raw Data'!G59,IFERROR(VALUE(SUBSTITUTE('Raw Data'!G59,",","")),""))</f>
        <v>86</v>
      </c>
      <c r="H63" s="13">
        <f>IF(ISNUMBER('Raw Data'!H59),'Raw Data'!H59,IFERROR(VALUE(SUBSTITUTE('Raw Data'!H59,",","")),""))</f>
        <v>89556</v>
      </c>
      <c r="I63" s="13">
        <f>IF(ISNUMBER('Raw Data'!I59),'Raw Data'!I59,IFERROR(VALUE(SUBSTITUTE('Raw Data'!I59,",","")),""))</f>
        <v>892</v>
      </c>
      <c r="J63" s="21">
        <f>IF(AND(ISNUMBER(tblClean[[#This Row],[Start Time]]),ISNUMBER(tblClean[[#This Row],[End Time]])),ROUND(MOD(tblClean[[#This Row],[End Time]]-tblClean[[#This Row],[Start Time]],1)*24,2),"")</f>
        <v>2.5</v>
      </c>
      <c r="K63" s="12">
        <f>IF(AND(ISNUMBER(tblClean[[#This Row],[Duration Hours]]),ISNUMBER(tblClean[[#This Row],[Attributed GMV PHP]])),IF(tblClean[[#This Row],[Duration Hours]]&gt;0,tblClean[[#This Row],[Attributed GMV PHP]]/tblClean[[#This Row],[Duration Hours]],""),"")</f>
        <v>11522</v>
      </c>
      <c r="L63" s="22">
        <f>IF(ISNUMBER(tblClean[[#This Row],[Date]]),DATE(YEAR(tblClean[[#This Row],[Date]]),MONTH(tblClean[[#This Row],[Date]]),1),"")</f>
        <v>45809</v>
      </c>
      <c r="M63" s="10">
        <f>IF(ISNUMBER(tblClean[[#This Row],[Date]]),tblClean[[#This Row],[Date]]-WEEKDAY(tblClean[[#This Row],[Date]],2)+1,"")</f>
        <v>45817</v>
      </c>
      <c r="N63" s="23">
        <f>IF(ISNUMBER(tblClean[[#This Row],[Week Start]]),(tblClean[[#This Row],[Week Start]]-MIN(tblClean[Week Start]))/7+1,"")</f>
        <v>2</v>
      </c>
      <c r="O63" s="24" t="str">
        <f>IF(ISNUMBER(tblClean[[#This Row],[Date]]),CHOOSE(WEEKDAY(tblClean[[#This Row],[Date]],2),"Mon","Tue","Wed","Thu","Fri","Sat","Sun"),"")</f>
        <v>Sun</v>
      </c>
      <c r="P63" s="24" t="str">
        <f>IF(ISNUMBER(tblClean[[#This Row],[Date]]),IF(WEEKDAY(tblClean[[#This Row],[Date]],2)&gt;=6,"Weekend","Weekday"),"")</f>
        <v>Weekend</v>
      </c>
      <c r="Q6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63" s="9" t="str">
        <f>IF(ISNUMBER(tblClean[[#This Row],[Duration Hours]]),IF(tblClean[[#This Row],[Duration Hours]]&lt;2,"Short (under 2h)",IF(tblClean[[#This Row],[Duration Hours]]&lt;3,"Standard (2h to under 3h)","Long (3h or more)")),"")</f>
        <v>Standard (2h to under 3h)</v>
      </c>
      <c r="S6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63" s="24">
        <f>IF(COUNTIF(tblClean[Session ID],tblClean[[#This Row],[Session ID]])&gt;1,1,0)</f>
        <v>0</v>
      </c>
      <c r="U63" s="24">
        <f>IF(OR(N(tblClean[[#This Row],[Attributed GMV PHP]])&lt;0,N(tblClean[[#This Row],[Items Sold]])&lt;0,N(tblClean[[#This Row],[Livestream Views]])&lt;0,N(tblClean[[#This Row],[New Followers]])&lt;0),1,0)</f>
        <v>0</v>
      </c>
      <c r="V63" s="24">
        <f>IF(ISNUMBER(tblClean[[#This Row],[Duration Hours]]),IF(OR(tblClean[[#This Row],[Duration Hours]]&lt;=0,tblClean[[#This Row],[Duration Hours]]&gt;12),1,0),1)</f>
        <v>0</v>
      </c>
      <c r="W63" s="24">
        <f>IF(COUNTIF(HostRoster,tblClean[[#This Row],[Host Name]])=0,1,0)</f>
        <v>0</v>
      </c>
      <c r="X63" s="24">
        <f>IF(tblClean[[#This Row],[Missing Flag]]+tblClean[[#This Row],[Duplicate Flag]]+tblClean[[#This Row],[Negative Flag]]+tblClean[[#This Row],[Duration Flag]]+tblClean[[#This Row],[Host Flag]]=0,1,0)</f>
        <v>1</v>
      </c>
    </row>
    <row r="64" spans="1:24" x14ac:dyDescent="0.3">
      <c r="A64" s="9" t="str">
        <f>TRIM('Raw Data'!A60)</f>
        <v>LS-0056</v>
      </c>
      <c r="B64" s="10">
        <f>IF(ISNUMBER('Raw Data'!B60),INT('Raw Data'!B60),IFERROR(DATEVALUE('Raw Data'!B60),""))</f>
        <v>45823</v>
      </c>
      <c r="C64" s="9" t="str">
        <f>PROPER(TRIM('Raw Data'!C60))</f>
        <v>Bianca Reyes</v>
      </c>
      <c r="D64" s="11">
        <f>IF(ISNUMBER('Raw Data'!D60),MOD('Raw Data'!D60,1),IFERROR(TIMEVALUE('Raw Data'!D60),""))</f>
        <v>0.79166666666666663</v>
      </c>
      <c r="E64" s="11">
        <f>IF(ISNUMBER('Raw Data'!E60),MOD('Raw Data'!E60,1),IFERROR(TIMEVALUE('Raw Data'!E60),""))</f>
        <v>0.875</v>
      </c>
      <c r="F64" s="12">
        <f>IF(ISNUMBER('Raw Data'!F60),'Raw Data'!F60,IFERROR(VALUE(SUBSTITUTE('Raw Data'!F60,",","")),""))</f>
        <v>30430</v>
      </c>
      <c r="G64" s="13">
        <f>IF(ISNUMBER('Raw Data'!G60),'Raw Data'!G60,IFERROR(VALUE(SUBSTITUTE('Raw Data'!G60,",","")),""))</f>
        <v>92</v>
      </c>
      <c r="H64" s="13">
        <f>IF(ISNUMBER('Raw Data'!H60),'Raw Data'!H60,IFERROR(VALUE(SUBSTITUTE('Raw Data'!H60,",","")),""))</f>
        <v>79097</v>
      </c>
      <c r="I64" s="13">
        <f>IF(ISNUMBER('Raw Data'!I60),'Raw Data'!I60,IFERROR(VALUE(SUBSTITUTE('Raw Data'!I60,",","")),""))</f>
        <v>747</v>
      </c>
      <c r="J64" s="21">
        <f>IF(AND(ISNUMBER(tblClean[[#This Row],[Start Time]]),ISNUMBER(tblClean[[#This Row],[End Time]])),ROUND(MOD(tblClean[[#This Row],[End Time]]-tblClean[[#This Row],[Start Time]],1)*24,2),"")</f>
        <v>2</v>
      </c>
      <c r="K64" s="12">
        <f>IF(AND(ISNUMBER(tblClean[[#This Row],[Duration Hours]]),ISNUMBER(tblClean[[#This Row],[Attributed GMV PHP]])),IF(tblClean[[#This Row],[Duration Hours]]&gt;0,tblClean[[#This Row],[Attributed GMV PHP]]/tblClean[[#This Row],[Duration Hours]],""),"")</f>
        <v>15215</v>
      </c>
      <c r="L64" s="22">
        <f>IF(ISNUMBER(tblClean[[#This Row],[Date]]),DATE(YEAR(tblClean[[#This Row],[Date]]),MONTH(tblClean[[#This Row],[Date]]),1),"")</f>
        <v>45809</v>
      </c>
      <c r="M64" s="10">
        <f>IF(ISNUMBER(tblClean[[#This Row],[Date]]),tblClean[[#This Row],[Date]]-WEEKDAY(tblClean[[#This Row],[Date]],2)+1,"")</f>
        <v>45817</v>
      </c>
      <c r="N64" s="23">
        <f>IF(ISNUMBER(tblClean[[#This Row],[Week Start]]),(tblClean[[#This Row],[Week Start]]-MIN(tblClean[Week Start]))/7+1,"")</f>
        <v>2</v>
      </c>
      <c r="O64" s="24" t="str">
        <f>IF(ISNUMBER(tblClean[[#This Row],[Date]]),CHOOSE(WEEKDAY(tblClean[[#This Row],[Date]],2),"Mon","Tue","Wed","Thu","Fri","Sat","Sun"),"")</f>
        <v>Sun</v>
      </c>
      <c r="P64" s="24" t="str">
        <f>IF(ISNUMBER(tblClean[[#This Row],[Date]]),IF(WEEKDAY(tblClean[[#This Row],[Date]],2)&gt;=6,"Weekend","Weekday"),"")</f>
        <v>Weekend</v>
      </c>
      <c r="Q6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64" s="9" t="str">
        <f>IF(ISNUMBER(tblClean[[#This Row],[Duration Hours]]),IF(tblClean[[#This Row],[Duration Hours]]&lt;2,"Short (under 2h)",IF(tblClean[[#This Row],[Duration Hours]]&lt;3,"Standard (2h to under 3h)","Long (3h or more)")),"")</f>
        <v>Standard (2h to under 3h)</v>
      </c>
      <c r="S6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64" s="24">
        <f>IF(COUNTIF(tblClean[Session ID],tblClean[[#This Row],[Session ID]])&gt;1,1,0)</f>
        <v>0</v>
      </c>
      <c r="U64" s="24">
        <f>IF(OR(N(tblClean[[#This Row],[Attributed GMV PHP]])&lt;0,N(tblClean[[#This Row],[Items Sold]])&lt;0,N(tblClean[[#This Row],[Livestream Views]])&lt;0,N(tblClean[[#This Row],[New Followers]])&lt;0),1,0)</f>
        <v>0</v>
      </c>
      <c r="V64" s="24">
        <f>IF(ISNUMBER(tblClean[[#This Row],[Duration Hours]]),IF(OR(tblClean[[#This Row],[Duration Hours]]&lt;=0,tblClean[[#This Row],[Duration Hours]]&gt;12),1,0),1)</f>
        <v>0</v>
      </c>
      <c r="W64" s="24">
        <f>IF(COUNTIF(HostRoster,tblClean[[#This Row],[Host Name]])=0,1,0)</f>
        <v>0</v>
      </c>
      <c r="X64" s="24">
        <f>IF(tblClean[[#This Row],[Missing Flag]]+tblClean[[#This Row],[Duplicate Flag]]+tblClean[[#This Row],[Negative Flag]]+tblClean[[#This Row],[Duration Flag]]+tblClean[[#This Row],[Host Flag]]=0,1,0)</f>
        <v>1</v>
      </c>
    </row>
    <row r="65" spans="1:24" x14ac:dyDescent="0.3">
      <c r="A65" s="9" t="str">
        <f>TRIM('Raw Data'!A61)</f>
        <v>LS-0057</v>
      </c>
      <c r="B65" s="10">
        <f>IF(ISNUMBER('Raw Data'!B61),INT('Raw Data'!B61),IFERROR(DATEVALUE('Raw Data'!B61),""))</f>
        <v>45824</v>
      </c>
      <c r="C65" s="9" t="str">
        <f>PROPER(TRIM('Raw Data'!C61))</f>
        <v>Bianca Reyes</v>
      </c>
      <c r="D65" s="11">
        <f>IF(ISNUMBER('Raw Data'!D61),MOD('Raw Data'!D61,1),IFERROR(TIMEVALUE('Raw Data'!D61),""))</f>
        <v>0.54166666666666663</v>
      </c>
      <c r="E65" s="11">
        <f>IF(ISNUMBER('Raw Data'!E61),MOD('Raw Data'!E61,1),IFERROR(TIMEVALUE('Raw Data'!E61),""))</f>
        <v>0.64583333333333337</v>
      </c>
      <c r="F65" s="12">
        <f>IF(ISNUMBER('Raw Data'!F61),'Raw Data'!F61,IFERROR(VALUE(SUBSTITUTE('Raw Data'!F61,",","")),""))</f>
        <v>22213</v>
      </c>
      <c r="G65" s="13">
        <f>IF(ISNUMBER('Raw Data'!G61),'Raw Data'!G61,IFERROR(VALUE(SUBSTITUTE('Raw Data'!G61,",","")),""))</f>
        <v>73</v>
      </c>
      <c r="H65" s="13">
        <f>IF(ISNUMBER('Raw Data'!H61),'Raw Data'!H61,IFERROR(VALUE(SUBSTITUTE('Raw Data'!H61,",","")),""))</f>
        <v>87339</v>
      </c>
      <c r="I65" s="13">
        <f>IF(ISNUMBER('Raw Data'!I61),'Raw Data'!I61,IFERROR(VALUE(SUBSTITUTE('Raw Data'!I61,",","")),""))</f>
        <v>760</v>
      </c>
      <c r="J65" s="21">
        <f>IF(AND(ISNUMBER(tblClean[[#This Row],[Start Time]]),ISNUMBER(tblClean[[#This Row],[End Time]])),ROUND(MOD(tblClean[[#This Row],[End Time]]-tblClean[[#This Row],[Start Time]],1)*24,2),"")</f>
        <v>2.5</v>
      </c>
      <c r="K65" s="12">
        <f>IF(AND(ISNUMBER(tblClean[[#This Row],[Duration Hours]]),ISNUMBER(tblClean[[#This Row],[Attributed GMV PHP]])),IF(tblClean[[#This Row],[Duration Hours]]&gt;0,tblClean[[#This Row],[Attributed GMV PHP]]/tblClean[[#This Row],[Duration Hours]],""),"")</f>
        <v>8885.2000000000007</v>
      </c>
      <c r="L65" s="22">
        <f>IF(ISNUMBER(tblClean[[#This Row],[Date]]),DATE(YEAR(tblClean[[#This Row],[Date]]),MONTH(tblClean[[#This Row],[Date]]),1),"")</f>
        <v>45809</v>
      </c>
      <c r="M65" s="10">
        <f>IF(ISNUMBER(tblClean[[#This Row],[Date]]),tblClean[[#This Row],[Date]]-WEEKDAY(tblClean[[#This Row],[Date]],2)+1,"")</f>
        <v>45824</v>
      </c>
      <c r="N65" s="23">
        <f>IF(ISNUMBER(tblClean[[#This Row],[Week Start]]),(tblClean[[#This Row],[Week Start]]-MIN(tblClean[Week Start]))/7+1,"")</f>
        <v>3</v>
      </c>
      <c r="O65" s="24" t="str">
        <f>IF(ISNUMBER(tblClean[[#This Row],[Date]]),CHOOSE(WEEKDAY(tblClean[[#This Row],[Date]],2),"Mon","Tue","Wed","Thu","Fri","Sat","Sun"),"")</f>
        <v>Mon</v>
      </c>
      <c r="P65" s="24" t="str">
        <f>IF(ISNUMBER(tblClean[[#This Row],[Date]]),IF(WEEKDAY(tblClean[[#This Row],[Date]],2)&gt;=6,"Weekend","Weekday"),"")</f>
        <v>Weekday</v>
      </c>
      <c r="Q6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65" s="9" t="str">
        <f>IF(ISNUMBER(tblClean[[#This Row],[Duration Hours]]),IF(tblClean[[#This Row],[Duration Hours]]&lt;2,"Short (under 2h)",IF(tblClean[[#This Row],[Duration Hours]]&lt;3,"Standard (2h to under 3h)","Long (3h or more)")),"")</f>
        <v>Standard (2h to under 3h)</v>
      </c>
      <c r="S6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65" s="24">
        <f>IF(COUNTIF(tblClean[Session ID],tblClean[[#This Row],[Session ID]])&gt;1,1,0)</f>
        <v>0</v>
      </c>
      <c r="U65" s="24">
        <f>IF(OR(N(tblClean[[#This Row],[Attributed GMV PHP]])&lt;0,N(tblClean[[#This Row],[Items Sold]])&lt;0,N(tblClean[[#This Row],[Livestream Views]])&lt;0,N(tblClean[[#This Row],[New Followers]])&lt;0),1,0)</f>
        <v>0</v>
      </c>
      <c r="V65" s="24">
        <f>IF(ISNUMBER(tblClean[[#This Row],[Duration Hours]]),IF(OR(tblClean[[#This Row],[Duration Hours]]&lt;=0,tblClean[[#This Row],[Duration Hours]]&gt;12),1,0),1)</f>
        <v>0</v>
      </c>
      <c r="W65" s="24">
        <f>IF(COUNTIF(HostRoster,tblClean[[#This Row],[Host Name]])=0,1,0)</f>
        <v>0</v>
      </c>
      <c r="X65" s="24">
        <f>IF(tblClean[[#This Row],[Missing Flag]]+tblClean[[#This Row],[Duplicate Flag]]+tblClean[[#This Row],[Negative Flag]]+tblClean[[#This Row],[Duration Flag]]+tblClean[[#This Row],[Host Flag]]=0,1,0)</f>
        <v>1</v>
      </c>
    </row>
    <row r="66" spans="1:24" x14ac:dyDescent="0.3">
      <c r="A66" s="9" t="str">
        <f>TRIM('Raw Data'!A62)</f>
        <v>LS-0058</v>
      </c>
      <c r="B66" s="10">
        <f>IF(ISNUMBER('Raw Data'!B62),INT('Raw Data'!B62),IFERROR(DATEVALUE('Raw Data'!B62),""))</f>
        <v>45824</v>
      </c>
      <c r="C66" s="9" t="str">
        <f>PROPER(TRIM('Raw Data'!C62))</f>
        <v>Bianca Reyes</v>
      </c>
      <c r="D66" s="11">
        <f>IF(ISNUMBER('Raw Data'!D62),MOD('Raw Data'!D62,1),IFERROR(TIMEVALUE('Raw Data'!D62),""))</f>
        <v>0.66666666666666663</v>
      </c>
      <c r="E66" s="11">
        <f>IF(ISNUMBER('Raw Data'!E62),MOD('Raw Data'!E62,1),IFERROR(TIMEVALUE('Raw Data'!E62),""))</f>
        <v>0.79166666666666663</v>
      </c>
      <c r="F66" s="12">
        <f>IF(ISNUMBER('Raw Data'!F62),'Raw Data'!F62,IFERROR(VALUE(SUBSTITUTE('Raw Data'!F62,",","")),""))</f>
        <v>18782</v>
      </c>
      <c r="G66" s="13">
        <f>IF(ISNUMBER('Raw Data'!G62),'Raw Data'!G62,IFERROR(VALUE(SUBSTITUTE('Raw Data'!G62,",","")),""))</f>
        <v>46</v>
      </c>
      <c r="H66" s="13">
        <f>IF(ISNUMBER('Raw Data'!H62),'Raw Data'!H62,IFERROR(VALUE(SUBSTITUTE('Raw Data'!H62,",","")),""))</f>
        <v>49466</v>
      </c>
      <c r="I66" s="13">
        <f>IF(ISNUMBER('Raw Data'!I62),'Raw Data'!I62,IFERROR(VALUE(SUBSTITUTE('Raw Data'!I62,",","")),""))</f>
        <v>290</v>
      </c>
      <c r="J66" s="21">
        <f>IF(AND(ISNUMBER(tblClean[[#This Row],[Start Time]]),ISNUMBER(tblClean[[#This Row],[End Time]])),ROUND(MOD(tblClean[[#This Row],[End Time]]-tblClean[[#This Row],[Start Time]],1)*24,2),"")</f>
        <v>3</v>
      </c>
      <c r="K66" s="12">
        <f>IF(AND(ISNUMBER(tblClean[[#This Row],[Duration Hours]]),ISNUMBER(tblClean[[#This Row],[Attributed GMV PHP]])),IF(tblClean[[#This Row],[Duration Hours]]&gt;0,tblClean[[#This Row],[Attributed GMV PHP]]/tblClean[[#This Row],[Duration Hours]],""),"")</f>
        <v>6260.666666666667</v>
      </c>
      <c r="L66" s="22">
        <f>IF(ISNUMBER(tblClean[[#This Row],[Date]]),DATE(YEAR(tblClean[[#This Row],[Date]]),MONTH(tblClean[[#This Row],[Date]]),1),"")</f>
        <v>45809</v>
      </c>
      <c r="M66" s="10">
        <f>IF(ISNUMBER(tblClean[[#This Row],[Date]]),tblClean[[#This Row],[Date]]-WEEKDAY(tblClean[[#This Row],[Date]],2)+1,"")</f>
        <v>45824</v>
      </c>
      <c r="N66" s="23">
        <f>IF(ISNUMBER(tblClean[[#This Row],[Week Start]]),(tblClean[[#This Row],[Week Start]]-MIN(tblClean[Week Start]))/7+1,"")</f>
        <v>3</v>
      </c>
      <c r="O66" s="24" t="str">
        <f>IF(ISNUMBER(tblClean[[#This Row],[Date]]),CHOOSE(WEEKDAY(tblClean[[#This Row],[Date]],2),"Mon","Tue","Wed","Thu","Fri","Sat","Sun"),"")</f>
        <v>Mon</v>
      </c>
      <c r="P66" s="24" t="str">
        <f>IF(ISNUMBER(tblClean[[#This Row],[Date]]),IF(WEEKDAY(tblClean[[#This Row],[Date]],2)&gt;=6,"Weekend","Weekday"),"")</f>
        <v>Weekday</v>
      </c>
      <c r="Q6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66" s="9" t="str">
        <f>IF(ISNUMBER(tblClean[[#This Row],[Duration Hours]]),IF(tblClean[[#This Row],[Duration Hours]]&lt;2,"Short (under 2h)",IF(tblClean[[#This Row],[Duration Hours]]&lt;3,"Standard (2h to under 3h)","Long (3h or more)")),"")</f>
        <v>Long (3h or more)</v>
      </c>
      <c r="S6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66" s="24">
        <f>IF(COUNTIF(tblClean[Session ID],tblClean[[#This Row],[Session ID]])&gt;1,1,0)</f>
        <v>0</v>
      </c>
      <c r="U66" s="24">
        <f>IF(OR(N(tblClean[[#This Row],[Attributed GMV PHP]])&lt;0,N(tblClean[[#This Row],[Items Sold]])&lt;0,N(tblClean[[#This Row],[Livestream Views]])&lt;0,N(tblClean[[#This Row],[New Followers]])&lt;0),1,0)</f>
        <v>0</v>
      </c>
      <c r="V66" s="24">
        <f>IF(ISNUMBER(tblClean[[#This Row],[Duration Hours]]),IF(OR(tblClean[[#This Row],[Duration Hours]]&lt;=0,tblClean[[#This Row],[Duration Hours]]&gt;12),1,0),1)</f>
        <v>0</v>
      </c>
      <c r="W66" s="24">
        <f>IF(COUNTIF(HostRoster,tblClean[[#This Row],[Host Name]])=0,1,0)</f>
        <v>0</v>
      </c>
      <c r="X66" s="24">
        <f>IF(tblClean[[#This Row],[Missing Flag]]+tblClean[[#This Row],[Duplicate Flag]]+tblClean[[#This Row],[Negative Flag]]+tblClean[[#This Row],[Duration Flag]]+tblClean[[#This Row],[Host Flag]]=0,1,0)</f>
        <v>1</v>
      </c>
    </row>
    <row r="67" spans="1:24" x14ac:dyDescent="0.3">
      <c r="A67" s="9" t="str">
        <f>TRIM('Raw Data'!A63)</f>
        <v>LS-0059</v>
      </c>
      <c r="B67" s="10">
        <f>IF(ISNUMBER('Raw Data'!B63),INT('Raw Data'!B63),IFERROR(DATEVALUE('Raw Data'!B63),""))</f>
        <v>45824</v>
      </c>
      <c r="C67" s="9" t="str">
        <f>PROPER(TRIM('Raw Data'!C63))</f>
        <v>Bianca Reyes</v>
      </c>
      <c r="D67" s="11">
        <f>IF(ISNUMBER('Raw Data'!D63),MOD('Raw Data'!D63,1),IFERROR(TIMEVALUE('Raw Data'!D63),""))</f>
        <v>0.79166666666666663</v>
      </c>
      <c r="E67" s="11">
        <f>IF(ISNUMBER('Raw Data'!E63),MOD('Raw Data'!E63,1),IFERROR(TIMEVALUE('Raw Data'!E63),""))</f>
        <v>0.91666666666666663</v>
      </c>
      <c r="F67" s="12">
        <f>IF(ISNUMBER('Raw Data'!F63),'Raw Data'!F63,IFERROR(VALUE(SUBSTITUTE('Raw Data'!F63,",","")),""))</f>
        <v>20734</v>
      </c>
      <c r="G67" s="13">
        <f>IF(ISNUMBER('Raw Data'!G63),'Raw Data'!G63,IFERROR(VALUE(SUBSTITUTE('Raw Data'!G63,",","")),""))</f>
        <v>69</v>
      </c>
      <c r="H67" s="13">
        <f>IF(ISNUMBER('Raw Data'!H63),'Raw Data'!H63,IFERROR(VALUE(SUBSTITUTE('Raw Data'!H63,",","")),""))</f>
        <v>63919</v>
      </c>
      <c r="I67" s="13">
        <f>IF(ISNUMBER('Raw Data'!I63),'Raw Data'!I63,IFERROR(VALUE(SUBSTITUTE('Raw Data'!I63,",","")),""))</f>
        <v>386</v>
      </c>
      <c r="J67" s="21">
        <f>IF(AND(ISNUMBER(tblClean[[#This Row],[Start Time]]),ISNUMBER(tblClean[[#This Row],[End Time]])),ROUND(MOD(tblClean[[#This Row],[End Time]]-tblClean[[#This Row],[Start Time]],1)*24,2),"")</f>
        <v>3</v>
      </c>
      <c r="K67" s="12">
        <f>IF(AND(ISNUMBER(tblClean[[#This Row],[Duration Hours]]),ISNUMBER(tblClean[[#This Row],[Attributed GMV PHP]])),IF(tblClean[[#This Row],[Duration Hours]]&gt;0,tblClean[[#This Row],[Attributed GMV PHP]]/tblClean[[#This Row],[Duration Hours]],""),"")</f>
        <v>6911.333333333333</v>
      </c>
      <c r="L67" s="22">
        <f>IF(ISNUMBER(tblClean[[#This Row],[Date]]),DATE(YEAR(tblClean[[#This Row],[Date]]),MONTH(tblClean[[#This Row],[Date]]),1),"")</f>
        <v>45809</v>
      </c>
      <c r="M67" s="10">
        <f>IF(ISNUMBER(tblClean[[#This Row],[Date]]),tblClean[[#This Row],[Date]]-WEEKDAY(tblClean[[#This Row],[Date]],2)+1,"")</f>
        <v>45824</v>
      </c>
      <c r="N67" s="23">
        <f>IF(ISNUMBER(tblClean[[#This Row],[Week Start]]),(tblClean[[#This Row],[Week Start]]-MIN(tblClean[Week Start]))/7+1,"")</f>
        <v>3</v>
      </c>
      <c r="O67" s="24" t="str">
        <f>IF(ISNUMBER(tblClean[[#This Row],[Date]]),CHOOSE(WEEKDAY(tblClean[[#This Row],[Date]],2),"Mon","Tue","Wed","Thu","Fri","Sat","Sun"),"")</f>
        <v>Mon</v>
      </c>
      <c r="P67" s="24" t="str">
        <f>IF(ISNUMBER(tblClean[[#This Row],[Date]]),IF(WEEKDAY(tblClean[[#This Row],[Date]],2)&gt;=6,"Weekend","Weekday"),"")</f>
        <v>Weekday</v>
      </c>
      <c r="Q6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67" s="9" t="str">
        <f>IF(ISNUMBER(tblClean[[#This Row],[Duration Hours]]),IF(tblClean[[#This Row],[Duration Hours]]&lt;2,"Short (under 2h)",IF(tblClean[[#This Row],[Duration Hours]]&lt;3,"Standard (2h to under 3h)","Long (3h or more)")),"")</f>
        <v>Long (3h or more)</v>
      </c>
      <c r="S6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67" s="24">
        <f>IF(COUNTIF(tblClean[Session ID],tblClean[[#This Row],[Session ID]])&gt;1,1,0)</f>
        <v>0</v>
      </c>
      <c r="U67" s="24">
        <f>IF(OR(N(tblClean[[#This Row],[Attributed GMV PHP]])&lt;0,N(tblClean[[#This Row],[Items Sold]])&lt;0,N(tblClean[[#This Row],[Livestream Views]])&lt;0,N(tblClean[[#This Row],[New Followers]])&lt;0),1,0)</f>
        <v>0</v>
      </c>
      <c r="V67" s="24">
        <f>IF(ISNUMBER(tblClean[[#This Row],[Duration Hours]]),IF(OR(tblClean[[#This Row],[Duration Hours]]&lt;=0,tblClean[[#This Row],[Duration Hours]]&gt;12),1,0),1)</f>
        <v>0</v>
      </c>
      <c r="W67" s="24">
        <f>IF(COUNTIF(HostRoster,tblClean[[#This Row],[Host Name]])=0,1,0)</f>
        <v>0</v>
      </c>
      <c r="X67" s="24">
        <f>IF(tblClean[[#This Row],[Missing Flag]]+tblClean[[#This Row],[Duplicate Flag]]+tblClean[[#This Row],[Negative Flag]]+tblClean[[#This Row],[Duration Flag]]+tblClean[[#This Row],[Host Flag]]=0,1,0)</f>
        <v>1</v>
      </c>
    </row>
    <row r="68" spans="1:24" x14ac:dyDescent="0.3">
      <c r="A68" s="9" t="str">
        <f>TRIM('Raw Data'!A64)</f>
        <v>LS-0060</v>
      </c>
      <c r="B68" s="10">
        <f>IF(ISNUMBER('Raw Data'!B64),INT('Raw Data'!B64),IFERROR(DATEVALUE('Raw Data'!B64),""))</f>
        <v>45824</v>
      </c>
      <c r="C68" s="9" t="str">
        <f>PROPER(TRIM('Raw Data'!C64))</f>
        <v>Bianca Reyes</v>
      </c>
      <c r="D68" s="11">
        <f>IF(ISNUMBER('Raw Data'!D64),MOD('Raw Data'!D64,1),IFERROR(TIMEVALUE('Raw Data'!D64),""))</f>
        <v>0.91666666666666663</v>
      </c>
      <c r="E68" s="11">
        <f>IF(ISNUMBER('Raw Data'!E64),MOD('Raw Data'!E64,1),IFERROR(TIMEVALUE('Raw Data'!E64),""))</f>
        <v>0</v>
      </c>
      <c r="F68" s="12">
        <f>IF(ISNUMBER('Raw Data'!F64),'Raw Data'!F64,IFERROR(VALUE(SUBSTITUTE('Raw Data'!F64,",","")),""))</f>
        <v>8589</v>
      </c>
      <c r="G68" s="13">
        <f>IF(ISNUMBER('Raw Data'!G64),'Raw Data'!G64,IFERROR(VALUE(SUBSTITUTE('Raw Data'!G64,",","")),""))</f>
        <v>24</v>
      </c>
      <c r="H68" s="13">
        <f>IF(ISNUMBER('Raw Data'!H64),'Raw Data'!H64,IFERROR(VALUE(SUBSTITUTE('Raw Data'!H64,",","")),""))</f>
        <v>31025</v>
      </c>
      <c r="I68" s="13">
        <f>IF(ISNUMBER('Raw Data'!I64),'Raw Data'!I64,IFERROR(VALUE(SUBSTITUTE('Raw Data'!I64,",","")),""))</f>
        <v>211</v>
      </c>
      <c r="J68" s="21">
        <f>IF(AND(ISNUMBER(tblClean[[#This Row],[Start Time]]),ISNUMBER(tblClean[[#This Row],[End Time]])),ROUND(MOD(tblClean[[#This Row],[End Time]]-tblClean[[#This Row],[Start Time]],1)*24,2),"")</f>
        <v>2</v>
      </c>
      <c r="K68" s="12">
        <f>IF(AND(ISNUMBER(tblClean[[#This Row],[Duration Hours]]),ISNUMBER(tblClean[[#This Row],[Attributed GMV PHP]])),IF(tblClean[[#This Row],[Duration Hours]]&gt;0,tblClean[[#This Row],[Attributed GMV PHP]]/tblClean[[#This Row],[Duration Hours]],""),"")</f>
        <v>4294.5</v>
      </c>
      <c r="L68" s="22">
        <f>IF(ISNUMBER(tblClean[[#This Row],[Date]]),DATE(YEAR(tblClean[[#This Row],[Date]]),MONTH(tblClean[[#This Row],[Date]]),1),"")</f>
        <v>45809</v>
      </c>
      <c r="M68" s="10">
        <f>IF(ISNUMBER(tblClean[[#This Row],[Date]]),tblClean[[#This Row],[Date]]-WEEKDAY(tblClean[[#This Row],[Date]],2)+1,"")</f>
        <v>45824</v>
      </c>
      <c r="N68" s="23">
        <f>IF(ISNUMBER(tblClean[[#This Row],[Week Start]]),(tblClean[[#This Row],[Week Start]]-MIN(tblClean[Week Start]))/7+1,"")</f>
        <v>3</v>
      </c>
      <c r="O68" s="24" t="str">
        <f>IF(ISNUMBER(tblClean[[#This Row],[Date]]),CHOOSE(WEEKDAY(tblClean[[#This Row],[Date]],2),"Mon","Tue","Wed","Thu","Fri","Sat","Sun"),"")</f>
        <v>Mon</v>
      </c>
      <c r="P68" s="24" t="str">
        <f>IF(ISNUMBER(tblClean[[#This Row],[Date]]),IF(WEEKDAY(tblClean[[#This Row],[Date]],2)&gt;=6,"Weekend","Weekday"),"")</f>
        <v>Weekday</v>
      </c>
      <c r="Q6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68" s="9" t="str">
        <f>IF(ISNUMBER(tblClean[[#This Row],[Duration Hours]]),IF(tblClean[[#This Row],[Duration Hours]]&lt;2,"Short (under 2h)",IF(tblClean[[#This Row],[Duration Hours]]&lt;3,"Standard (2h to under 3h)","Long (3h or more)")),"")</f>
        <v>Standard (2h to under 3h)</v>
      </c>
      <c r="S6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68" s="24">
        <f>IF(COUNTIF(tblClean[Session ID],tblClean[[#This Row],[Session ID]])&gt;1,1,0)</f>
        <v>0</v>
      </c>
      <c r="U68" s="24">
        <f>IF(OR(N(tblClean[[#This Row],[Attributed GMV PHP]])&lt;0,N(tblClean[[#This Row],[Items Sold]])&lt;0,N(tblClean[[#This Row],[Livestream Views]])&lt;0,N(tblClean[[#This Row],[New Followers]])&lt;0),1,0)</f>
        <v>0</v>
      </c>
      <c r="V68" s="24">
        <f>IF(ISNUMBER(tblClean[[#This Row],[Duration Hours]]),IF(OR(tblClean[[#This Row],[Duration Hours]]&lt;=0,tblClean[[#This Row],[Duration Hours]]&gt;12),1,0),1)</f>
        <v>0</v>
      </c>
      <c r="W68" s="24">
        <f>IF(COUNTIF(HostRoster,tblClean[[#This Row],[Host Name]])=0,1,0)</f>
        <v>0</v>
      </c>
      <c r="X68" s="24">
        <f>IF(tblClean[[#This Row],[Missing Flag]]+tblClean[[#This Row],[Duplicate Flag]]+tblClean[[#This Row],[Negative Flag]]+tblClean[[#This Row],[Duration Flag]]+tblClean[[#This Row],[Host Flag]]=0,1,0)</f>
        <v>1</v>
      </c>
    </row>
    <row r="69" spans="1:24" x14ac:dyDescent="0.3">
      <c r="A69" s="9" t="str">
        <f>TRIM('Raw Data'!A65)</f>
        <v>LS-0061</v>
      </c>
      <c r="B69" s="10">
        <f>IF(ISNUMBER('Raw Data'!B65),INT('Raw Data'!B65),IFERROR(DATEVALUE('Raw Data'!B65),""))</f>
        <v>45825</v>
      </c>
      <c r="C69" s="9" t="str">
        <f>PROPER(TRIM('Raw Data'!C65))</f>
        <v>Dani Villanueva</v>
      </c>
      <c r="D69" s="11">
        <f>IF(ISNUMBER('Raw Data'!D65),MOD('Raw Data'!D65,1),IFERROR(TIMEVALUE('Raw Data'!D65),""))</f>
        <v>0.41666666666666669</v>
      </c>
      <c r="E69" s="11">
        <f>IF(ISNUMBER('Raw Data'!E65),MOD('Raw Data'!E65,1),IFERROR(TIMEVALUE('Raw Data'!E65),""))</f>
        <v>0.52083333333333337</v>
      </c>
      <c r="F69" s="12">
        <f>IF(ISNUMBER('Raw Data'!F65),'Raw Data'!F65,IFERROR(VALUE(SUBSTITUTE('Raw Data'!F65,",","")),""))</f>
        <v>12479</v>
      </c>
      <c r="G69" s="13">
        <f>IF(ISNUMBER('Raw Data'!G65),'Raw Data'!G65,IFERROR(VALUE(SUBSTITUTE('Raw Data'!G65,",","")),""))</f>
        <v>34</v>
      </c>
      <c r="H69" s="13">
        <f>IF(ISNUMBER('Raw Data'!H65),'Raw Data'!H65,IFERROR(VALUE(SUBSTITUTE('Raw Data'!H65,",","")),""))</f>
        <v>45815</v>
      </c>
      <c r="I69" s="13">
        <f>IF(ISNUMBER('Raw Data'!I65),'Raw Data'!I65,IFERROR(VALUE(SUBSTITUTE('Raw Data'!I65,",","")),""))</f>
        <v>204</v>
      </c>
      <c r="J69" s="21">
        <f>IF(AND(ISNUMBER(tblClean[[#This Row],[Start Time]]),ISNUMBER(tblClean[[#This Row],[End Time]])),ROUND(MOD(tblClean[[#This Row],[End Time]]-tblClean[[#This Row],[Start Time]],1)*24,2),"")</f>
        <v>2.5</v>
      </c>
      <c r="K69" s="12">
        <f>IF(AND(ISNUMBER(tblClean[[#This Row],[Duration Hours]]),ISNUMBER(tblClean[[#This Row],[Attributed GMV PHP]])),IF(tblClean[[#This Row],[Duration Hours]]&gt;0,tblClean[[#This Row],[Attributed GMV PHP]]/tblClean[[#This Row],[Duration Hours]],""),"")</f>
        <v>4991.6000000000004</v>
      </c>
      <c r="L69" s="22">
        <f>IF(ISNUMBER(tblClean[[#This Row],[Date]]),DATE(YEAR(tblClean[[#This Row],[Date]]),MONTH(tblClean[[#This Row],[Date]]),1),"")</f>
        <v>45809</v>
      </c>
      <c r="M69" s="10">
        <f>IF(ISNUMBER(tblClean[[#This Row],[Date]]),tblClean[[#This Row],[Date]]-WEEKDAY(tblClean[[#This Row],[Date]],2)+1,"")</f>
        <v>45824</v>
      </c>
      <c r="N69" s="23">
        <f>IF(ISNUMBER(tblClean[[#This Row],[Week Start]]),(tblClean[[#This Row],[Week Start]]-MIN(tblClean[Week Start]))/7+1,"")</f>
        <v>3</v>
      </c>
      <c r="O69" s="24" t="str">
        <f>IF(ISNUMBER(tblClean[[#This Row],[Date]]),CHOOSE(WEEKDAY(tblClean[[#This Row],[Date]],2),"Mon","Tue","Wed","Thu","Fri","Sat","Sun"),"")</f>
        <v>Tue</v>
      </c>
      <c r="P69" s="24" t="str">
        <f>IF(ISNUMBER(tblClean[[#This Row],[Date]]),IF(WEEKDAY(tblClean[[#This Row],[Date]],2)&gt;=6,"Weekend","Weekday"),"")</f>
        <v>Weekday</v>
      </c>
      <c r="Q6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69" s="9" t="str">
        <f>IF(ISNUMBER(tblClean[[#This Row],[Duration Hours]]),IF(tblClean[[#This Row],[Duration Hours]]&lt;2,"Short (under 2h)",IF(tblClean[[#This Row],[Duration Hours]]&lt;3,"Standard (2h to under 3h)","Long (3h or more)")),"")</f>
        <v>Standard (2h to under 3h)</v>
      </c>
      <c r="S6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69" s="24">
        <f>IF(COUNTIF(tblClean[Session ID],tblClean[[#This Row],[Session ID]])&gt;1,1,0)</f>
        <v>0</v>
      </c>
      <c r="U69" s="24">
        <f>IF(OR(N(tblClean[[#This Row],[Attributed GMV PHP]])&lt;0,N(tblClean[[#This Row],[Items Sold]])&lt;0,N(tblClean[[#This Row],[Livestream Views]])&lt;0,N(tblClean[[#This Row],[New Followers]])&lt;0),1,0)</f>
        <v>0</v>
      </c>
      <c r="V69" s="24">
        <f>IF(ISNUMBER(tblClean[[#This Row],[Duration Hours]]),IF(OR(tblClean[[#This Row],[Duration Hours]]&lt;=0,tblClean[[#This Row],[Duration Hours]]&gt;12),1,0),1)</f>
        <v>0</v>
      </c>
      <c r="W69" s="24">
        <f>IF(COUNTIF(HostRoster,tblClean[[#This Row],[Host Name]])=0,1,0)</f>
        <v>0</v>
      </c>
      <c r="X69" s="24">
        <f>IF(tblClean[[#This Row],[Missing Flag]]+tblClean[[#This Row],[Duplicate Flag]]+tblClean[[#This Row],[Negative Flag]]+tblClean[[#This Row],[Duration Flag]]+tblClean[[#This Row],[Host Flag]]=0,1,0)</f>
        <v>1</v>
      </c>
    </row>
    <row r="70" spans="1:24" x14ac:dyDescent="0.3">
      <c r="A70" s="9" t="str">
        <f>TRIM('Raw Data'!A66)</f>
        <v>LS-0062</v>
      </c>
      <c r="B70" s="10">
        <f>IF(ISNUMBER('Raw Data'!B66),INT('Raw Data'!B66),IFERROR(DATEVALUE('Raw Data'!B66),""))</f>
        <v>45825</v>
      </c>
      <c r="C70" s="9" t="str">
        <f>PROPER(TRIM('Raw Data'!C66))</f>
        <v>Dani Villanueva</v>
      </c>
      <c r="D70" s="11">
        <f>IF(ISNUMBER('Raw Data'!D66),MOD('Raw Data'!D66,1),IFERROR(TIMEVALUE('Raw Data'!D66),""))</f>
        <v>0.54166666666666663</v>
      </c>
      <c r="E70" s="11">
        <f>IF(ISNUMBER('Raw Data'!E66),MOD('Raw Data'!E66,1),IFERROR(TIMEVALUE('Raw Data'!E66),""))</f>
        <v>0.625</v>
      </c>
      <c r="F70" s="12">
        <f>IF(ISNUMBER('Raw Data'!F66),'Raw Data'!F66,IFERROR(VALUE(SUBSTITUTE('Raw Data'!F66,",","")),""))</f>
        <v>8492</v>
      </c>
      <c r="G70" s="13">
        <f>IF(ISNUMBER('Raw Data'!G66),'Raw Data'!G66,IFERROR(VALUE(SUBSTITUTE('Raw Data'!G66,",","")),""))</f>
        <v>28</v>
      </c>
      <c r="H70" s="13">
        <f>IF(ISNUMBER('Raw Data'!H66),'Raw Data'!H66,IFERROR(VALUE(SUBSTITUTE('Raw Data'!H66,",","")),""))</f>
        <v>36537</v>
      </c>
      <c r="I70" s="13">
        <f>IF(ISNUMBER('Raw Data'!I66),'Raw Data'!I66,IFERROR(VALUE(SUBSTITUTE('Raw Data'!I66,",","")),""))</f>
        <v>259</v>
      </c>
      <c r="J70" s="21">
        <f>IF(AND(ISNUMBER(tblClean[[#This Row],[Start Time]]),ISNUMBER(tblClean[[#This Row],[End Time]])),ROUND(MOD(tblClean[[#This Row],[End Time]]-tblClean[[#This Row],[Start Time]],1)*24,2),"")</f>
        <v>2</v>
      </c>
      <c r="K70" s="12">
        <f>IF(AND(ISNUMBER(tblClean[[#This Row],[Duration Hours]]),ISNUMBER(tblClean[[#This Row],[Attributed GMV PHP]])),IF(tblClean[[#This Row],[Duration Hours]]&gt;0,tblClean[[#This Row],[Attributed GMV PHP]]/tblClean[[#This Row],[Duration Hours]],""),"")</f>
        <v>4246</v>
      </c>
      <c r="L70" s="22">
        <f>IF(ISNUMBER(tblClean[[#This Row],[Date]]),DATE(YEAR(tblClean[[#This Row],[Date]]),MONTH(tblClean[[#This Row],[Date]]),1),"")</f>
        <v>45809</v>
      </c>
      <c r="M70" s="10">
        <f>IF(ISNUMBER(tblClean[[#This Row],[Date]]),tblClean[[#This Row],[Date]]-WEEKDAY(tblClean[[#This Row],[Date]],2)+1,"")</f>
        <v>45824</v>
      </c>
      <c r="N70" s="23">
        <f>IF(ISNUMBER(tblClean[[#This Row],[Week Start]]),(tblClean[[#This Row],[Week Start]]-MIN(tblClean[Week Start]))/7+1,"")</f>
        <v>3</v>
      </c>
      <c r="O70" s="24" t="str">
        <f>IF(ISNUMBER(tblClean[[#This Row],[Date]]),CHOOSE(WEEKDAY(tblClean[[#This Row],[Date]],2),"Mon","Tue","Wed","Thu","Fri","Sat","Sun"),"")</f>
        <v>Tue</v>
      </c>
      <c r="P70" s="24" t="str">
        <f>IF(ISNUMBER(tblClean[[#This Row],[Date]]),IF(WEEKDAY(tblClean[[#This Row],[Date]],2)&gt;=6,"Weekend","Weekday"),"")</f>
        <v>Weekday</v>
      </c>
      <c r="Q7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70" s="9" t="str">
        <f>IF(ISNUMBER(tblClean[[#This Row],[Duration Hours]]),IF(tblClean[[#This Row],[Duration Hours]]&lt;2,"Short (under 2h)",IF(tblClean[[#This Row],[Duration Hours]]&lt;3,"Standard (2h to under 3h)","Long (3h or more)")),"")</f>
        <v>Standard (2h to under 3h)</v>
      </c>
      <c r="S7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70" s="24">
        <f>IF(COUNTIF(tblClean[Session ID],tblClean[[#This Row],[Session ID]])&gt;1,1,0)</f>
        <v>0</v>
      </c>
      <c r="U70" s="24">
        <f>IF(OR(N(tblClean[[#This Row],[Attributed GMV PHP]])&lt;0,N(tblClean[[#This Row],[Items Sold]])&lt;0,N(tblClean[[#This Row],[Livestream Views]])&lt;0,N(tblClean[[#This Row],[New Followers]])&lt;0),1,0)</f>
        <v>0</v>
      </c>
      <c r="V70" s="24">
        <f>IF(ISNUMBER(tblClean[[#This Row],[Duration Hours]]),IF(OR(tblClean[[#This Row],[Duration Hours]]&lt;=0,tblClean[[#This Row],[Duration Hours]]&gt;12),1,0),1)</f>
        <v>0</v>
      </c>
      <c r="W70" s="24">
        <f>IF(COUNTIF(HostRoster,tblClean[[#This Row],[Host Name]])=0,1,0)</f>
        <v>0</v>
      </c>
      <c r="X70" s="24">
        <f>IF(tblClean[[#This Row],[Missing Flag]]+tblClean[[#This Row],[Duplicate Flag]]+tblClean[[#This Row],[Negative Flag]]+tblClean[[#This Row],[Duration Flag]]+tblClean[[#This Row],[Host Flag]]=0,1,0)</f>
        <v>1</v>
      </c>
    </row>
    <row r="71" spans="1:24" x14ac:dyDescent="0.3">
      <c r="A71" s="9" t="str">
        <f>TRIM('Raw Data'!A67)</f>
        <v>LS-0063</v>
      </c>
      <c r="B71" s="10">
        <f>IF(ISNUMBER('Raw Data'!B67),INT('Raw Data'!B67),IFERROR(DATEVALUE('Raw Data'!B67),""))</f>
        <v>45825</v>
      </c>
      <c r="C71" s="9" t="str">
        <f>PROPER(TRIM('Raw Data'!C67))</f>
        <v>Aira Valdez</v>
      </c>
      <c r="D71" s="11">
        <f>IF(ISNUMBER('Raw Data'!D67),MOD('Raw Data'!D67,1),IFERROR(TIMEVALUE('Raw Data'!D67),""))</f>
        <v>0.66666666666666663</v>
      </c>
      <c r="E71" s="11">
        <f>IF(ISNUMBER('Raw Data'!E67),MOD('Raw Data'!E67,1),IFERROR(TIMEVALUE('Raw Data'!E67),""))</f>
        <v>0.77083333333333337</v>
      </c>
      <c r="F71" s="12">
        <f>IF(ISNUMBER('Raw Data'!F67),'Raw Data'!F67,IFERROR(VALUE(SUBSTITUTE('Raw Data'!F67,",","")),""))</f>
        <v>30258</v>
      </c>
      <c r="G71" s="13">
        <f>IF(ISNUMBER('Raw Data'!G67),'Raw Data'!G67,IFERROR(VALUE(SUBSTITUTE('Raw Data'!G67,",","")),""))</f>
        <v>93</v>
      </c>
      <c r="H71" s="13">
        <f>IF(ISNUMBER('Raw Data'!H67),'Raw Data'!H67,IFERROR(VALUE(SUBSTITUTE('Raw Data'!H67,",","")),""))</f>
        <v>135700</v>
      </c>
      <c r="I71" s="13">
        <f>IF(ISNUMBER('Raw Data'!I67),'Raw Data'!I67,IFERROR(VALUE(SUBSTITUTE('Raw Data'!I67,",","")),""))</f>
        <v>1753</v>
      </c>
      <c r="J71" s="21">
        <f>IF(AND(ISNUMBER(tblClean[[#This Row],[Start Time]]),ISNUMBER(tblClean[[#This Row],[End Time]])),ROUND(MOD(tblClean[[#This Row],[End Time]]-tblClean[[#This Row],[Start Time]],1)*24,2),"")</f>
        <v>2.5</v>
      </c>
      <c r="K71" s="12">
        <f>IF(AND(ISNUMBER(tblClean[[#This Row],[Duration Hours]]),ISNUMBER(tblClean[[#This Row],[Attributed GMV PHP]])),IF(tblClean[[#This Row],[Duration Hours]]&gt;0,tblClean[[#This Row],[Attributed GMV PHP]]/tblClean[[#This Row],[Duration Hours]],""),"")</f>
        <v>12103.2</v>
      </c>
      <c r="L71" s="22">
        <f>IF(ISNUMBER(tblClean[[#This Row],[Date]]),DATE(YEAR(tblClean[[#This Row],[Date]]),MONTH(tblClean[[#This Row],[Date]]),1),"")</f>
        <v>45809</v>
      </c>
      <c r="M71" s="10">
        <f>IF(ISNUMBER(tblClean[[#This Row],[Date]]),tblClean[[#This Row],[Date]]-WEEKDAY(tblClean[[#This Row],[Date]],2)+1,"")</f>
        <v>45824</v>
      </c>
      <c r="N71" s="23">
        <f>IF(ISNUMBER(tblClean[[#This Row],[Week Start]]),(tblClean[[#This Row],[Week Start]]-MIN(tblClean[Week Start]))/7+1,"")</f>
        <v>3</v>
      </c>
      <c r="O71" s="24" t="str">
        <f>IF(ISNUMBER(tblClean[[#This Row],[Date]]),CHOOSE(WEEKDAY(tblClean[[#This Row],[Date]],2),"Mon","Tue","Wed","Thu","Fri","Sat","Sun"),"")</f>
        <v>Tue</v>
      </c>
      <c r="P71" s="24" t="str">
        <f>IF(ISNUMBER(tblClean[[#This Row],[Date]]),IF(WEEKDAY(tblClean[[#This Row],[Date]],2)&gt;=6,"Weekend","Weekday"),"")</f>
        <v>Weekday</v>
      </c>
      <c r="Q7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71" s="9" t="str">
        <f>IF(ISNUMBER(tblClean[[#This Row],[Duration Hours]]),IF(tblClean[[#This Row],[Duration Hours]]&lt;2,"Short (under 2h)",IF(tblClean[[#This Row],[Duration Hours]]&lt;3,"Standard (2h to under 3h)","Long (3h or more)")),"")</f>
        <v>Standard (2h to under 3h)</v>
      </c>
      <c r="S7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71" s="24">
        <f>IF(COUNTIF(tblClean[Session ID],tblClean[[#This Row],[Session ID]])&gt;1,1,0)</f>
        <v>0</v>
      </c>
      <c r="U71" s="24">
        <f>IF(OR(N(tblClean[[#This Row],[Attributed GMV PHP]])&lt;0,N(tblClean[[#This Row],[Items Sold]])&lt;0,N(tblClean[[#This Row],[Livestream Views]])&lt;0,N(tblClean[[#This Row],[New Followers]])&lt;0),1,0)</f>
        <v>0</v>
      </c>
      <c r="V71" s="24">
        <f>IF(ISNUMBER(tblClean[[#This Row],[Duration Hours]]),IF(OR(tblClean[[#This Row],[Duration Hours]]&lt;=0,tblClean[[#This Row],[Duration Hours]]&gt;12),1,0),1)</f>
        <v>0</v>
      </c>
      <c r="W71" s="24">
        <f>IF(COUNTIF(HostRoster,tblClean[[#This Row],[Host Name]])=0,1,0)</f>
        <v>0</v>
      </c>
      <c r="X71" s="24">
        <f>IF(tblClean[[#This Row],[Missing Flag]]+tblClean[[#This Row],[Duplicate Flag]]+tblClean[[#This Row],[Negative Flag]]+tblClean[[#This Row],[Duration Flag]]+tblClean[[#This Row],[Host Flag]]=0,1,0)</f>
        <v>1</v>
      </c>
    </row>
    <row r="72" spans="1:24" x14ac:dyDescent="0.3">
      <c r="A72" s="9" t="str">
        <f>TRIM('Raw Data'!A68)</f>
        <v>LS-0064</v>
      </c>
      <c r="B72" s="10">
        <f>IF(ISNUMBER('Raw Data'!B68),INT('Raw Data'!B68),IFERROR(DATEVALUE('Raw Data'!B68),""))</f>
        <v>45825</v>
      </c>
      <c r="C72" s="9" t="str">
        <f>PROPER(TRIM('Raw Data'!C68))</f>
        <v>Bianca Reyes</v>
      </c>
      <c r="D72" s="11">
        <f>IF(ISNUMBER('Raw Data'!D68),MOD('Raw Data'!D68,1),IFERROR(TIMEVALUE('Raw Data'!D68),""))</f>
        <v>0.79166666666666663</v>
      </c>
      <c r="E72" s="11">
        <f>IF(ISNUMBER('Raw Data'!E68),MOD('Raw Data'!E68,1),IFERROR(TIMEVALUE('Raw Data'!E68),""))</f>
        <v>0.91666666666666663</v>
      </c>
      <c r="F72" s="12">
        <f>IF(ISNUMBER('Raw Data'!F68),'Raw Data'!F68,IFERROR(VALUE(SUBSTITUTE('Raw Data'!F68,",","")),""))</f>
        <v>34972</v>
      </c>
      <c r="G72" s="13">
        <f>IF(ISNUMBER('Raw Data'!G68),'Raw Data'!G68,IFERROR(VALUE(SUBSTITUTE('Raw Data'!G68,",","")),""))</f>
        <v>98</v>
      </c>
      <c r="H72" s="13">
        <f>IF(ISNUMBER('Raw Data'!H68),'Raw Data'!H68,IFERROR(VALUE(SUBSTITUTE('Raw Data'!H68,",","")),""))</f>
        <v>87728</v>
      </c>
      <c r="I72" s="13">
        <f>IF(ISNUMBER('Raw Data'!I68),'Raw Data'!I68,IFERROR(VALUE(SUBSTITUTE('Raw Data'!I68,",","")),""))</f>
        <v>849</v>
      </c>
      <c r="J72" s="21">
        <f>IF(AND(ISNUMBER(tblClean[[#This Row],[Start Time]]),ISNUMBER(tblClean[[#This Row],[End Time]])),ROUND(MOD(tblClean[[#This Row],[End Time]]-tblClean[[#This Row],[Start Time]],1)*24,2),"")</f>
        <v>3</v>
      </c>
      <c r="K72" s="12">
        <f>IF(AND(ISNUMBER(tblClean[[#This Row],[Duration Hours]]),ISNUMBER(tblClean[[#This Row],[Attributed GMV PHP]])),IF(tblClean[[#This Row],[Duration Hours]]&gt;0,tblClean[[#This Row],[Attributed GMV PHP]]/tblClean[[#This Row],[Duration Hours]],""),"")</f>
        <v>11657.333333333334</v>
      </c>
      <c r="L72" s="22">
        <f>IF(ISNUMBER(tblClean[[#This Row],[Date]]),DATE(YEAR(tblClean[[#This Row],[Date]]),MONTH(tblClean[[#This Row],[Date]]),1),"")</f>
        <v>45809</v>
      </c>
      <c r="M72" s="10">
        <f>IF(ISNUMBER(tblClean[[#This Row],[Date]]),tblClean[[#This Row],[Date]]-WEEKDAY(tblClean[[#This Row],[Date]],2)+1,"")</f>
        <v>45824</v>
      </c>
      <c r="N72" s="23">
        <f>IF(ISNUMBER(tblClean[[#This Row],[Week Start]]),(tblClean[[#This Row],[Week Start]]-MIN(tblClean[Week Start]))/7+1,"")</f>
        <v>3</v>
      </c>
      <c r="O72" s="24" t="str">
        <f>IF(ISNUMBER(tblClean[[#This Row],[Date]]),CHOOSE(WEEKDAY(tblClean[[#This Row],[Date]],2),"Mon","Tue","Wed","Thu","Fri","Sat","Sun"),"")</f>
        <v>Tue</v>
      </c>
      <c r="P72" s="24" t="str">
        <f>IF(ISNUMBER(tblClean[[#This Row],[Date]]),IF(WEEKDAY(tblClean[[#This Row],[Date]],2)&gt;=6,"Weekend","Weekday"),"")</f>
        <v>Weekday</v>
      </c>
      <c r="Q7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72" s="9" t="str">
        <f>IF(ISNUMBER(tblClean[[#This Row],[Duration Hours]]),IF(tblClean[[#This Row],[Duration Hours]]&lt;2,"Short (under 2h)",IF(tblClean[[#This Row],[Duration Hours]]&lt;3,"Standard (2h to under 3h)","Long (3h or more)")),"")</f>
        <v>Long (3h or more)</v>
      </c>
      <c r="S7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72" s="24">
        <f>IF(COUNTIF(tblClean[Session ID],tblClean[[#This Row],[Session ID]])&gt;1,1,0)</f>
        <v>0</v>
      </c>
      <c r="U72" s="24">
        <f>IF(OR(N(tblClean[[#This Row],[Attributed GMV PHP]])&lt;0,N(tblClean[[#This Row],[Items Sold]])&lt;0,N(tblClean[[#This Row],[Livestream Views]])&lt;0,N(tblClean[[#This Row],[New Followers]])&lt;0),1,0)</f>
        <v>0</v>
      </c>
      <c r="V72" s="24">
        <f>IF(ISNUMBER(tblClean[[#This Row],[Duration Hours]]),IF(OR(tblClean[[#This Row],[Duration Hours]]&lt;=0,tblClean[[#This Row],[Duration Hours]]&gt;12),1,0),1)</f>
        <v>0</v>
      </c>
      <c r="W72" s="24">
        <f>IF(COUNTIF(HostRoster,tblClean[[#This Row],[Host Name]])=0,1,0)</f>
        <v>0</v>
      </c>
      <c r="X72" s="24">
        <f>IF(tblClean[[#This Row],[Missing Flag]]+tblClean[[#This Row],[Duplicate Flag]]+tblClean[[#This Row],[Negative Flag]]+tblClean[[#This Row],[Duration Flag]]+tblClean[[#This Row],[Host Flag]]=0,1,0)</f>
        <v>1</v>
      </c>
    </row>
    <row r="73" spans="1:24" x14ac:dyDescent="0.3">
      <c r="A73" s="9" t="str">
        <f>TRIM('Raw Data'!A69)</f>
        <v>LS-0065</v>
      </c>
      <c r="B73" s="10">
        <f>IF(ISNUMBER('Raw Data'!B69),INT('Raw Data'!B69),IFERROR(DATEVALUE('Raw Data'!B69),""))</f>
        <v>45826</v>
      </c>
      <c r="C73" s="9" t="str">
        <f>PROPER(TRIM('Raw Data'!C69))</f>
        <v>Bianca Reyes</v>
      </c>
      <c r="D73" s="11">
        <f>IF(ISNUMBER('Raw Data'!D69),MOD('Raw Data'!D69,1),IFERROR(TIMEVALUE('Raw Data'!D69),""))</f>
        <v>0.41666666666666669</v>
      </c>
      <c r="E73" s="11">
        <f>IF(ISNUMBER('Raw Data'!E69),MOD('Raw Data'!E69,1),IFERROR(TIMEVALUE('Raw Data'!E69),""))</f>
        <v>0.52083333333333337</v>
      </c>
      <c r="F73" s="12">
        <f>IF(ISNUMBER('Raw Data'!F69),'Raw Data'!F69,IFERROR(VALUE(SUBSTITUTE('Raw Data'!F69,",","")),""))</f>
        <v>12620</v>
      </c>
      <c r="G73" s="13">
        <f>IF(ISNUMBER('Raw Data'!G69),'Raw Data'!G69,IFERROR(VALUE(SUBSTITUTE('Raw Data'!G69,",","")),""))</f>
        <v>39</v>
      </c>
      <c r="H73" s="13">
        <f>IF(ISNUMBER('Raw Data'!H69),'Raw Data'!H69,IFERROR(VALUE(SUBSTITUTE('Raw Data'!H69,",","")),""))</f>
        <v>46683</v>
      </c>
      <c r="I73" s="13">
        <f>IF(ISNUMBER('Raw Data'!I69),'Raw Data'!I69,IFERROR(VALUE(SUBSTITUTE('Raw Data'!I69,",","")),""))</f>
        <v>588</v>
      </c>
      <c r="J73" s="21">
        <f>IF(AND(ISNUMBER(tblClean[[#This Row],[Start Time]]),ISNUMBER(tblClean[[#This Row],[End Time]])),ROUND(MOD(tblClean[[#This Row],[End Time]]-tblClean[[#This Row],[Start Time]],1)*24,2),"")</f>
        <v>2.5</v>
      </c>
      <c r="K73" s="12">
        <f>IF(AND(ISNUMBER(tblClean[[#This Row],[Duration Hours]]),ISNUMBER(tblClean[[#This Row],[Attributed GMV PHP]])),IF(tblClean[[#This Row],[Duration Hours]]&gt;0,tblClean[[#This Row],[Attributed GMV PHP]]/tblClean[[#This Row],[Duration Hours]],""),"")</f>
        <v>5048</v>
      </c>
      <c r="L73" s="22">
        <f>IF(ISNUMBER(tblClean[[#This Row],[Date]]),DATE(YEAR(tblClean[[#This Row],[Date]]),MONTH(tblClean[[#This Row],[Date]]),1),"")</f>
        <v>45809</v>
      </c>
      <c r="M73" s="10">
        <f>IF(ISNUMBER(tblClean[[#This Row],[Date]]),tblClean[[#This Row],[Date]]-WEEKDAY(tblClean[[#This Row],[Date]],2)+1,"")</f>
        <v>45824</v>
      </c>
      <c r="N73" s="23">
        <f>IF(ISNUMBER(tblClean[[#This Row],[Week Start]]),(tblClean[[#This Row],[Week Start]]-MIN(tblClean[Week Start]))/7+1,"")</f>
        <v>3</v>
      </c>
      <c r="O73" s="24" t="str">
        <f>IF(ISNUMBER(tblClean[[#This Row],[Date]]),CHOOSE(WEEKDAY(tblClean[[#This Row],[Date]],2),"Mon","Tue","Wed","Thu","Fri","Sat","Sun"),"")</f>
        <v>Wed</v>
      </c>
      <c r="P73" s="24" t="str">
        <f>IF(ISNUMBER(tblClean[[#This Row],[Date]]),IF(WEEKDAY(tblClean[[#This Row],[Date]],2)&gt;=6,"Weekend","Weekday"),"")</f>
        <v>Weekday</v>
      </c>
      <c r="Q7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73" s="9" t="str">
        <f>IF(ISNUMBER(tblClean[[#This Row],[Duration Hours]]),IF(tblClean[[#This Row],[Duration Hours]]&lt;2,"Short (under 2h)",IF(tblClean[[#This Row],[Duration Hours]]&lt;3,"Standard (2h to under 3h)","Long (3h or more)")),"")</f>
        <v>Standard (2h to under 3h)</v>
      </c>
      <c r="S7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73" s="24">
        <f>IF(COUNTIF(tblClean[Session ID],tblClean[[#This Row],[Session ID]])&gt;1,1,0)</f>
        <v>0</v>
      </c>
      <c r="U73" s="24">
        <f>IF(OR(N(tblClean[[#This Row],[Attributed GMV PHP]])&lt;0,N(tblClean[[#This Row],[Items Sold]])&lt;0,N(tblClean[[#This Row],[Livestream Views]])&lt;0,N(tblClean[[#This Row],[New Followers]])&lt;0),1,0)</f>
        <v>0</v>
      </c>
      <c r="V73" s="24">
        <f>IF(ISNUMBER(tblClean[[#This Row],[Duration Hours]]),IF(OR(tblClean[[#This Row],[Duration Hours]]&lt;=0,tblClean[[#This Row],[Duration Hours]]&gt;12),1,0),1)</f>
        <v>0</v>
      </c>
      <c r="W73" s="24">
        <f>IF(COUNTIF(HostRoster,tblClean[[#This Row],[Host Name]])=0,1,0)</f>
        <v>0</v>
      </c>
      <c r="X73" s="24">
        <f>IF(tblClean[[#This Row],[Missing Flag]]+tblClean[[#This Row],[Duplicate Flag]]+tblClean[[#This Row],[Negative Flag]]+tblClean[[#This Row],[Duration Flag]]+tblClean[[#This Row],[Host Flag]]=0,1,0)</f>
        <v>1</v>
      </c>
    </row>
    <row r="74" spans="1:24" x14ac:dyDescent="0.3">
      <c r="A74" s="9" t="str">
        <f>TRIM('Raw Data'!A70)</f>
        <v>LS-0066</v>
      </c>
      <c r="B74" s="10">
        <f>IF(ISNUMBER('Raw Data'!B70),INT('Raw Data'!B70),IFERROR(DATEVALUE('Raw Data'!B70),""))</f>
        <v>45826</v>
      </c>
      <c r="C74" s="9" t="str">
        <f>PROPER(TRIM('Raw Data'!C70))</f>
        <v>Dani Villanueva</v>
      </c>
      <c r="D74" s="11">
        <f>IF(ISNUMBER('Raw Data'!D70),MOD('Raw Data'!D70,1),IFERROR(TIMEVALUE('Raw Data'!D70),""))</f>
        <v>0.54166666666666663</v>
      </c>
      <c r="E74" s="11">
        <f>IF(ISNUMBER('Raw Data'!E70),MOD('Raw Data'!E70,1),IFERROR(TIMEVALUE('Raw Data'!E70),""))</f>
        <v>0.66666666666666663</v>
      </c>
      <c r="F74" s="12">
        <f>IF(ISNUMBER('Raw Data'!F70),'Raw Data'!F70,IFERROR(VALUE(SUBSTITUTE('Raw Data'!F70,",","")),""))</f>
        <v>10053</v>
      </c>
      <c r="G74" s="13">
        <f>IF(ISNUMBER('Raw Data'!G70),'Raw Data'!G70,IFERROR(VALUE(SUBSTITUTE('Raw Data'!G70,",","")),""))</f>
        <v>30</v>
      </c>
      <c r="H74" s="13">
        <f>IF(ISNUMBER('Raw Data'!H70),'Raw Data'!H70,IFERROR(VALUE(SUBSTITUTE('Raw Data'!H70,",","")),""))</f>
        <v>26743</v>
      </c>
      <c r="I74" s="13">
        <f>IF(ISNUMBER('Raw Data'!I70),'Raw Data'!I70,IFERROR(VALUE(SUBSTITUTE('Raw Data'!I70,",","")),""))</f>
        <v>126</v>
      </c>
      <c r="J74" s="21">
        <f>IF(AND(ISNUMBER(tblClean[[#This Row],[Start Time]]),ISNUMBER(tblClean[[#This Row],[End Time]])),ROUND(MOD(tblClean[[#This Row],[End Time]]-tblClean[[#This Row],[Start Time]],1)*24,2),"")</f>
        <v>3</v>
      </c>
      <c r="K74" s="12">
        <f>IF(AND(ISNUMBER(tblClean[[#This Row],[Duration Hours]]),ISNUMBER(tblClean[[#This Row],[Attributed GMV PHP]])),IF(tblClean[[#This Row],[Duration Hours]]&gt;0,tblClean[[#This Row],[Attributed GMV PHP]]/tblClean[[#This Row],[Duration Hours]],""),"")</f>
        <v>3351</v>
      </c>
      <c r="L74" s="22">
        <f>IF(ISNUMBER(tblClean[[#This Row],[Date]]),DATE(YEAR(tblClean[[#This Row],[Date]]),MONTH(tblClean[[#This Row],[Date]]),1),"")</f>
        <v>45809</v>
      </c>
      <c r="M74" s="10">
        <f>IF(ISNUMBER(tblClean[[#This Row],[Date]]),tblClean[[#This Row],[Date]]-WEEKDAY(tblClean[[#This Row],[Date]],2)+1,"")</f>
        <v>45824</v>
      </c>
      <c r="N74" s="23">
        <f>IF(ISNUMBER(tblClean[[#This Row],[Week Start]]),(tblClean[[#This Row],[Week Start]]-MIN(tblClean[Week Start]))/7+1,"")</f>
        <v>3</v>
      </c>
      <c r="O74" s="24" t="str">
        <f>IF(ISNUMBER(tblClean[[#This Row],[Date]]),CHOOSE(WEEKDAY(tblClean[[#This Row],[Date]],2),"Mon","Tue","Wed","Thu","Fri","Sat","Sun"),"")</f>
        <v>Wed</v>
      </c>
      <c r="P74" s="24" t="str">
        <f>IF(ISNUMBER(tblClean[[#This Row],[Date]]),IF(WEEKDAY(tblClean[[#This Row],[Date]],2)&gt;=6,"Weekend","Weekday"),"")</f>
        <v>Weekday</v>
      </c>
      <c r="Q7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74" s="9" t="str">
        <f>IF(ISNUMBER(tblClean[[#This Row],[Duration Hours]]),IF(tblClean[[#This Row],[Duration Hours]]&lt;2,"Short (under 2h)",IF(tblClean[[#This Row],[Duration Hours]]&lt;3,"Standard (2h to under 3h)","Long (3h or more)")),"")</f>
        <v>Long (3h or more)</v>
      </c>
      <c r="S7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74" s="24">
        <f>IF(COUNTIF(tblClean[Session ID],tblClean[[#This Row],[Session ID]])&gt;1,1,0)</f>
        <v>0</v>
      </c>
      <c r="U74" s="24">
        <f>IF(OR(N(tblClean[[#This Row],[Attributed GMV PHP]])&lt;0,N(tblClean[[#This Row],[Items Sold]])&lt;0,N(tblClean[[#This Row],[Livestream Views]])&lt;0,N(tblClean[[#This Row],[New Followers]])&lt;0),1,0)</f>
        <v>0</v>
      </c>
      <c r="V74" s="24">
        <f>IF(ISNUMBER(tblClean[[#This Row],[Duration Hours]]),IF(OR(tblClean[[#This Row],[Duration Hours]]&lt;=0,tblClean[[#This Row],[Duration Hours]]&gt;12),1,0),1)</f>
        <v>0</v>
      </c>
      <c r="W74" s="24">
        <f>IF(COUNTIF(HostRoster,tblClean[[#This Row],[Host Name]])=0,1,0)</f>
        <v>0</v>
      </c>
      <c r="X74" s="24">
        <f>IF(tblClean[[#This Row],[Missing Flag]]+tblClean[[#This Row],[Duplicate Flag]]+tblClean[[#This Row],[Negative Flag]]+tblClean[[#This Row],[Duration Flag]]+tblClean[[#This Row],[Host Flag]]=0,1,0)</f>
        <v>1</v>
      </c>
    </row>
    <row r="75" spans="1:24" x14ac:dyDescent="0.3">
      <c r="A75" s="9" t="str">
        <f>TRIM('Raw Data'!A71)</f>
        <v>LS-0067</v>
      </c>
      <c r="B75" s="10">
        <f>IF(ISNUMBER('Raw Data'!B71),INT('Raw Data'!B71),IFERROR(DATEVALUE('Raw Data'!B71),""))</f>
        <v>45826</v>
      </c>
      <c r="C75" s="9" t="str">
        <f>PROPER(TRIM('Raw Data'!C71))</f>
        <v>Aira Valdez</v>
      </c>
      <c r="D75" s="11">
        <f>IF(ISNUMBER('Raw Data'!D71),MOD('Raw Data'!D71,1),IFERROR(TIMEVALUE('Raw Data'!D71),""))</f>
        <v>0.66666666666666663</v>
      </c>
      <c r="E75" s="11">
        <f>IF(ISNUMBER('Raw Data'!E71),MOD('Raw Data'!E71,1),IFERROR(TIMEVALUE('Raw Data'!E71),""))</f>
        <v>0.79166666666666663</v>
      </c>
      <c r="F75" s="12">
        <f>IF(ISNUMBER('Raw Data'!F71),'Raw Data'!F71,IFERROR(VALUE(SUBSTITUTE('Raw Data'!F71,",","")),""))</f>
        <v>25392</v>
      </c>
      <c r="G75" s="13">
        <f>IF(ISNUMBER('Raw Data'!G71),'Raw Data'!G71,IFERROR(VALUE(SUBSTITUTE('Raw Data'!G71,",","")),""))</f>
        <v>83</v>
      </c>
      <c r="H75" s="13">
        <f>IF(ISNUMBER('Raw Data'!H71),'Raw Data'!H71,IFERROR(VALUE(SUBSTITUTE('Raw Data'!H71,",","")),""))</f>
        <v>130074</v>
      </c>
      <c r="I75" s="13">
        <f>IF(ISNUMBER('Raw Data'!I71),'Raw Data'!I71,IFERROR(VALUE(SUBSTITUTE('Raw Data'!I71,",","")),""))</f>
        <v>775</v>
      </c>
      <c r="J75" s="21">
        <f>IF(AND(ISNUMBER(tblClean[[#This Row],[Start Time]]),ISNUMBER(tblClean[[#This Row],[End Time]])),ROUND(MOD(tblClean[[#This Row],[End Time]]-tblClean[[#This Row],[Start Time]],1)*24,2),"")</f>
        <v>3</v>
      </c>
      <c r="K75" s="12">
        <f>IF(AND(ISNUMBER(tblClean[[#This Row],[Duration Hours]]),ISNUMBER(tblClean[[#This Row],[Attributed GMV PHP]])),IF(tblClean[[#This Row],[Duration Hours]]&gt;0,tblClean[[#This Row],[Attributed GMV PHP]]/tblClean[[#This Row],[Duration Hours]],""),"")</f>
        <v>8464</v>
      </c>
      <c r="L75" s="22">
        <f>IF(ISNUMBER(tblClean[[#This Row],[Date]]),DATE(YEAR(tblClean[[#This Row],[Date]]),MONTH(tblClean[[#This Row],[Date]]),1),"")</f>
        <v>45809</v>
      </c>
      <c r="M75" s="10">
        <f>IF(ISNUMBER(tblClean[[#This Row],[Date]]),tblClean[[#This Row],[Date]]-WEEKDAY(tblClean[[#This Row],[Date]],2)+1,"")</f>
        <v>45824</v>
      </c>
      <c r="N75" s="23">
        <f>IF(ISNUMBER(tblClean[[#This Row],[Week Start]]),(tblClean[[#This Row],[Week Start]]-MIN(tblClean[Week Start]))/7+1,"")</f>
        <v>3</v>
      </c>
      <c r="O75" s="24" t="str">
        <f>IF(ISNUMBER(tblClean[[#This Row],[Date]]),CHOOSE(WEEKDAY(tblClean[[#This Row],[Date]],2),"Mon","Tue","Wed","Thu","Fri","Sat","Sun"),"")</f>
        <v>Wed</v>
      </c>
      <c r="P75" s="24" t="str">
        <f>IF(ISNUMBER(tblClean[[#This Row],[Date]]),IF(WEEKDAY(tblClean[[#This Row],[Date]],2)&gt;=6,"Weekend","Weekday"),"")</f>
        <v>Weekday</v>
      </c>
      <c r="Q7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75" s="9" t="str">
        <f>IF(ISNUMBER(tblClean[[#This Row],[Duration Hours]]),IF(tblClean[[#This Row],[Duration Hours]]&lt;2,"Short (under 2h)",IF(tblClean[[#This Row],[Duration Hours]]&lt;3,"Standard (2h to under 3h)","Long (3h or more)")),"")</f>
        <v>Long (3h or more)</v>
      </c>
      <c r="S7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75" s="24">
        <f>IF(COUNTIF(tblClean[Session ID],tblClean[[#This Row],[Session ID]])&gt;1,1,0)</f>
        <v>0</v>
      </c>
      <c r="U75" s="24">
        <f>IF(OR(N(tblClean[[#This Row],[Attributed GMV PHP]])&lt;0,N(tblClean[[#This Row],[Items Sold]])&lt;0,N(tblClean[[#This Row],[Livestream Views]])&lt;0,N(tblClean[[#This Row],[New Followers]])&lt;0),1,0)</f>
        <v>0</v>
      </c>
      <c r="V75" s="24">
        <f>IF(ISNUMBER(tblClean[[#This Row],[Duration Hours]]),IF(OR(tblClean[[#This Row],[Duration Hours]]&lt;=0,tblClean[[#This Row],[Duration Hours]]&gt;12),1,0),1)</f>
        <v>0</v>
      </c>
      <c r="W75" s="24">
        <f>IF(COUNTIF(HostRoster,tblClean[[#This Row],[Host Name]])=0,1,0)</f>
        <v>0</v>
      </c>
      <c r="X75" s="24">
        <f>IF(tblClean[[#This Row],[Missing Flag]]+tblClean[[#This Row],[Duplicate Flag]]+tblClean[[#This Row],[Negative Flag]]+tblClean[[#This Row],[Duration Flag]]+tblClean[[#This Row],[Host Flag]]=0,1,0)</f>
        <v>1</v>
      </c>
    </row>
    <row r="76" spans="1:24" x14ac:dyDescent="0.3">
      <c r="A76" s="9" t="str">
        <f>TRIM('Raw Data'!A72)</f>
        <v>LS-0068</v>
      </c>
      <c r="B76" s="10">
        <f>IF(ISNUMBER('Raw Data'!B72),INT('Raw Data'!B72),IFERROR(DATEVALUE('Raw Data'!B72),""))</f>
        <v>45826</v>
      </c>
      <c r="C76" s="9" t="str">
        <f>PROPER(TRIM('Raw Data'!C72))</f>
        <v>Aira Valdez</v>
      </c>
      <c r="D76" s="11">
        <f>IF(ISNUMBER('Raw Data'!D72),MOD('Raw Data'!D72,1),IFERROR(TIMEVALUE('Raw Data'!D72),""))</f>
        <v>0.79166666666666663</v>
      </c>
      <c r="E76" s="11">
        <f>IF(ISNUMBER('Raw Data'!E72),MOD('Raw Data'!E72,1),IFERROR(TIMEVALUE('Raw Data'!E72),""))</f>
        <v>0.89583333333333337</v>
      </c>
      <c r="F76" s="12">
        <f>IF(ISNUMBER('Raw Data'!F72),'Raw Data'!F72,IFERROR(VALUE(SUBSTITUTE('Raw Data'!F72,",","")),""))</f>
        <v>41803</v>
      </c>
      <c r="G76" s="13">
        <f>IF(ISNUMBER('Raw Data'!G72),'Raw Data'!G72,IFERROR(VALUE(SUBSTITUTE('Raw Data'!G72,",","")),""))</f>
        <v>120</v>
      </c>
      <c r="H76" s="13">
        <f>IF(ISNUMBER('Raw Data'!H72),'Raw Data'!H72,IFERROR(VALUE(SUBSTITUTE('Raw Data'!H72,",","")),""))</f>
        <v>129441</v>
      </c>
      <c r="I76" s="13">
        <f>IF(ISNUMBER('Raw Data'!I72),'Raw Data'!I72,IFERROR(VALUE(SUBSTITUTE('Raw Data'!I72,",","")),""))</f>
        <v>829</v>
      </c>
      <c r="J76" s="21">
        <f>IF(AND(ISNUMBER(tblClean[[#This Row],[Start Time]]),ISNUMBER(tblClean[[#This Row],[End Time]])),ROUND(MOD(tblClean[[#This Row],[End Time]]-tblClean[[#This Row],[Start Time]],1)*24,2),"")</f>
        <v>2.5</v>
      </c>
      <c r="K76" s="12">
        <f>IF(AND(ISNUMBER(tblClean[[#This Row],[Duration Hours]]),ISNUMBER(tblClean[[#This Row],[Attributed GMV PHP]])),IF(tblClean[[#This Row],[Duration Hours]]&gt;0,tblClean[[#This Row],[Attributed GMV PHP]]/tblClean[[#This Row],[Duration Hours]],""),"")</f>
        <v>16721.2</v>
      </c>
      <c r="L76" s="22">
        <f>IF(ISNUMBER(tblClean[[#This Row],[Date]]),DATE(YEAR(tblClean[[#This Row],[Date]]),MONTH(tblClean[[#This Row],[Date]]),1),"")</f>
        <v>45809</v>
      </c>
      <c r="M76" s="10">
        <f>IF(ISNUMBER(tblClean[[#This Row],[Date]]),tblClean[[#This Row],[Date]]-WEEKDAY(tblClean[[#This Row],[Date]],2)+1,"")</f>
        <v>45824</v>
      </c>
      <c r="N76" s="23">
        <f>IF(ISNUMBER(tblClean[[#This Row],[Week Start]]),(tblClean[[#This Row],[Week Start]]-MIN(tblClean[Week Start]))/7+1,"")</f>
        <v>3</v>
      </c>
      <c r="O76" s="24" t="str">
        <f>IF(ISNUMBER(tblClean[[#This Row],[Date]]),CHOOSE(WEEKDAY(tblClean[[#This Row],[Date]],2),"Mon","Tue","Wed","Thu","Fri","Sat","Sun"),"")</f>
        <v>Wed</v>
      </c>
      <c r="P76" s="24" t="str">
        <f>IF(ISNUMBER(tblClean[[#This Row],[Date]]),IF(WEEKDAY(tblClean[[#This Row],[Date]],2)&gt;=6,"Weekend","Weekday"),"")</f>
        <v>Weekday</v>
      </c>
      <c r="Q7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76" s="9" t="str">
        <f>IF(ISNUMBER(tblClean[[#This Row],[Duration Hours]]),IF(tblClean[[#This Row],[Duration Hours]]&lt;2,"Short (under 2h)",IF(tblClean[[#This Row],[Duration Hours]]&lt;3,"Standard (2h to under 3h)","Long (3h or more)")),"")</f>
        <v>Standard (2h to under 3h)</v>
      </c>
      <c r="S7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76" s="24">
        <f>IF(COUNTIF(tblClean[Session ID],tblClean[[#This Row],[Session ID]])&gt;1,1,0)</f>
        <v>0</v>
      </c>
      <c r="U76" s="24">
        <f>IF(OR(N(tblClean[[#This Row],[Attributed GMV PHP]])&lt;0,N(tblClean[[#This Row],[Items Sold]])&lt;0,N(tblClean[[#This Row],[Livestream Views]])&lt;0,N(tblClean[[#This Row],[New Followers]])&lt;0),1,0)</f>
        <v>0</v>
      </c>
      <c r="V76" s="24">
        <f>IF(ISNUMBER(tblClean[[#This Row],[Duration Hours]]),IF(OR(tblClean[[#This Row],[Duration Hours]]&lt;=0,tblClean[[#This Row],[Duration Hours]]&gt;12),1,0),1)</f>
        <v>0</v>
      </c>
      <c r="W76" s="24">
        <f>IF(COUNTIF(HostRoster,tblClean[[#This Row],[Host Name]])=0,1,0)</f>
        <v>0</v>
      </c>
      <c r="X76" s="24">
        <f>IF(tblClean[[#This Row],[Missing Flag]]+tblClean[[#This Row],[Duplicate Flag]]+tblClean[[#This Row],[Negative Flag]]+tblClean[[#This Row],[Duration Flag]]+tblClean[[#This Row],[Host Flag]]=0,1,0)</f>
        <v>1</v>
      </c>
    </row>
    <row r="77" spans="1:24" x14ac:dyDescent="0.3">
      <c r="A77" s="9" t="str">
        <f>TRIM('Raw Data'!A73)</f>
        <v>LS-0069</v>
      </c>
      <c r="B77" s="10">
        <f>IF(ISNUMBER('Raw Data'!B73),INT('Raw Data'!B73),IFERROR(DATEVALUE('Raw Data'!B73),""))</f>
        <v>45827</v>
      </c>
      <c r="C77" s="9" t="str">
        <f>PROPER(TRIM('Raw Data'!C73))</f>
        <v>Elise Navarro</v>
      </c>
      <c r="D77" s="11">
        <f>IF(ISNUMBER('Raw Data'!D73),MOD('Raw Data'!D73,1),IFERROR(TIMEVALUE('Raw Data'!D73),""))</f>
        <v>0.41666666666666669</v>
      </c>
      <c r="E77" s="11">
        <f>IF(ISNUMBER('Raw Data'!E73),MOD('Raw Data'!E73,1),IFERROR(TIMEVALUE('Raw Data'!E73),""))</f>
        <v>0.5</v>
      </c>
      <c r="F77" s="12">
        <f>IF(ISNUMBER('Raw Data'!F73),'Raw Data'!F73,IFERROR(VALUE(SUBSTITUTE('Raw Data'!F73,",","")),""))</f>
        <v>9000</v>
      </c>
      <c r="G77" s="13">
        <f>IF(ISNUMBER('Raw Data'!G73),'Raw Data'!G73,IFERROR(VALUE(SUBSTITUTE('Raw Data'!G73,",","")),""))</f>
        <v>28</v>
      </c>
      <c r="H77" s="13">
        <f>IF(ISNUMBER('Raw Data'!H73),'Raw Data'!H73,IFERROR(VALUE(SUBSTITUTE('Raw Data'!H73,",","")),""))</f>
        <v>26960</v>
      </c>
      <c r="I77" s="13">
        <f>IF(ISNUMBER('Raw Data'!I73),'Raw Data'!I73,IFERROR(VALUE(SUBSTITUTE('Raw Data'!I73,",","")),""))</f>
        <v>297</v>
      </c>
      <c r="J77" s="21">
        <f>IF(AND(ISNUMBER(tblClean[[#This Row],[Start Time]]),ISNUMBER(tblClean[[#This Row],[End Time]])),ROUND(MOD(tblClean[[#This Row],[End Time]]-tblClean[[#This Row],[Start Time]],1)*24,2),"")</f>
        <v>2</v>
      </c>
      <c r="K77" s="12">
        <f>IF(AND(ISNUMBER(tblClean[[#This Row],[Duration Hours]]),ISNUMBER(tblClean[[#This Row],[Attributed GMV PHP]])),IF(tblClean[[#This Row],[Duration Hours]]&gt;0,tblClean[[#This Row],[Attributed GMV PHP]]/tblClean[[#This Row],[Duration Hours]],""),"")</f>
        <v>4500</v>
      </c>
      <c r="L77" s="22">
        <f>IF(ISNUMBER(tblClean[[#This Row],[Date]]),DATE(YEAR(tblClean[[#This Row],[Date]]),MONTH(tblClean[[#This Row],[Date]]),1),"")</f>
        <v>45809</v>
      </c>
      <c r="M77" s="10">
        <f>IF(ISNUMBER(tblClean[[#This Row],[Date]]),tblClean[[#This Row],[Date]]-WEEKDAY(tblClean[[#This Row],[Date]],2)+1,"")</f>
        <v>45824</v>
      </c>
      <c r="N77" s="23">
        <f>IF(ISNUMBER(tblClean[[#This Row],[Week Start]]),(tblClean[[#This Row],[Week Start]]-MIN(tblClean[Week Start]))/7+1,"")</f>
        <v>3</v>
      </c>
      <c r="O77" s="24" t="str">
        <f>IF(ISNUMBER(tblClean[[#This Row],[Date]]),CHOOSE(WEEKDAY(tblClean[[#This Row],[Date]],2),"Mon","Tue","Wed","Thu","Fri","Sat","Sun"),"")</f>
        <v>Thu</v>
      </c>
      <c r="P77" s="24" t="str">
        <f>IF(ISNUMBER(tblClean[[#This Row],[Date]]),IF(WEEKDAY(tblClean[[#This Row],[Date]],2)&gt;=6,"Weekend","Weekday"),"")</f>
        <v>Weekday</v>
      </c>
      <c r="Q7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77" s="9" t="str">
        <f>IF(ISNUMBER(tblClean[[#This Row],[Duration Hours]]),IF(tblClean[[#This Row],[Duration Hours]]&lt;2,"Short (under 2h)",IF(tblClean[[#This Row],[Duration Hours]]&lt;3,"Standard (2h to under 3h)","Long (3h or more)")),"")</f>
        <v>Standard (2h to under 3h)</v>
      </c>
      <c r="S7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77" s="24">
        <f>IF(COUNTIF(tblClean[Session ID],tblClean[[#This Row],[Session ID]])&gt;1,1,0)</f>
        <v>0</v>
      </c>
      <c r="U77" s="24">
        <f>IF(OR(N(tblClean[[#This Row],[Attributed GMV PHP]])&lt;0,N(tblClean[[#This Row],[Items Sold]])&lt;0,N(tblClean[[#This Row],[Livestream Views]])&lt;0,N(tblClean[[#This Row],[New Followers]])&lt;0),1,0)</f>
        <v>0</v>
      </c>
      <c r="V77" s="24">
        <f>IF(ISNUMBER(tblClean[[#This Row],[Duration Hours]]),IF(OR(tblClean[[#This Row],[Duration Hours]]&lt;=0,tblClean[[#This Row],[Duration Hours]]&gt;12),1,0),1)</f>
        <v>0</v>
      </c>
      <c r="W77" s="24">
        <f>IF(COUNTIF(HostRoster,tblClean[[#This Row],[Host Name]])=0,1,0)</f>
        <v>0</v>
      </c>
      <c r="X77" s="24">
        <f>IF(tblClean[[#This Row],[Missing Flag]]+tblClean[[#This Row],[Duplicate Flag]]+tblClean[[#This Row],[Negative Flag]]+tblClean[[#This Row],[Duration Flag]]+tblClean[[#This Row],[Host Flag]]=0,1,0)</f>
        <v>1</v>
      </c>
    </row>
    <row r="78" spans="1:24" x14ac:dyDescent="0.3">
      <c r="A78" s="9" t="str">
        <f>TRIM('Raw Data'!A74)</f>
        <v>LS-0070</v>
      </c>
      <c r="B78" s="10">
        <f>IF(ISNUMBER('Raw Data'!B74),INT('Raw Data'!B74),IFERROR(DATEVALUE('Raw Data'!B74),""))</f>
        <v>45827</v>
      </c>
      <c r="C78" s="9" t="str">
        <f>PROPER(TRIM('Raw Data'!C74))</f>
        <v>Aira Valdez</v>
      </c>
      <c r="D78" s="11">
        <f>IF(ISNUMBER('Raw Data'!D74),MOD('Raw Data'!D74,1),IFERROR(TIMEVALUE('Raw Data'!D74),""))</f>
        <v>0.54166666666666663</v>
      </c>
      <c r="E78" s="11">
        <f>IF(ISNUMBER('Raw Data'!E74),MOD('Raw Data'!E74,1),IFERROR(TIMEVALUE('Raw Data'!E74),""))</f>
        <v>0.60416666666666663</v>
      </c>
      <c r="F78" s="12">
        <f>IF(ISNUMBER('Raw Data'!F74),'Raw Data'!F74,IFERROR(VALUE(SUBSTITUTE('Raw Data'!F74,",","")),""))</f>
        <v>16057</v>
      </c>
      <c r="G78" s="13">
        <f>IF(ISNUMBER('Raw Data'!G74),'Raw Data'!G74,IFERROR(VALUE(SUBSTITUTE('Raw Data'!G74,",","")),""))</f>
        <v>49</v>
      </c>
      <c r="H78" s="13">
        <f>IF(ISNUMBER('Raw Data'!H74),'Raw Data'!H74,IFERROR(VALUE(SUBSTITUTE('Raw Data'!H74,",","")),""))</f>
        <v>46285</v>
      </c>
      <c r="I78" s="13">
        <f>IF(ISNUMBER('Raw Data'!I74),'Raw Data'!I74,IFERROR(VALUE(SUBSTITUTE('Raw Data'!I74,",","")),""))</f>
        <v>461</v>
      </c>
      <c r="J78" s="21">
        <f>IF(AND(ISNUMBER(tblClean[[#This Row],[Start Time]]),ISNUMBER(tblClean[[#This Row],[End Time]])),ROUND(MOD(tblClean[[#This Row],[End Time]]-tblClean[[#This Row],[Start Time]],1)*24,2),"")</f>
        <v>1.5</v>
      </c>
      <c r="K78" s="12">
        <f>IF(AND(ISNUMBER(tblClean[[#This Row],[Duration Hours]]),ISNUMBER(tblClean[[#This Row],[Attributed GMV PHP]])),IF(tblClean[[#This Row],[Duration Hours]]&gt;0,tblClean[[#This Row],[Attributed GMV PHP]]/tblClean[[#This Row],[Duration Hours]],""),"")</f>
        <v>10704.666666666666</v>
      </c>
      <c r="L78" s="22">
        <f>IF(ISNUMBER(tblClean[[#This Row],[Date]]),DATE(YEAR(tblClean[[#This Row],[Date]]),MONTH(tblClean[[#This Row],[Date]]),1),"")</f>
        <v>45809</v>
      </c>
      <c r="M78" s="10">
        <f>IF(ISNUMBER(tblClean[[#This Row],[Date]]),tblClean[[#This Row],[Date]]-WEEKDAY(tblClean[[#This Row],[Date]],2)+1,"")</f>
        <v>45824</v>
      </c>
      <c r="N78" s="23">
        <f>IF(ISNUMBER(tblClean[[#This Row],[Week Start]]),(tblClean[[#This Row],[Week Start]]-MIN(tblClean[Week Start]))/7+1,"")</f>
        <v>3</v>
      </c>
      <c r="O78" s="24" t="str">
        <f>IF(ISNUMBER(tblClean[[#This Row],[Date]]),CHOOSE(WEEKDAY(tblClean[[#This Row],[Date]],2),"Mon","Tue","Wed","Thu","Fri","Sat","Sun"),"")</f>
        <v>Thu</v>
      </c>
      <c r="P78" s="24" t="str">
        <f>IF(ISNUMBER(tblClean[[#This Row],[Date]]),IF(WEEKDAY(tblClean[[#This Row],[Date]],2)&gt;=6,"Weekend","Weekday"),"")</f>
        <v>Weekday</v>
      </c>
      <c r="Q7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78" s="9" t="str">
        <f>IF(ISNUMBER(tblClean[[#This Row],[Duration Hours]]),IF(tblClean[[#This Row],[Duration Hours]]&lt;2,"Short (under 2h)",IF(tblClean[[#This Row],[Duration Hours]]&lt;3,"Standard (2h to under 3h)","Long (3h or more)")),"")</f>
        <v>Short (under 2h)</v>
      </c>
      <c r="S7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78" s="24">
        <f>IF(COUNTIF(tblClean[Session ID],tblClean[[#This Row],[Session ID]])&gt;1,1,0)</f>
        <v>0</v>
      </c>
      <c r="U78" s="24">
        <f>IF(OR(N(tblClean[[#This Row],[Attributed GMV PHP]])&lt;0,N(tblClean[[#This Row],[Items Sold]])&lt;0,N(tblClean[[#This Row],[Livestream Views]])&lt;0,N(tblClean[[#This Row],[New Followers]])&lt;0),1,0)</f>
        <v>0</v>
      </c>
      <c r="V78" s="24">
        <f>IF(ISNUMBER(tblClean[[#This Row],[Duration Hours]]),IF(OR(tblClean[[#This Row],[Duration Hours]]&lt;=0,tblClean[[#This Row],[Duration Hours]]&gt;12),1,0),1)</f>
        <v>0</v>
      </c>
      <c r="W78" s="24">
        <f>IF(COUNTIF(HostRoster,tblClean[[#This Row],[Host Name]])=0,1,0)</f>
        <v>0</v>
      </c>
      <c r="X78" s="24">
        <f>IF(tblClean[[#This Row],[Missing Flag]]+tblClean[[#This Row],[Duplicate Flag]]+tblClean[[#This Row],[Negative Flag]]+tblClean[[#This Row],[Duration Flag]]+tblClean[[#This Row],[Host Flag]]=0,1,0)</f>
        <v>1</v>
      </c>
    </row>
    <row r="79" spans="1:24" x14ac:dyDescent="0.3">
      <c r="A79" s="9" t="str">
        <f>TRIM('Raw Data'!A75)</f>
        <v>LS-0071</v>
      </c>
      <c r="B79" s="10">
        <f>IF(ISNUMBER('Raw Data'!B75),INT('Raw Data'!B75),IFERROR(DATEVALUE('Raw Data'!B75),""))</f>
        <v>45827</v>
      </c>
      <c r="C79" s="9" t="str">
        <f>PROPER(TRIM('Raw Data'!C75))</f>
        <v>Bianca Reyes</v>
      </c>
      <c r="D79" s="11">
        <f>IF(ISNUMBER('Raw Data'!D75),MOD('Raw Data'!D75,1),IFERROR(TIMEVALUE('Raw Data'!D75),""))</f>
        <v>0.79166666666666663</v>
      </c>
      <c r="E79" s="11">
        <f>IF(ISNUMBER('Raw Data'!E75),MOD('Raw Data'!E75,1),IFERROR(TIMEVALUE('Raw Data'!E75),""))</f>
        <v>0.85416666666666663</v>
      </c>
      <c r="F79" s="12">
        <f>IF(ISNUMBER('Raw Data'!F75),'Raw Data'!F75,IFERROR(VALUE(SUBSTITUTE('Raw Data'!F75,",","")),""))</f>
        <v>24904</v>
      </c>
      <c r="G79" s="13">
        <f>IF(ISNUMBER('Raw Data'!G75),'Raw Data'!G75,IFERROR(VALUE(SUBSTITUTE('Raw Data'!G75,",","")),""))</f>
        <v>66</v>
      </c>
      <c r="H79" s="13">
        <f>IF(ISNUMBER('Raw Data'!H75),'Raw Data'!H75,IFERROR(VALUE(SUBSTITUTE('Raw Data'!H75,",","")),""))</f>
        <v>61324</v>
      </c>
      <c r="I79" s="13">
        <f>IF(ISNUMBER('Raw Data'!I75),'Raw Data'!I75,IFERROR(VALUE(SUBSTITUTE('Raw Data'!I75,",","")),""))</f>
        <v>496</v>
      </c>
      <c r="J79" s="21">
        <f>IF(AND(ISNUMBER(tblClean[[#This Row],[Start Time]]),ISNUMBER(tblClean[[#This Row],[End Time]])),ROUND(MOD(tblClean[[#This Row],[End Time]]-tblClean[[#This Row],[Start Time]],1)*24,2),"")</f>
        <v>1.5</v>
      </c>
      <c r="K79" s="12">
        <f>IF(AND(ISNUMBER(tblClean[[#This Row],[Duration Hours]]),ISNUMBER(tblClean[[#This Row],[Attributed GMV PHP]])),IF(tblClean[[#This Row],[Duration Hours]]&gt;0,tblClean[[#This Row],[Attributed GMV PHP]]/tblClean[[#This Row],[Duration Hours]],""),"")</f>
        <v>16602.666666666668</v>
      </c>
      <c r="L79" s="22">
        <f>IF(ISNUMBER(tblClean[[#This Row],[Date]]),DATE(YEAR(tblClean[[#This Row],[Date]]),MONTH(tblClean[[#This Row],[Date]]),1),"")</f>
        <v>45809</v>
      </c>
      <c r="M79" s="10">
        <f>IF(ISNUMBER(tblClean[[#This Row],[Date]]),tblClean[[#This Row],[Date]]-WEEKDAY(tblClean[[#This Row],[Date]],2)+1,"")</f>
        <v>45824</v>
      </c>
      <c r="N79" s="23">
        <f>IF(ISNUMBER(tblClean[[#This Row],[Week Start]]),(tblClean[[#This Row],[Week Start]]-MIN(tblClean[Week Start]))/7+1,"")</f>
        <v>3</v>
      </c>
      <c r="O79" s="24" t="str">
        <f>IF(ISNUMBER(tblClean[[#This Row],[Date]]),CHOOSE(WEEKDAY(tblClean[[#This Row],[Date]],2),"Mon","Tue","Wed","Thu","Fri","Sat","Sun"),"")</f>
        <v>Thu</v>
      </c>
      <c r="P79" s="24" t="str">
        <f>IF(ISNUMBER(tblClean[[#This Row],[Date]]),IF(WEEKDAY(tblClean[[#This Row],[Date]],2)&gt;=6,"Weekend","Weekday"),"")</f>
        <v>Weekday</v>
      </c>
      <c r="Q7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79" s="9" t="str">
        <f>IF(ISNUMBER(tblClean[[#This Row],[Duration Hours]]),IF(tblClean[[#This Row],[Duration Hours]]&lt;2,"Short (under 2h)",IF(tblClean[[#This Row],[Duration Hours]]&lt;3,"Standard (2h to under 3h)","Long (3h or more)")),"")</f>
        <v>Short (under 2h)</v>
      </c>
      <c r="S7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79" s="24">
        <f>IF(COUNTIF(tblClean[Session ID],tblClean[[#This Row],[Session ID]])&gt;1,1,0)</f>
        <v>0</v>
      </c>
      <c r="U79" s="24">
        <f>IF(OR(N(tblClean[[#This Row],[Attributed GMV PHP]])&lt;0,N(tblClean[[#This Row],[Items Sold]])&lt;0,N(tblClean[[#This Row],[Livestream Views]])&lt;0,N(tblClean[[#This Row],[New Followers]])&lt;0),1,0)</f>
        <v>0</v>
      </c>
      <c r="V79" s="24">
        <f>IF(ISNUMBER(tblClean[[#This Row],[Duration Hours]]),IF(OR(tblClean[[#This Row],[Duration Hours]]&lt;=0,tblClean[[#This Row],[Duration Hours]]&gt;12),1,0),1)</f>
        <v>0</v>
      </c>
      <c r="W79" s="24">
        <f>IF(COUNTIF(HostRoster,tblClean[[#This Row],[Host Name]])=0,1,0)</f>
        <v>0</v>
      </c>
      <c r="X79" s="24">
        <f>IF(tblClean[[#This Row],[Missing Flag]]+tblClean[[#This Row],[Duplicate Flag]]+tblClean[[#This Row],[Negative Flag]]+tblClean[[#This Row],[Duration Flag]]+tblClean[[#This Row],[Host Flag]]=0,1,0)</f>
        <v>1</v>
      </c>
    </row>
    <row r="80" spans="1:24" x14ac:dyDescent="0.3">
      <c r="A80" s="9" t="str">
        <f>TRIM('Raw Data'!A76)</f>
        <v>LS-0072</v>
      </c>
      <c r="B80" s="10">
        <f>IF(ISNUMBER('Raw Data'!B76),INT('Raw Data'!B76),IFERROR(DATEVALUE('Raw Data'!B76),""))</f>
        <v>45828</v>
      </c>
      <c r="C80" s="9" t="str">
        <f>PROPER(TRIM('Raw Data'!C76))</f>
        <v>Bianca Reyes</v>
      </c>
      <c r="D80" s="11">
        <f>IF(ISNUMBER('Raw Data'!D76),MOD('Raw Data'!D76,1),IFERROR(TIMEVALUE('Raw Data'!D76),""))</f>
        <v>0.54166666666666663</v>
      </c>
      <c r="E80" s="11">
        <f>IF(ISNUMBER('Raw Data'!E76),MOD('Raw Data'!E76,1),IFERROR(TIMEVALUE('Raw Data'!E76),""))</f>
        <v>0.64583333333333337</v>
      </c>
      <c r="F80" s="12">
        <f>IF(ISNUMBER('Raw Data'!F76),'Raw Data'!F76,IFERROR(VALUE(SUBSTITUTE('Raw Data'!F76,",","")),""))</f>
        <v>29252</v>
      </c>
      <c r="G80" s="13">
        <f>IF(ISNUMBER('Raw Data'!G76),'Raw Data'!G76,IFERROR(VALUE(SUBSTITUTE('Raw Data'!G76,",","")),""))</f>
        <v>77</v>
      </c>
      <c r="H80" s="13">
        <f>IF(ISNUMBER('Raw Data'!H76),'Raw Data'!H76,IFERROR(VALUE(SUBSTITUTE('Raw Data'!H76,",","")),""))</f>
        <v>91471</v>
      </c>
      <c r="I80" s="13">
        <f>IF(ISNUMBER('Raw Data'!I76),'Raw Data'!I76,IFERROR(VALUE(SUBSTITUTE('Raw Data'!I76,",","")),""))</f>
        <v>991</v>
      </c>
      <c r="J80" s="21">
        <f>IF(AND(ISNUMBER(tblClean[[#This Row],[Start Time]]),ISNUMBER(tblClean[[#This Row],[End Time]])),ROUND(MOD(tblClean[[#This Row],[End Time]]-tblClean[[#This Row],[Start Time]],1)*24,2),"")</f>
        <v>2.5</v>
      </c>
      <c r="K80" s="12">
        <f>IF(AND(ISNUMBER(tblClean[[#This Row],[Duration Hours]]),ISNUMBER(tblClean[[#This Row],[Attributed GMV PHP]])),IF(tblClean[[#This Row],[Duration Hours]]&gt;0,tblClean[[#This Row],[Attributed GMV PHP]]/tblClean[[#This Row],[Duration Hours]],""),"")</f>
        <v>11700.8</v>
      </c>
      <c r="L80" s="22">
        <f>IF(ISNUMBER(tblClean[[#This Row],[Date]]),DATE(YEAR(tblClean[[#This Row],[Date]]),MONTH(tblClean[[#This Row],[Date]]),1),"")</f>
        <v>45809</v>
      </c>
      <c r="M80" s="10">
        <f>IF(ISNUMBER(tblClean[[#This Row],[Date]]),tblClean[[#This Row],[Date]]-WEEKDAY(tblClean[[#This Row],[Date]],2)+1,"")</f>
        <v>45824</v>
      </c>
      <c r="N80" s="23">
        <f>IF(ISNUMBER(tblClean[[#This Row],[Week Start]]),(tblClean[[#This Row],[Week Start]]-MIN(tblClean[Week Start]))/7+1,"")</f>
        <v>3</v>
      </c>
      <c r="O80" s="24" t="str">
        <f>IF(ISNUMBER(tblClean[[#This Row],[Date]]),CHOOSE(WEEKDAY(tblClean[[#This Row],[Date]],2),"Mon","Tue","Wed","Thu","Fri","Sat","Sun"),"")</f>
        <v>Fri</v>
      </c>
      <c r="P80" s="24" t="str">
        <f>IF(ISNUMBER(tblClean[[#This Row],[Date]]),IF(WEEKDAY(tblClean[[#This Row],[Date]],2)&gt;=6,"Weekend","Weekday"),"")</f>
        <v>Weekday</v>
      </c>
      <c r="Q8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80" s="9" t="str">
        <f>IF(ISNUMBER(tblClean[[#This Row],[Duration Hours]]),IF(tblClean[[#This Row],[Duration Hours]]&lt;2,"Short (under 2h)",IF(tblClean[[#This Row],[Duration Hours]]&lt;3,"Standard (2h to under 3h)","Long (3h or more)")),"")</f>
        <v>Standard (2h to under 3h)</v>
      </c>
      <c r="S8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80" s="24">
        <f>IF(COUNTIF(tblClean[Session ID],tblClean[[#This Row],[Session ID]])&gt;1,1,0)</f>
        <v>0</v>
      </c>
      <c r="U80" s="24">
        <f>IF(OR(N(tblClean[[#This Row],[Attributed GMV PHP]])&lt;0,N(tblClean[[#This Row],[Items Sold]])&lt;0,N(tblClean[[#This Row],[Livestream Views]])&lt;0,N(tblClean[[#This Row],[New Followers]])&lt;0),1,0)</f>
        <v>0</v>
      </c>
      <c r="V80" s="24">
        <f>IF(ISNUMBER(tblClean[[#This Row],[Duration Hours]]),IF(OR(tblClean[[#This Row],[Duration Hours]]&lt;=0,tblClean[[#This Row],[Duration Hours]]&gt;12),1,0),1)</f>
        <v>0</v>
      </c>
      <c r="W80" s="24">
        <f>IF(COUNTIF(HostRoster,tblClean[[#This Row],[Host Name]])=0,1,0)</f>
        <v>0</v>
      </c>
      <c r="X80" s="24">
        <f>IF(tblClean[[#This Row],[Missing Flag]]+tblClean[[#This Row],[Duplicate Flag]]+tblClean[[#This Row],[Negative Flag]]+tblClean[[#This Row],[Duration Flag]]+tblClean[[#This Row],[Host Flag]]=0,1,0)</f>
        <v>1</v>
      </c>
    </row>
    <row r="81" spans="1:24" x14ac:dyDescent="0.3">
      <c r="A81" s="9" t="str">
        <f>TRIM('Raw Data'!A77)</f>
        <v>LS-0073</v>
      </c>
      <c r="B81" s="10">
        <f>IF(ISNUMBER('Raw Data'!B77),INT('Raw Data'!B77),IFERROR(DATEVALUE('Raw Data'!B77),""))</f>
        <v>45828</v>
      </c>
      <c r="C81" s="9" t="str">
        <f>PROPER(TRIM('Raw Data'!C77))</f>
        <v>Carlo Mendoza</v>
      </c>
      <c r="D81" s="11">
        <f>IF(ISNUMBER('Raw Data'!D77),MOD('Raw Data'!D77,1),IFERROR(TIMEVALUE('Raw Data'!D77),""))</f>
        <v>0.66666666666666663</v>
      </c>
      <c r="E81" s="11">
        <f>IF(ISNUMBER('Raw Data'!E77),MOD('Raw Data'!E77,1),IFERROR(TIMEVALUE('Raw Data'!E77),""))</f>
        <v>0.75</v>
      </c>
      <c r="F81" s="12">
        <f>IF(ISNUMBER('Raw Data'!F77),'Raw Data'!F77,IFERROR(VALUE(SUBSTITUTE('Raw Data'!F77,",","")),""))</f>
        <v>17078</v>
      </c>
      <c r="G81" s="13">
        <f>IF(ISNUMBER('Raw Data'!G77),'Raw Data'!G77,IFERROR(VALUE(SUBSTITUTE('Raw Data'!G77,",","")),""))</f>
        <v>48</v>
      </c>
      <c r="H81" s="13">
        <f>IF(ISNUMBER('Raw Data'!H77),'Raw Data'!H77,IFERROR(VALUE(SUBSTITUTE('Raw Data'!H77,",","")),""))</f>
        <v>74269</v>
      </c>
      <c r="I81" s="13">
        <f>IF(ISNUMBER('Raw Data'!I77),'Raw Data'!I77,IFERROR(VALUE(SUBSTITUTE('Raw Data'!I77,",","")),""))</f>
        <v>347</v>
      </c>
      <c r="J81" s="21">
        <f>IF(AND(ISNUMBER(tblClean[[#This Row],[Start Time]]),ISNUMBER(tblClean[[#This Row],[End Time]])),ROUND(MOD(tblClean[[#This Row],[End Time]]-tblClean[[#This Row],[Start Time]],1)*24,2),"")</f>
        <v>2</v>
      </c>
      <c r="K81" s="12">
        <f>IF(AND(ISNUMBER(tblClean[[#This Row],[Duration Hours]]),ISNUMBER(tblClean[[#This Row],[Attributed GMV PHP]])),IF(tblClean[[#This Row],[Duration Hours]]&gt;0,tblClean[[#This Row],[Attributed GMV PHP]]/tblClean[[#This Row],[Duration Hours]],""),"")</f>
        <v>8539</v>
      </c>
      <c r="L81" s="22">
        <f>IF(ISNUMBER(tblClean[[#This Row],[Date]]),DATE(YEAR(tblClean[[#This Row],[Date]]),MONTH(tblClean[[#This Row],[Date]]),1),"")</f>
        <v>45809</v>
      </c>
      <c r="M81" s="10">
        <f>IF(ISNUMBER(tblClean[[#This Row],[Date]]),tblClean[[#This Row],[Date]]-WEEKDAY(tblClean[[#This Row],[Date]],2)+1,"")</f>
        <v>45824</v>
      </c>
      <c r="N81" s="23">
        <f>IF(ISNUMBER(tblClean[[#This Row],[Week Start]]),(tblClean[[#This Row],[Week Start]]-MIN(tblClean[Week Start]))/7+1,"")</f>
        <v>3</v>
      </c>
      <c r="O81" s="24" t="str">
        <f>IF(ISNUMBER(tblClean[[#This Row],[Date]]),CHOOSE(WEEKDAY(tblClean[[#This Row],[Date]],2),"Mon","Tue","Wed","Thu","Fri","Sat","Sun"),"")</f>
        <v>Fri</v>
      </c>
      <c r="P81" s="24" t="str">
        <f>IF(ISNUMBER(tblClean[[#This Row],[Date]]),IF(WEEKDAY(tblClean[[#This Row],[Date]],2)&gt;=6,"Weekend","Weekday"),"")</f>
        <v>Weekday</v>
      </c>
      <c r="Q8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81" s="9" t="str">
        <f>IF(ISNUMBER(tblClean[[#This Row],[Duration Hours]]),IF(tblClean[[#This Row],[Duration Hours]]&lt;2,"Short (under 2h)",IF(tblClean[[#This Row],[Duration Hours]]&lt;3,"Standard (2h to under 3h)","Long (3h or more)")),"")</f>
        <v>Standard (2h to under 3h)</v>
      </c>
      <c r="S8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81" s="24">
        <f>IF(COUNTIF(tblClean[Session ID],tblClean[[#This Row],[Session ID]])&gt;1,1,0)</f>
        <v>0</v>
      </c>
      <c r="U81" s="24">
        <f>IF(OR(N(tblClean[[#This Row],[Attributed GMV PHP]])&lt;0,N(tblClean[[#This Row],[Items Sold]])&lt;0,N(tblClean[[#This Row],[Livestream Views]])&lt;0,N(tblClean[[#This Row],[New Followers]])&lt;0),1,0)</f>
        <v>0</v>
      </c>
      <c r="V81" s="24">
        <f>IF(ISNUMBER(tblClean[[#This Row],[Duration Hours]]),IF(OR(tblClean[[#This Row],[Duration Hours]]&lt;=0,tblClean[[#This Row],[Duration Hours]]&gt;12),1,0),1)</f>
        <v>0</v>
      </c>
      <c r="W81" s="24">
        <f>IF(COUNTIF(HostRoster,tblClean[[#This Row],[Host Name]])=0,1,0)</f>
        <v>0</v>
      </c>
      <c r="X81" s="24">
        <f>IF(tblClean[[#This Row],[Missing Flag]]+tblClean[[#This Row],[Duplicate Flag]]+tblClean[[#This Row],[Negative Flag]]+tblClean[[#This Row],[Duration Flag]]+tblClean[[#This Row],[Host Flag]]=0,1,0)</f>
        <v>1</v>
      </c>
    </row>
    <row r="82" spans="1:24" x14ac:dyDescent="0.3">
      <c r="A82" s="9" t="str">
        <f>TRIM('Raw Data'!A78)</f>
        <v>LS-0074</v>
      </c>
      <c r="B82" s="10">
        <f>IF(ISNUMBER('Raw Data'!B78),INT('Raw Data'!B78),IFERROR(DATEVALUE('Raw Data'!B78),""))</f>
        <v>45828</v>
      </c>
      <c r="C82" s="9" t="str">
        <f>PROPER(TRIM('Raw Data'!C78))</f>
        <v>Aira Valdez</v>
      </c>
      <c r="D82" s="11">
        <f>IF(ISNUMBER('Raw Data'!D78),MOD('Raw Data'!D78,1),IFERROR(TIMEVALUE('Raw Data'!D78),""))</f>
        <v>0.79166666666666663</v>
      </c>
      <c r="E82" s="11">
        <f>IF(ISNUMBER('Raw Data'!E78),MOD('Raw Data'!E78,1),IFERROR(TIMEVALUE('Raw Data'!E78),""))</f>
        <v>0.875</v>
      </c>
      <c r="F82" s="12">
        <f>IF(ISNUMBER('Raw Data'!F78),'Raw Data'!F78,IFERROR(VALUE(SUBSTITUTE('Raw Data'!F78,",","")),""))</f>
        <v>54463</v>
      </c>
      <c r="G82" s="13">
        <f>IF(ISNUMBER('Raw Data'!G78),'Raw Data'!G78,IFERROR(VALUE(SUBSTITUTE('Raw Data'!G78,",","")),""))</f>
        <v>164</v>
      </c>
      <c r="H82" s="13">
        <f>IF(ISNUMBER('Raw Data'!H78),'Raw Data'!H78,IFERROR(VALUE(SUBSTITUTE('Raw Data'!H78,",","")),""))</f>
        <v>168072</v>
      </c>
      <c r="I82" s="13">
        <f>IF(ISNUMBER('Raw Data'!I78),'Raw Data'!I78,IFERROR(VALUE(SUBSTITUTE('Raw Data'!I78,",","")),""))</f>
        <v>1417</v>
      </c>
      <c r="J82" s="21">
        <f>IF(AND(ISNUMBER(tblClean[[#This Row],[Start Time]]),ISNUMBER(tblClean[[#This Row],[End Time]])),ROUND(MOD(tblClean[[#This Row],[End Time]]-tblClean[[#This Row],[Start Time]],1)*24,2),"")</f>
        <v>2</v>
      </c>
      <c r="K82" s="12">
        <f>IF(AND(ISNUMBER(tblClean[[#This Row],[Duration Hours]]),ISNUMBER(tblClean[[#This Row],[Attributed GMV PHP]])),IF(tblClean[[#This Row],[Duration Hours]]&gt;0,tblClean[[#This Row],[Attributed GMV PHP]]/tblClean[[#This Row],[Duration Hours]],""),"")</f>
        <v>27231.5</v>
      </c>
      <c r="L82" s="22">
        <f>IF(ISNUMBER(tblClean[[#This Row],[Date]]),DATE(YEAR(tblClean[[#This Row],[Date]]),MONTH(tblClean[[#This Row],[Date]]),1),"")</f>
        <v>45809</v>
      </c>
      <c r="M82" s="10">
        <f>IF(ISNUMBER(tblClean[[#This Row],[Date]]),tblClean[[#This Row],[Date]]-WEEKDAY(tblClean[[#This Row],[Date]],2)+1,"")</f>
        <v>45824</v>
      </c>
      <c r="N82" s="23">
        <f>IF(ISNUMBER(tblClean[[#This Row],[Week Start]]),(tblClean[[#This Row],[Week Start]]-MIN(tblClean[Week Start]))/7+1,"")</f>
        <v>3</v>
      </c>
      <c r="O82" s="24" t="str">
        <f>IF(ISNUMBER(tblClean[[#This Row],[Date]]),CHOOSE(WEEKDAY(tblClean[[#This Row],[Date]],2),"Mon","Tue","Wed","Thu","Fri","Sat","Sun"),"")</f>
        <v>Fri</v>
      </c>
      <c r="P82" s="24" t="str">
        <f>IF(ISNUMBER(tblClean[[#This Row],[Date]]),IF(WEEKDAY(tblClean[[#This Row],[Date]],2)&gt;=6,"Weekend","Weekday"),"")</f>
        <v>Weekday</v>
      </c>
      <c r="Q8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82" s="9" t="str">
        <f>IF(ISNUMBER(tblClean[[#This Row],[Duration Hours]]),IF(tblClean[[#This Row],[Duration Hours]]&lt;2,"Short (under 2h)",IF(tblClean[[#This Row],[Duration Hours]]&lt;3,"Standard (2h to under 3h)","Long (3h or more)")),"")</f>
        <v>Standard (2h to under 3h)</v>
      </c>
      <c r="S8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82" s="24">
        <f>IF(COUNTIF(tblClean[Session ID],tblClean[[#This Row],[Session ID]])&gt;1,1,0)</f>
        <v>0</v>
      </c>
      <c r="U82" s="24">
        <f>IF(OR(N(tblClean[[#This Row],[Attributed GMV PHP]])&lt;0,N(tblClean[[#This Row],[Items Sold]])&lt;0,N(tblClean[[#This Row],[Livestream Views]])&lt;0,N(tblClean[[#This Row],[New Followers]])&lt;0),1,0)</f>
        <v>0</v>
      </c>
      <c r="V82" s="24">
        <f>IF(ISNUMBER(tblClean[[#This Row],[Duration Hours]]),IF(OR(tblClean[[#This Row],[Duration Hours]]&lt;=0,tblClean[[#This Row],[Duration Hours]]&gt;12),1,0),1)</f>
        <v>0</v>
      </c>
      <c r="W82" s="24">
        <f>IF(COUNTIF(HostRoster,tblClean[[#This Row],[Host Name]])=0,1,0)</f>
        <v>0</v>
      </c>
      <c r="X82" s="24">
        <f>IF(tblClean[[#This Row],[Missing Flag]]+tblClean[[#This Row],[Duplicate Flag]]+tblClean[[#This Row],[Negative Flag]]+tblClean[[#This Row],[Duration Flag]]+tblClean[[#This Row],[Host Flag]]=0,1,0)</f>
        <v>1</v>
      </c>
    </row>
    <row r="83" spans="1:24" x14ac:dyDescent="0.3">
      <c r="A83" s="9" t="str">
        <f>TRIM('Raw Data'!A79)</f>
        <v>LS-0075</v>
      </c>
      <c r="B83" s="10">
        <f>IF(ISNUMBER('Raw Data'!B79),INT('Raw Data'!B79),IFERROR(DATEVALUE('Raw Data'!B79),""))</f>
        <v>45828</v>
      </c>
      <c r="C83" s="9" t="str">
        <f>PROPER(TRIM('Raw Data'!C79))</f>
        <v>Bianca Reyes</v>
      </c>
      <c r="D83" s="11">
        <f>IF(ISNUMBER('Raw Data'!D79),MOD('Raw Data'!D79,1),IFERROR(TIMEVALUE('Raw Data'!D79),""))</f>
        <v>0.91666666666666663</v>
      </c>
      <c r="E83" s="11">
        <f>IF(ISNUMBER('Raw Data'!E79),MOD('Raw Data'!E79,1),IFERROR(TIMEVALUE('Raw Data'!E79),""))</f>
        <v>2.0833333333333329E-2</v>
      </c>
      <c r="F83" s="12">
        <f>IF(ISNUMBER('Raw Data'!F79),'Raw Data'!F79,IFERROR(VALUE(SUBSTITUTE('Raw Data'!F79,",","")),""))</f>
        <v>24295</v>
      </c>
      <c r="G83" s="13">
        <f>IF(ISNUMBER('Raw Data'!G79),'Raw Data'!G79,IFERROR(VALUE(SUBSTITUTE('Raw Data'!G79,",","")),""))</f>
        <v>71</v>
      </c>
      <c r="H83" s="13">
        <f>IF(ISNUMBER('Raw Data'!H79),'Raw Data'!H79,IFERROR(VALUE(SUBSTITUTE('Raw Data'!H79,",","")),""))</f>
        <v>108234</v>
      </c>
      <c r="I83" s="13">
        <f>IF(ISNUMBER('Raw Data'!I79),'Raw Data'!I79,IFERROR(VALUE(SUBSTITUTE('Raw Data'!I79,",","")),""))</f>
        <v>1372</v>
      </c>
      <c r="J83" s="21">
        <f>IF(AND(ISNUMBER(tblClean[[#This Row],[Start Time]]),ISNUMBER(tblClean[[#This Row],[End Time]])),ROUND(MOD(tblClean[[#This Row],[End Time]]-tblClean[[#This Row],[Start Time]],1)*24,2),"")</f>
        <v>2.5</v>
      </c>
      <c r="K83" s="12">
        <f>IF(AND(ISNUMBER(tblClean[[#This Row],[Duration Hours]]),ISNUMBER(tblClean[[#This Row],[Attributed GMV PHP]])),IF(tblClean[[#This Row],[Duration Hours]]&gt;0,tblClean[[#This Row],[Attributed GMV PHP]]/tblClean[[#This Row],[Duration Hours]],""),"")</f>
        <v>9718</v>
      </c>
      <c r="L83" s="22">
        <f>IF(ISNUMBER(tblClean[[#This Row],[Date]]),DATE(YEAR(tblClean[[#This Row],[Date]]),MONTH(tblClean[[#This Row],[Date]]),1),"")</f>
        <v>45809</v>
      </c>
      <c r="M83" s="10">
        <f>IF(ISNUMBER(tblClean[[#This Row],[Date]]),tblClean[[#This Row],[Date]]-WEEKDAY(tblClean[[#This Row],[Date]],2)+1,"")</f>
        <v>45824</v>
      </c>
      <c r="N83" s="23">
        <f>IF(ISNUMBER(tblClean[[#This Row],[Week Start]]),(tblClean[[#This Row],[Week Start]]-MIN(tblClean[Week Start]))/7+1,"")</f>
        <v>3</v>
      </c>
      <c r="O83" s="24" t="str">
        <f>IF(ISNUMBER(tblClean[[#This Row],[Date]]),CHOOSE(WEEKDAY(tblClean[[#This Row],[Date]],2),"Mon","Tue","Wed","Thu","Fri","Sat","Sun"),"")</f>
        <v>Fri</v>
      </c>
      <c r="P83" s="24" t="str">
        <f>IF(ISNUMBER(tblClean[[#This Row],[Date]]),IF(WEEKDAY(tblClean[[#This Row],[Date]],2)&gt;=6,"Weekend","Weekday"),"")</f>
        <v>Weekday</v>
      </c>
      <c r="Q8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83" s="9" t="str">
        <f>IF(ISNUMBER(tblClean[[#This Row],[Duration Hours]]),IF(tblClean[[#This Row],[Duration Hours]]&lt;2,"Short (under 2h)",IF(tblClean[[#This Row],[Duration Hours]]&lt;3,"Standard (2h to under 3h)","Long (3h or more)")),"")</f>
        <v>Standard (2h to under 3h)</v>
      </c>
      <c r="S8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83" s="24">
        <f>IF(COUNTIF(tblClean[Session ID],tblClean[[#This Row],[Session ID]])&gt;1,1,0)</f>
        <v>0</v>
      </c>
      <c r="U83" s="24">
        <f>IF(OR(N(tblClean[[#This Row],[Attributed GMV PHP]])&lt;0,N(tblClean[[#This Row],[Items Sold]])&lt;0,N(tblClean[[#This Row],[Livestream Views]])&lt;0,N(tblClean[[#This Row],[New Followers]])&lt;0),1,0)</f>
        <v>0</v>
      </c>
      <c r="V83" s="24">
        <f>IF(ISNUMBER(tblClean[[#This Row],[Duration Hours]]),IF(OR(tblClean[[#This Row],[Duration Hours]]&lt;=0,tblClean[[#This Row],[Duration Hours]]&gt;12),1,0),1)</f>
        <v>0</v>
      </c>
      <c r="W83" s="24">
        <f>IF(COUNTIF(HostRoster,tblClean[[#This Row],[Host Name]])=0,1,0)</f>
        <v>0</v>
      </c>
      <c r="X83" s="24">
        <f>IF(tblClean[[#This Row],[Missing Flag]]+tblClean[[#This Row],[Duplicate Flag]]+tblClean[[#This Row],[Negative Flag]]+tblClean[[#This Row],[Duration Flag]]+tblClean[[#This Row],[Host Flag]]=0,1,0)</f>
        <v>1</v>
      </c>
    </row>
    <row r="84" spans="1:24" x14ac:dyDescent="0.3">
      <c r="A84" s="9" t="str">
        <f>TRIM('Raw Data'!A80)</f>
        <v>LS-0076</v>
      </c>
      <c r="B84" s="10">
        <f>IF(ISNUMBER('Raw Data'!B80),INT('Raw Data'!B80),IFERROR(DATEVALUE('Raw Data'!B80),""))</f>
        <v>45829</v>
      </c>
      <c r="C84" s="9" t="str">
        <f>PROPER(TRIM('Raw Data'!C80))</f>
        <v>Bianca Reyes</v>
      </c>
      <c r="D84" s="11">
        <f>IF(ISNUMBER('Raw Data'!D80),MOD('Raw Data'!D80,1),IFERROR(TIMEVALUE('Raw Data'!D80),""))</f>
        <v>0.41666666666666669</v>
      </c>
      <c r="E84" s="11">
        <f>IF(ISNUMBER('Raw Data'!E80),MOD('Raw Data'!E80,1),IFERROR(TIMEVALUE('Raw Data'!E80),""))</f>
        <v>0.54166666666666663</v>
      </c>
      <c r="F84" s="12">
        <f>IF(ISNUMBER('Raw Data'!F80),'Raw Data'!F80,IFERROR(VALUE(SUBSTITUTE('Raw Data'!F80,",","")),""))</f>
        <v>31243</v>
      </c>
      <c r="G84" s="13">
        <f>IF(ISNUMBER('Raw Data'!G80),'Raw Data'!G80,IFERROR(VALUE(SUBSTITUTE('Raw Data'!G80,",","")),""))</f>
        <v>82</v>
      </c>
      <c r="H84" s="13">
        <f>IF(ISNUMBER('Raw Data'!H80),'Raw Data'!H80,IFERROR(VALUE(SUBSTITUTE('Raw Data'!H80,",","")),""))</f>
        <v>94335</v>
      </c>
      <c r="I84" s="13">
        <f>IF(ISNUMBER('Raw Data'!I80),'Raw Data'!I80,IFERROR(VALUE(SUBSTITUTE('Raw Data'!I80,",","")),""))</f>
        <v>1209</v>
      </c>
      <c r="J84" s="21">
        <f>IF(AND(ISNUMBER(tblClean[[#This Row],[Start Time]]),ISNUMBER(tblClean[[#This Row],[End Time]])),ROUND(MOD(tblClean[[#This Row],[End Time]]-tblClean[[#This Row],[Start Time]],1)*24,2),"")</f>
        <v>3</v>
      </c>
      <c r="K84" s="12">
        <f>IF(AND(ISNUMBER(tblClean[[#This Row],[Duration Hours]]),ISNUMBER(tblClean[[#This Row],[Attributed GMV PHP]])),IF(tblClean[[#This Row],[Duration Hours]]&gt;0,tblClean[[#This Row],[Attributed GMV PHP]]/tblClean[[#This Row],[Duration Hours]],""),"")</f>
        <v>10414.333333333334</v>
      </c>
      <c r="L84" s="22">
        <f>IF(ISNUMBER(tblClean[[#This Row],[Date]]),DATE(YEAR(tblClean[[#This Row],[Date]]),MONTH(tblClean[[#This Row],[Date]]),1),"")</f>
        <v>45809</v>
      </c>
      <c r="M84" s="10">
        <f>IF(ISNUMBER(tblClean[[#This Row],[Date]]),tblClean[[#This Row],[Date]]-WEEKDAY(tblClean[[#This Row],[Date]],2)+1,"")</f>
        <v>45824</v>
      </c>
      <c r="N84" s="23">
        <f>IF(ISNUMBER(tblClean[[#This Row],[Week Start]]),(tblClean[[#This Row],[Week Start]]-MIN(tblClean[Week Start]))/7+1,"")</f>
        <v>3</v>
      </c>
      <c r="O84" s="24" t="str">
        <f>IF(ISNUMBER(tblClean[[#This Row],[Date]]),CHOOSE(WEEKDAY(tblClean[[#This Row],[Date]],2),"Mon","Tue","Wed","Thu","Fri","Sat","Sun"),"")</f>
        <v>Sat</v>
      </c>
      <c r="P84" s="24" t="str">
        <f>IF(ISNUMBER(tblClean[[#This Row],[Date]]),IF(WEEKDAY(tblClean[[#This Row],[Date]],2)&gt;=6,"Weekend","Weekday"),"")</f>
        <v>Weekend</v>
      </c>
      <c r="Q8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84" s="9" t="str">
        <f>IF(ISNUMBER(tblClean[[#This Row],[Duration Hours]]),IF(tblClean[[#This Row],[Duration Hours]]&lt;2,"Short (under 2h)",IF(tblClean[[#This Row],[Duration Hours]]&lt;3,"Standard (2h to under 3h)","Long (3h or more)")),"")</f>
        <v>Long (3h or more)</v>
      </c>
      <c r="S8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84" s="24">
        <f>IF(COUNTIF(tblClean[Session ID],tblClean[[#This Row],[Session ID]])&gt;1,1,0)</f>
        <v>0</v>
      </c>
      <c r="U84" s="24">
        <f>IF(OR(N(tblClean[[#This Row],[Attributed GMV PHP]])&lt;0,N(tblClean[[#This Row],[Items Sold]])&lt;0,N(tblClean[[#This Row],[Livestream Views]])&lt;0,N(tblClean[[#This Row],[New Followers]])&lt;0),1,0)</f>
        <v>0</v>
      </c>
      <c r="V84" s="24">
        <f>IF(ISNUMBER(tblClean[[#This Row],[Duration Hours]]),IF(OR(tblClean[[#This Row],[Duration Hours]]&lt;=0,tblClean[[#This Row],[Duration Hours]]&gt;12),1,0),1)</f>
        <v>0</v>
      </c>
      <c r="W84" s="24">
        <f>IF(COUNTIF(HostRoster,tblClean[[#This Row],[Host Name]])=0,1,0)</f>
        <v>0</v>
      </c>
      <c r="X84" s="24">
        <f>IF(tblClean[[#This Row],[Missing Flag]]+tblClean[[#This Row],[Duplicate Flag]]+tblClean[[#This Row],[Negative Flag]]+tblClean[[#This Row],[Duration Flag]]+tblClean[[#This Row],[Host Flag]]=0,1,0)</f>
        <v>1</v>
      </c>
    </row>
    <row r="85" spans="1:24" x14ac:dyDescent="0.3">
      <c r="A85" s="9" t="str">
        <f>TRIM('Raw Data'!A81)</f>
        <v>LS-0077</v>
      </c>
      <c r="B85" s="10">
        <f>IF(ISNUMBER('Raw Data'!B81),INT('Raw Data'!B81),IFERROR(DATEVALUE('Raw Data'!B81),""))</f>
        <v>45829</v>
      </c>
      <c r="C85" s="9" t="str">
        <f>PROPER(TRIM('Raw Data'!C81))</f>
        <v>Bianca Reyes</v>
      </c>
      <c r="D85" s="11">
        <f>IF(ISNUMBER('Raw Data'!D81),MOD('Raw Data'!D81,1),IFERROR(TIMEVALUE('Raw Data'!D81),""))</f>
        <v>0.66666666666666663</v>
      </c>
      <c r="E85" s="11">
        <f>IF(ISNUMBER('Raw Data'!E81),MOD('Raw Data'!E81,1),IFERROR(TIMEVALUE('Raw Data'!E81),""))</f>
        <v>0.79166666666666663</v>
      </c>
      <c r="F85" s="12">
        <f>IF(ISNUMBER('Raw Data'!F81),'Raw Data'!F81,IFERROR(VALUE(SUBSTITUTE('Raw Data'!F81,",","")),""))</f>
        <v>21807</v>
      </c>
      <c r="G85" s="13">
        <f>IF(ISNUMBER('Raw Data'!G81),'Raw Data'!G81,IFERROR(VALUE(SUBSTITUTE('Raw Data'!G81,",","")),""))</f>
        <v>68</v>
      </c>
      <c r="H85" s="13">
        <f>IF(ISNUMBER('Raw Data'!H81),'Raw Data'!H81,IFERROR(VALUE(SUBSTITUTE('Raw Data'!H81,",","")),""))</f>
        <v>64447</v>
      </c>
      <c r="I85" s="13">
        <f>IF(ISNUMBER('Raw Data'!I81),'Raw Data'!I81,IFERROR(VALUE(SUBSTITUTE('Raw Data'!I81,",","")),""))</f>
        <v>778</v>
      </c>
      <c r="J85" s="21">
        <f>IF(AND(ISNUMBER(tblClean[[#This Row],[Start Time]]),ISNUMBER(tblClean[[#This Row],[End Time]])),ROUND(MOD(tblClean[[#This Row],[End Time]]-tblClean[[#This Row],[Start Time]],1)*24,2),"")</f>
        <v>3</v>
      </c>
      <c r="K85" s="12">
        <f>IF(AND(ISNUMBER(tblClean[[#This Row],[Duration Hours]]),ISNUMBER(tblClean[[#This Row],[Attributed GMV PHP]])),IF(tblClean[[#This Row],[Duration Hours]]&gt;0,tblClean[[#This Row],[Attributed GMV PHP]]/tblClean[[#This Row],[Duration Hours]],""),"")</f>
        <v>7269</v>
      </c>
      <c r="L85" s="22">
        <f>IF(ISNUMBER(tblClean[[#This Row],[Date]]),DATE(YEAR(tblClean[[#This Row],[Date]]),MONTH(tblClean[[#This Row],[Date]]),1),"")</f>
        <v>45809</v>
      </c>
      <c r="M85" s="10">
        <f>IF(ISNUMBER(tblClean[[#This Row],[Date]]),tblClean[[#This Row],[Date]]-WEEKDAY(tblClean[[#This Row],[Date]],2)+1,"")</f>
        <v>45824</v>
      </c>
      <c r="N85" s="23">
        <f>IF(ISNUMBER(tblClean[[#This Row],[Week Start]]),(tblClean[[#This Row],[Week Start]]-MIN(tblClean[Week Start]))/7+1,"")</f>
        <v>3</v>
      </c>
      <c r="O85" s="24" t="str">
        <f>IF(ISNUMBER(tblClean[[#This Row],[Date]]),CHOOSE(WEEKDAY(tblClean[[#This Row],[Date]],2),"Mon","Tue","Wed","Thu","Fri","Sat","Sun"),"")</f>
        <v>Sat</v>
      </c>
      <c r="P85" s="24" t="str">
        <f>IF(ISNUMBER(tblClean[[#This Row],[Date]]),IF(WEEKDAY(tblClean[[#This Row],[Date]],2)&gt;=6,"Weekend","Weekday"),"")</f>
        <v>Weekend</v>
      </c>
      <c r="Q8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85" s="9" t="str">
        <f>IF(ISNUMBER(tblClean[[#This Row],[Duration Hours]]),IF(tblClean[[#This Row],[Duration Hours]]&lt;2,"Short (under 2h)",IF(tblClean[[#This Row],[Duration Hours]]&lt;3,"Standard (2h to under 3h)","Long (3h or more)")),"")</f>
        <v>Long (3h or more)</v>
      </c>
      <c r="S8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85" s="24">
        <f>IF(COUNTIF(tblClean[Session ID],tblClean[[#This Row],[Session ID]])&gt;1,1,0)</f>
        <v>0</v>
      </c>
      <c r="U85" s="24">
        <f>IF(OR(N(tblClean[[#This Row],[Attributed GMV PHP]])&lt;0,N(tblClean[[#This Row],[Items Sold]])&lt;0,N(tblClean[[#This Row],[Livestream Views]])&lt;0,N(tblClean[[#This Row],[New Followers]])&lt;0),1,0)</f>
        <v>0</v>
      </c>
      <c r="V85" s="24">
        <f>IF(ISNUMBER(tblClean[[#This Row],[Duration Hours]]),IF(OR(tblClean[[#This Row],[Duration Hours]]&lt;=0,tblClean[[#This Row],[Duration Hours]]&gt;12),1,0),1)</f>
        <v>0</v>
      </c>
      <c r="W85" s="24">
        <f>IF(COUNTIF(HostRoster,tblClean[[#This Row],[Host Name]])=0,1,0)</f>
        <v>0</v>
      </c>
      <c r="X85" s="24">
        <f>IF(tblClean[[#This Row],[Missing Flag]]+tblClean[[#This Row],[Duplicate Flag]]+tblClean[[#This Row],[Negative Flag]]+tblClean[[#This Row],[Duration Flag]]+tblClean[[#This Row],[Host Flag]]=0,1,0)</f>
        <v>1</v>
      </c>
    </row>
    <row r="86" spans="1:24" x14ac:dyDescent="0.3">
      <c r="A86" s="9" t="str">
        <f>TRIM('Raw Data'!A82)</f>
        <v>LS-0078</v>
      </c>
      <c r="B86" s="10">
        <f>IF(ISNUMBER('Raw Data'!B82),INT('Raw Data'!B82),IFERROR(DATEVALUE('Raw Data'!B82),""))</f>
        <v>45829</v>
      </c>
      <c r="C86" s="9" t="str">
        <f>PROPER(TRIM('Raw Data'!C82))</f>
        <v>Carlo Mendoza</v>
      </c>
      <c r="D86" s="11">
        <f>IF(ISNUMBER('Raw Data'!D82),MOD('Raw Data'!D82,1),IFERROR(TIMEVALUE('Raw Data'!D82),""))</f>
        <v>0.79166666666666663</v>
      </c>
      <c r="E86" s="11">
        <f>IF(ISNUMBER('Raw Data'!E82),MOD('Raw Data'!E82,1),IFERROR(TIMEVALUE('Raw Data'!E82),""))</f>
        <v>0.89583333333333337</v>
      </c>
      <c r="F86" s="12">
        <f>IF(ISNUMBER('Raw Data'!F82),'Raw Data'!F82,IFERROR(VALUE(SUBSTITUTE('Raw Data'!F82,",","")),""))</f>
        <v>59910</v>
      </c>
      <c r="G86" s="13">
        <f>IF(ISNUMBER('Raw Data'!G82),'Raw Data'!G82,IFERROR(VALUE(SUBSTITUTE('Raw Data'!G82,",","")),""))</f>
        <v>166</v>
      </c>
      <c r="H86" s="13">
        <f>IF(ISNUMBER('Raw Data'!H82),'Raw Data'!H82,IFERROR(VALUE(SUBSTITUTE('Raw Data'!H82,",","")),""))</f>
        <v>178854</v>
      </c>
      <c r="I86" s="13">
        <f>IF(ISNUMBER('Raw Data'!I82),'Raw Data'!I82,IFERROR(VALUE(SUBSTITUTE('Raw Data'!I82,",","")),""))</f>
        <v>1183</v>
      </c>
      <c r="J86" s="21">
        <f>IF(AND(ISNUMBER(tblClean[[#This Row],[Start Time]]),ISNUMBER(tblClean[[#This Row],[End Time]])),ROUND(MOD(tblClean[[#This Row],[End Time]]-tblClean[[#This Row],[Start Time]],1)*24,2),"")</f>
        <v>2.5</v>
      </c>
      <c r="K86" s="12">
        <f>IF(AND(ISNUMBER(tblClean[[#This Row],[Duration Hours]]),ISNUMBER(tblClean[[#This Row],[Attributed GMV PHP]])),IF(tblClean[[#This Row],[Duration Hours]]&gt;0,tblClean[[#This Row],[Attributed GMV PHP]]/tblClean[[#This Row],[Duration Hours]],""),"")</f>
        <v>23964</v>
      </c>
      <c r="L86" s="22">
        <f>IF(ISNUMBER(tblClean[[#This Row],[Date]]),DATE(YEAR(tblClean[[#This Row],[Date]]),MONTH(tblClean[[#This Row],[Date]]),1),"")</f>
        <v>45809</v>
      </c>
      <c r="M86" s="10">
        <f>IF(ISNUMBER(tblClean[[#This Row],[Date]]),tblClean[[#This Row],[Date]]-WEEKDAY(tblClean[[#This Row],[Date]],2)+1,"")</f>
        <v>45824</v>
      </c>
      <c r="N86" s="23">
        <f>IF(ISNUMBER(tblClean[[#This Row],[Week Start]]),(tblClean[[#This Row],[Week Start]]-MIN(tblClean[Week Start]))/7+1,"")</f>
        <v>3</v>
      </c>
      <c r="O86" s="24" t="str">
        <f>IF(ISNUMBER(tblClean[[#This Row],[Date]]),CHOOSE(WEEKDAY(tblClean[[#This Row],[Date]],2),"Mon","Tue","Wed","Thu","Fri","Sat","Sun"),"")</f>
        <v>Sat</v>
      </c>
      <c r="P86" s="24" t="str">
        <f>IF(ISNUMBER(tblClean[[#This Row],[Date]]),IF(WEEKDAY(tblClean[[#This Row],[Date]],2)&gt;=6,"Weekend","Weekday"),"")</f>
        <v>Weekend</v>
      </c>
      <c r="Q8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86" s="9" t="str">
        <f>IF(ISNUMBER(tblClean[[#This Row],[Duration Hours]]),IF(tblClean[[#This Row],[Duration Hours]]&lt;2,"Short (under 2h)",IF(tblClean[[#This Row],[Duration Hours]]&lt;3,"Standard (2h to under 3h)","Long (3h or more)")),"")</f>
        <v>Standard (2h to under 3h)</v>
      </c>
      <c r="S8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86" s="24">
        <f>IF(COUNTIF(tblClean[Session ID],tblClean[[#This Row],[Session ID]])&gt;1,1,0)</f>
        <v>0</v>
      </c>
      <c r="U86" s="24">
        <f>IF(OR(N(tblClean[[#This Row],[Attributed GMV PHP]])&lt;0,N(tblClean[[#This Row],[Items Sold]])&lt;0,N(tblClean[[#This Row],[Livestream Views]])&lt;0,N(tblClean[[#This Row],[New Followers]])&lt;0),1,0)</f>
        <v>0</v>
      </c>
      <c r="V86" s="24">
        <f>IF(ISNUMBER(tblClean[[#This Row],[Duration Hours]]),IF(OR(tblClean[[#This Row],[Duration Hours]]&lt;=0,tblClean[[#This Row],[Duration Hours]]&gt;12),1,0),1)</f>
        <v>0</v>
      </c>
      <c r="W86" s="24">
        <f>IF(COUNTIF(HostRoster,tblClean[[#This Row],[Host Name]])=0,1,0)</f>
        <v>0</v>
      </c>
      <c r="X86" s="24">
        <f>IF(tblClean[[#This Row],[Missing Flag]]+tblClean[[#This Row],[Duplicate Flag]]+tblClean[[#This Row],[Negative Flag]]+tblClean[[#This Row],[Duration Flag]]+tblClean[[#This Row],[Host Flag]]=0,1,0)</f>
        <v>1</v>
      </c>
    </row>
    <row r="87" spans="1:24" x14ac:dyDescent="0.3">
      <c r="A87" s="9" t="str">
        <f>TRIM('Raw Data'!A83)</f>
        <v>LS-0079</v>
      </c>
      <c r="B87" s="10">
        <f>IF(ISNUMBER('Raw Data'!B83),INT('Raw Data'!B83),IFERROR(DATEVALUE('Raw Data'!B83),""))</f>
        <v>45829</v>
      </c>
      <c r="C87" s="9" t="str">
        <f>PROPER(TRIM('Raw Data'!C83))</f>
        <v>Bianca Reyes</v>
      </c>
      <c r="D87" s="11">
        <f>IF(ISNUMBER('Raw Data'!D83),MOD('Raw Data'!D83,1),IFERROR(TIMEVALUE('Raw Data'!D83),""))</f>
        <v>0.91666666666666663</v>
      </c>
      <c r="E87" s="11">
        <f>IF(ISNUMBER('Raw Data'!E83),MOD('Raw Data'!E83,1),IFERROR(TIMEVALUE('Raw Data'!E83),""))</f>
        <v>2.0833333333333329E-2</v>
      </c>
      <c r="F87" s="12">
        <f>IF(ISNUMBER('Raw Data'!F83),'Raw Data'!F83,IFERROR(VALUE(SUBSTITUTE('Raw Data'!F83,",","")),""))</f>
        <v>24341</v>
      </c>
      <c r="G87" s="13">
        <f>IF(ISNUMBER('Raw Data'!G83),'Raw Data'!G83,IFERROR(VALUE(SUBSTITUTE('Raw Data'!G83,",","")),""))</f>
        <v>72</v>
      </c>
      <c r="H87" s="13">
        <f>IF(ISNUMBER('Raw Data'!H83),'Raw Data'!H83,IFERROR(VALUE(SUBSTITUTE('Raw Data'!H83,",","")),""))</f>
        <v>81967</v>
      </c>
      <c r="I87" s="13">
        <f>IF(ISNUMBER('Raw Data'!I83),'Raw Data'!I83,IFERROR(VALUE(SUBSTITUTE('Raw Data'!I83,",","")),""))</f>
        <v>424</v>
      </c>
      <c r="J87" s="21">
        <f>IF(AND(ISNUMBER(tblClean[[#This Row],[Start Time]]),ISNUMBER(tblClean[[#This Row],[End Time]])),ROUND(MOD(tblClean[[#This Row],[End Time]]-tblClean[[#This Row],[Start Time]],1)*24,2),"")</f>
        <v>2.5</v>
      </c>
      <c r="K87" s="12">
        <f>IF(AND(ISNUMBER(tblClean[[#This Row],[Duration Hours]]),ISNUMBER(tblClean[[#This Row],[Attributed GMV PHP]])),IF(tblClean[[#This Row],[Duration Hours]]&gt;0,tblClean[[#This Row],[Attributed GMV PHP]]/tblClean[[#This Row],[Duration Hours]],""),"")</f>
        <v>9736.4</v>
      </c>
      <c r="L87" s="22">
        <f>IF(ISNUMBER(tblClean[[#This Row],[Date]]),DATE(YEAR(tblClean[[#This Row],[Date]]),MONTH(tblClean[[#This Row],[Date]]),1),"")</f>
        <v>45809</v>
      </c>
      <c r="M87" s="10">
        <f>IF(ISNUMBER(tblClean[[#This Row],[Date]]),tblClean[[#This Row],[Date]]-WEEKDAY(tblClean[[#This Row],[Date]],2)+1,"")</f>
        <v>45824</v>
      </c>
      <c r="N87" s="23">
        <f>IF(ISNUMBER(tblClean[[#This Row],[Week Start]]),(tblClean[[#This Row],[Week Start]]-MIN(tblClean[Week Start]))/7+1,"")</f>
        <v>3</v>
      </c>
      <c r="O87" s="24" t="str">
        <f>IF(ISNUMBER(tblClean[[#This Row],[Date]]),CHOOSE(WEEKDAY(tblClean[[#This Row],[Date]],2),"Mon","Tue","Wed","Thu","Fri","Sat","Sun"),"")</f>
        <v>Sat</v>
      </c>
      <c r="P87" s="24" t="str">
        <f>IF(ISNUMBER(tblClean[[#This Row],[Date]]),IF(WEEKDAY(tblClean[[#This Row],[Date]],2)&gt;=6,"Weekend","Weekday"),"")</f>
        <v>Weekend</v>
      </c>
      <c r="Q8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87" s="9" t="str">
        <f>IF(ISNUMBER(tblClean[[#This Row],[Duration Hours]]),IF(tblClean[[#This Row],[Duration Hours]]&lt;2,"Short (under 2h)",IF(tblClean[[#This Row],[Duration Hours]]&lt;3,"Standard (2h to under 3h)","Long (3h or more)")),"")</f>
        <v>Standard (2h to under 3h)</v>
      </c>
      <c r="S8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87" s="24">
        <f>IF(COUNTIF(tblClean[Session ID],tblClean[[#This Row],[Session ID]])&gt;1,1,0)</f>
        <v>0</v>
      </c>
      <c r="U87" s="24">
        <f>IF(OR(N(tblClean[[#This Row],[Attributed GMV PHP]])&lt;0,N(tblClean[[#This Row],[Items Sold]])&lt;0,N(tblClean[[#This Row],[Livestream Views]])&lt;0,N(tblClean[[#This Row],[New Followers]])&lt;0),1,0)</f>
        <v>0</v>
      </c>
      <c r="V87" s="24">
        <f>IF(ISNUMBER(tblClean[[#This Row],[Duration Hours]]),IF(OR(tblClean[[#This Row],[Duration Hours]]&lt;=0,tblClean[[#This Row],[Duration Hours]]&gt;12),1,0),1)</f>
        <v>0</v>
      </c>
      <c r="W87" s="24">
        <f>IF(COUNTIF(HostRoster,tblClean[[#This Row],[Host Name]])=0,1,0)</f>
        <v>0</v>
      </c>
      <c r="X87" s="24">
        <f>IF(tblClean[[#This Row],[Missing Flag]]+tblClean[[#This Row],[Duplicate Flag]]+tblClean[[#This Row],[Negative Flag]]+tblClean[[#This Row],[Duration Flag]]+tblClean[[#This Row],[Host Flag]]=0,1,0)</f>
        <v>1</v>
      </c>
    </row>
    <row r="88" spans="1:24" x14ac:dyDescent="0.3">
      <c r="A88" s="9" t="str">
        <f>TRIM('Raw Data'!A84)</f>
        <v>LS-0080</v>
      </c>
      <c r="B88" s="10">
        <f>IF(ISNUMBER('Raw Data'!B84),INT('Raw Data'!B84),IFERROR(DATEVALUE('Raw Data'!B84),""))</f>
        <v>45830</v>
      </c>
      <c r="C88" s="9" t="str">
        <f>PROPER(TRIM('Raw Data'!C84))</f>
        <v>Dani Villanueva</v>
      </c>
      <c r="D88" s="11">
        <f>IF(ISNUMBER('Raw Data'!D84),MOD('Raw Data'!D84,1),IFERROR(TIMEVALUE('Raw Data'!D84),""))</f>
        <v>0.41666666666666669</v>
      </c>
      <c r="E88" s="11">
        <f>IF(ISNUMBER('Raw Data'!E84),MOD('Raw Data'!E84,1),IFERROR(TIMEVALUE('Raw Data'!E84),""))</f>
        <v>0.54166666666666663</v>
      </c>
      <c r="F88" s="12">
        <f>IF(ISNUMBER('Raw Data'!F84),'Raw Data'!F84,IFERROR(VALUE(SUBSTITUTE('Raw Data'!F84,",","")),""))</f>
        <v>11638</v>
      </c>
      <c r="G88" s="13">
        <f>IF(ISNUMBER('Raw Data'!G84),'Raw Data'!G84,IFERROR(VALUE(SUBSTITUTE('Raw Data'!G84,",","")),""))</f>
        <v>33</v>
      </c>
      <c r="H88" s="13">
        <f>IF(ISNUMBER('Raw Data'!H84),'Raw Data'!H84,IFERROR(VALUE(SUBSTITUTE('Raw Data'!H84,",","")),""))</f>
        <v>36831</v>
      </c>
      <c r="I88" s="13">
        <f>IF(ISNUMBER('Raw Data'!I84),'Raw Data'!I84,IFERROR(VALUE(SUBSTITUTE('Raw Data'!I84,",","")),""))</f>
        <v>425</v>
      </c>
      <c r="J88" s="21">
        <f>IF(AND(ISNUMBER(tblClean[[#This Row],[Start Time]]),ISNUMBER(tblClean[[#This Row],[End Time]])),ROUND(MOD(tblClean[[#This Row],[End Time]]-tblClean[[#This Row],[Start Time]],1)*24,2),"")</f>
        <v>3</v>
      </c>
      <c r="K88" s="12">
        <f>IF(AND(ISNUMBER(tblClean[[#This Row],[Duration Hours]]),ISNUMBER(tblClean[[#This Row],[Attributed GMV PHP]])),IF(tblClean[[#This Row],[Duration Hours]]&gt;0,tblClean[[#This Row],[Attributed GMV PHP]]/tblClean[[#This Row],[Duration Hours]],""),"")</f>
        <v>3879.3333333333335</v>
      </c>
      <c r="L88" s="22">
        <f>IF(ISNUMBER(tblClean[[#This Row],[Date]]),DATE(YEAR(tblClean[[#This Row],[Date]]),MONTH(tblClean[[#This Row],[Date]]),1),"")</f>
        <v>45809</v>
      </c>
      <c r="M88" s="10">
        <f>IF(ISNUMBER(tblClean[[#This Row],[Date]]),tblClean[[#This Row],[Date]]-WEEKDAY(tblClean[[#This Row],[Date]],2)+1,"")</f>
        <v>45824</v>
      </c>
      <c r="N88" s="23">
        <f>IF(ISNUMBER(tblClean[[#This Row],[Week Start]]),(tblClean[[#This Row],[Week Start]]-MIN(tblClean[Week Start]))/7+1,"")</f>
        <v>3</v>
      </c>
      <c r="O88" s="24" t="str">
        <f>IF(ISNUMBER(tblClean[[#This Row],[Date]]),CHOOSE(WEEKDAY(tblClean[[#This Row],[Date]],2),"Mon","Tue","Wed","Thu","Fri","Sat","Sun"),"")</f>
        <v>Sun</v>
      </c>
      <c r="P88" s="24" t="str">
        <f>IF(ISNUMBER(tblClean[[#This Row],[Date]]),IF(WEEKDAY(tblClean[[#This Row],[Date]],2)&gt;=6,"Weekend","Weekday"),"")</f>
        <v>Weekend</v>
      </c>
      <c r="Q8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88" s="9" t="str">
        <f>IF(ISNUMBER(tblClean[[#This Row],[Duration Hours]]),IF(tblClean[[#This Row],[Duration Hours]]&lt;2,"Short (under 2h)",IF(tblClean[[#This Row],[Duration Hours]]&lt;3,"Standard (2h to under 3h)","Long (3h or more)")),"")</f>
        <v>Long (3h or more)</v>
      </c>
      <c r="S8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88" s="24">
        <f>IF(COUNTIF(tblClean[Session ID],tblClean[[#This Row],[Session ID]])&gt;1,1,0)</f>
        <v>0</v>
      </c>
      <c r="U88" s="24">
        <f>IF(OR(N(tblClean[[#This Row],[Attributed GMV PHP]])&lt;0,N(tblClean[[#This Row],[Items Sold]])&lt;0,N(tblClean[[#This Row],[Livestream Views]])&lt;0,N(tblClean[[#This Row],[New Followers]])&lt;0),1,0)</f>
        <v>0</v>
      </c>
      <c r="V88" s="24">
        <f>IF(ISNUMBER(tblClean[[#This Row],[Duration Hours]]),IF(OR(tblClean[[#This Row],[Duration Hours]]&lt;=0,tblClean[[#This Row],[Duration Hours]]&gt;12),1,0),1)</f>
        <v>0</v>
      </c>
      <c r="W88" s="24">
        <f>IF(COUNTIF(HostRoster,tblClean[[#This Row],[Host Name]])=0,1,0)</f>
        <v>0</v>
      </c>
      <c r="X88" s="24">
        <f>IF(tblClean[[#This Row],[Missing Flag]]+tblClean[[#This Row],[Duplicate Flag]]+tblClean[[#This Row],[Negative Flag]]+tblClean[[#This Row],[Duration Flag]]+tblClean[[#This Row],[Host Flag]]=0,1,0)</f>
        <v>1</v>
      </c>
    </row>
    <row r="89" spans="1:24" x14ac:dyDescent="0.3">
      <c r="A89" s="9" t="str">
        <f>TRIM('Raw Data'!A85)</f>
        <v>LS-0081</v>
      </c>
      <c r="B89" s="10">
        <f>IF(ISNUMBER('Raw Data'!B85),INT('Raw Data'!B85),IFERROR(DATEVALUE('Raw Data'!B85),""))</f>
        <v>45830</v>
      </c>
      <c r="C89" s="9" t="str">
        <f>PROPER(TRIM('Raw Data'!C85))</f>
        <v>Carlo Mendoza</v>
      </c>
      <c r="D89" s="11">
        <f>IF(ISNUMBER('Raw Data'!D85),MOD('Raw Data'!D85,1),IFERROR(TIMEVALUE('Raw Data'!D85),""))</f>
        <v>0.54166666666666663</v>
      </c>
      <c r="E89" s="11">
        <f>IF(ISNUMBER('Raw Data'!E85),MOD('Raw Data'!E85,1),IFERROR(TIMEVALUE('Raw Data'!E85),""))</f>
        <v>0.66666666666666663</v>
      </c>
      <c r="F89" s="12">
        <f>IF(ISNUMBER('Raw Data'!F85),'Raw Data'!F85,IFERROR(VALUE(SUBSTITUTE('Raw Data'!F85,",","")),""))</f>
        <v>63213</v>
      </c>
      <c r="G89" s="13">
        <f>IF(ISNUMBER('Raw Data'!G85),'Raw Data'!G85,IFERROR(VALUE(SUBSTITUTE('Raw Data'!G85,",","")),""))</f>
        <v>172</v>
      </c>
      <c r="H89" s="13">
        <f>IF(ISNUMBER('Raw Data'!H85),'Raw Data'!H85,IFERROR(VALUE(SUBSTITUTE('Raw Data'!H85,",","")),""))</f>
        <v>308558</v>
      </c>
      <c r="I89" s="13">
        <f>IF(ISNUMBER('Raw Data'!I85),'Raw Data'!I85,IFERROR(VALUE(SUBSTITUTE('Raw Data'!I85,",","")),""))</f>
        <v>3190</v>
      </c>
      <c r="J89" s="21">
        <f>IF(AND(ISNUMBER(tblClean[[#This Row],[Start Time]]),ISNUMBER(tblClean[[#This Row],[End Time]])),ROUND(MOD(tblClean[[#This Row],[End Time]]-tblClean[[#This Row],[Start Time]],1)*24,2),"")</f>
        <v>3</v>
      </c>
      <c r="K89" s="12">
        <f>IF(AND(ISNUMBER(tblClean[[#This Row],[Duration Hours]]),ISNUMBER(tblClean[[#This Row],[Attributed GMV PHP]])),IF(tblClean[[#This Row],[Duration Hours]]&gt;0,tblClean[[#This Row],[Attributed GMV PHP]]/tblClean[[#This Row],[Duration Hours]],""),"")</f>
        <v>21071</v>
      </c>
      <c r="L89" s="22">
        <f>IF(ISNUMBER(tblClean[[#This Row],[Date]]),DATE(YEAR(tblClean[[#This Row],[Date]]),MONTH(tblClean[[#This Row],[Date]]),1),"")</f>
        <v>45809</v>
      </c>
      <c r="M89" s="10">
        <f>IF(ISNUMBER(tblClean[[#This Row],[Date]]),tblClean[[#This Row],[Date]]-WEEKDAY(tblClean[[#This Row],[Date]],2)+1,"")</f>
        <v>45824</v>
      </c>
      <c r="N89" s="23">
        <f>IF(ISNUMBER(tblClean[[#This Row],[Week Start]]),(tblClean[[#This Row],[Week Start]]-MIN(tblClean[Week Start]))/7+1,"")</f>
        <v>3</v>
      </c>
      <c r="O89" s="24" t="str">
        <f>IF(ISNUMBER(tblClean[[#This Row],[Date]]),CHOOSE(WEEKDAY(tblClean[[#This Row],[Date]],2),"Mon","Tue","Wed","Thu","Fri","Sat","Sun"),"")</f>
        <v>Sun</v>
      </c>
      <c r="P89" s="24" t="str">
        <f>IF(ISNUMBER(tblClean[[#This Row],[Date]]),IF(WEEKDAY(tblClean[[#This Row],[Date]],2)&gt;=6,"Weekend","Weekday"),"")</f>
        <v>Weekend</v>
      </c>
      <c r="Q8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89" s="9" t="str">
        <f>IF(ISNUMBER(tblClean[[#This Row],[Duration Hours]]),IF(tblClean[[#This Row],[Duration Hours]]&lt;2,"Short (under 2h)",IF(tblClean[[#This Row],[Duration Hours]]&lt;3,"Standard (2h to under 3h)","Long (3h or more)")),"")</f>
        <v>Long (3h or more)</v>
      </c>
      <c r="S8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89" s="24">
        <f>IF(COUNTIF(tblClean[Session ID],tblClean[[#This Row],[Session ID]])&gt;1,1,0)</f>
        <v>0</v>
      </c>
      <c r="U89" s="24">
        <f>IF(OR(N(tblClean[[#This Row],[Attributed GMV PHP]])&lt;0,N(tblClean[[#This Row],[Items Sold]])&lt;0,N(tblClean[[#This Row],[Livestream Views]])&lt;0,N(tblClean[[#This Row],[New Followers]])&lt;0),1,0)</f>
        <v>0</v>
      </c>
      <c r="V89" s="24">
        <f>IF(ISNUMBER(tblClean[[#This Row],[Duration Hours]]),IF(OR(tblClean[[#This Row],[Duration Hours]]&lt;=0,tblClean[[#This Row],[Duration Hours]]&gt;12),1,0),1)</f>
        <v>0</v>
      </c>
      <c r="W89" s="24">
        <f>IF(COUNTIF(HostRoster,tblClean[[#This Row],[Host Name]])=0,1,0)</f>
        <v>0</v>
      </c>
      <c r="X89" s="24">
        <f>IF(tblClean[[#This Row],[Missing Flag]]+tblClean[[#This Row],[Duplicate Flag]]+tblClean[[#This Row],[Negative Flag]]+tblClean[[#This Row],[Duration Flag]]+tblClean[[#This Row],[Host Flag]]=0,1,0)</f>
        <v>1</v>
      </c>
    </row>
    <row r="90" spans="1:24" x14ac:dyDescent="0.3">
      <c r="A90" s="9" t="str">
        <f>TRIM('Raw Data'!A86)</f>
        <v>LS-0082</v>
      </c>
      <c r="B90" s="10">
        <f>IF(ISNUMBER('Raw Data'!B86),INT('Raw Data'!B86),IFERROR(DATEVALUE('Raw Data'!B86),""))</f>
        <v>45830</v>
      </c>
      <c r="C90" s="9" t="str">
        <f>PROPER(TRIM('Raw Data'!C86))</f>
        <v>Bianca Reyes</v>
      </c>
      <c r="D90" s="11">
        <f>IF(ISNUMBER('Raw Data'!D86),MOD('Raw Data'!D86,1),IFERROR(TIMEVALUE('Raw Data'!D86),""))</f>
        <v>0.66666666666666663</v>
      </c>
      <c r="E90" s="11">
        <f>IF(ISNUMBER('Raw Data'!E86),MOD('Raw Data'!E86,1),IFERROR(TIMEVALUE('Raw Data'!E86),""))</f>
        <v>0.77083333333333337</v>
      </c>
      <c r="F90" s="12">
        <f>IF(ISNUMBER('Raw Data'!F86),'Raw Data'!F86,IFERROR(VALUE(SUBSTITUTE('Raw Data'!F86,",","")),""))</f>
        <v>16657</v>
      </c>
      <c r="G90" s="13">
        <f>IF(ISNUMBER('Raw Data'!G86),'Raw Data'!G86,IFERROR(VALUE(SUBSTITUTE('Raw Data'!G86,",","")),""))</f>
        <v>43</v>
      </c>
      <c r="H90" s="13">
        <f>IF(ISNUMBER('Raw Data'!H86),'Raw Data'!H86,IFERROR(VALUE(SUBSTITUTE('Raw Data'!H86,",","")),""))</f>
        <v>38284</v>
      </c>
      <c r="I90" s="13">
        <f>IF(ISNUMBER('Raw Data'!I86),'Raw Data'!I86,IFERROR(VALUE(SUBSTITUTE('Raw Data'!I86,",","")),""))</f>
        <v>402</v>
      </c>
      <c r="J90" s="21">
        <f>IF(AND(ISNUMBER(tblClean[[#This Row],[Start Time]]),ISNUMBER(tblClean[[#This Row],[End Time]])),ROUND(MOD(tblClean[[#This Row],[End Time]]-tblClean[[#This Row],[Start Time]],1)*24,2),"")</f>
        <v>2.5</v>
      </c>
      <c r="K90" s="12">
        <f>IF(AND(ISNUMBER(tblClean[[#This Row],[Duration Hours]]),ISNUMBER(tblClean[[#This Row],[Attributed GMV PHP]])),IF(tblClean[[#This Row],[Duration Hours]]&gt;0,tblClean[[#This Row],[Attributed GMV PHP]]/tblClean[[#This Row],[Duration Hours]],""),"")</f>
        <v>6662.8</v>
      </c>
      <c r="L90" s="22">
        <f>IF(ISNUMBER(tblClean[[#This Row],[Date]]),DATE(YEAR(tblClean[[#This Row],[Date]]),MONTH(tblClean[[#This Row],[Date]]),1),"")</f>
        <v>45809</v>
      </c>
      <c r="M90" s="10">
        <f>IF(ISNUMBER(tblClean[[#This Row],[Date]]),tblClean[[#This Row],[Date]]-WEEKDAY(tblClean[[#This Row],[Date]],2)+1,"")</f>
        <v>45824</v>
      </c>
      <c r="N90" s="23">
        <f>IF(ISNUMBER(tblClean[[#This Row],[Week Start]]),(tblClean[[#This Row],[Week Start]]-MIN(tblClean[Week Start]))/7+1,"")</f>
        <v>3</v>
      </c>
      <c r="O90" s="24" t="str">
        <f>IF(ISNUMBER(tblClean[[#This Row],[Date]]),CHOOSE(WEEKDAY(tblClean[[#This Row],[Date]],2),"Mon","Tue","Wed","Thu","Fri","Sat","Sun"),"")</f>
        <v>Sun</v>
      </c>
      <c r="P90" s="24" t="str">
        <f>IF(ISNUMBER(tblClean[[#This Row],[Date]]),IF(WEEKDAY(tblClean[[#This Row],[Date]],2)&gt;=6,"Weekend","Weekday"),"")</f>
        <v>Weekend</v>
      </c>
      <c r="Q9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90" s="9" t="str">
        <f>IF(ISNUMBER(tblClean[[#This Row],[Duration Hours]]),IF(tblClean[[#This Row],[Duration Hours]]&lt;2,"Short (under 2h)",IF(tblClean[[#This Row],[Duration Hours]]&lt;3,"Standard (2h to under 3h)","Long (3h or more)")),"")</f>
        <v>Standard (2h to under 3h)</v>
      </c>
      <c r="S9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90" s="24">
        <f>IF(COUNTIF(tblClean[Session ID],tblClean[[#This Row],[Session ID]])&gt;1,1,0)</f>
        <v>0</v>
      </c>
      <c r="U90" s="24">
        <f>IF(OR(N(tblClean[[#This Row],[Attributed GMV PHP]])&lt;0,N(tblClean[[#This Row],[Items Sold]])&lt;0,N(tblClean[[#This Row],[Livestream Views]])&lt;0,N(tblClean[[#This Row],[New Followers]])&lt;0),1,0)</f>
        <v>0</v>
      </c>
      <c r="V90" s="24">
        <f>IF(ISNUMBER(tblClean[[#This Row],[Duration Hours]]),IF(OR(tblClean[[#This Row],[Duration Hours]]&lt;=0,tblClean[[#This Row],[Duration Hours]]&gt;12),1,0),1)</f>
        <v>0</v>
      </c>
      <c r="W90" s="24">
        <f>IF(COUNTIF(HostRoster,tblClean[[#This Row],[Host Name]])=0,1,0)</f>
        <v>0</v>
      </c>
      <c r="X90" s="24">
        <f>IF(tblClean[[#This Row],[Missing Flag]]+tblClean[[#This Row],[Duplicate Flag]]+tblClean[[#This Row],[Negative Flag]]+tblClean[[#This Row],[Duration Flag]]+tblClean[[#This Row],[Host Flag]]=0,1,0)</f>
        <v>1</v>
      </c>
    </row>
    <row r="91" spans="1:24" x14ac:dyDescent="0.3">
      <c r="A91" s="9" t="str">
        <f>TRIM('Raw Data'!A87)</f>
        <v>LS-0083</v>
      </c>
      <c r="B91" s="10">
        <f>IF(ISNUMBER('Raw Data'!B87),INT('Raw Data'!B87),IFERROR(DATEVALUE('Raw Data'!B87),""))</f>
        <v>45830</v>
      </c>
      <c r="C91" s="9" t="str">
        <f>PROPER(TRIM('Raw Data'!C87))</f>
        <v>Bianca Reyes</v>
      </c>
      <c r="D91" s="11">
        <f>IF(ISNUMBER('Raw Data'!D87),MOD('Raw Data'!D87,1),IFERROR(TIMEVALUE('Raw Data'!D87),""))</f>
        <v>0.79166666666666663</v>
      </c>
      <c r="E91" s="11">
        <f>IF(ISNUMBER('Raw Data'!E87),MOD('Raw Data'!E87,1),IFERROR(TIMEVALUE('Raw Data'!E87),""))</f>
        <v>0.875</v>
      </c>
      <c r="F91" s="12">
        <f>IF(ISNUMBER('Raw Data'!F87),'Raw Data'!F87,IFERROR(VALUE(SUBSTITUTE('Raw Data'!F87,",","")),""))</f>
        <v>28469</v>
      </c>
      <c r="G91" s="13">
        <f>IF(ISNUMBER('Raw Data'!G87),'Raw Data'!G87,IFERROR(VALUE(SUBSTITUTE('Raw Data'!G87,",","")),""))</f>
        <v>92</v>
      </c>
      <c r="H91" s="13">
        <f>IF(ISNUMBER('Raw Data'!H87),'Raw Data'!H87,IFERROR(VALUE(SUBSTITUTE('Raw Data'!H87,",","")),""))</f>
        <v>79301</v>
      </c>
      <c r="I91" s="13">
        <f>IF(ISNUMBER('Raw Data'!I87),'Raw Data'!I87,IFERROR(VALUE(SUBSTITUTE('Raw Data'!I87,",","")),""))</f>
        <v>424</v>
      </c>
      <c r="J91" s="21">
        <f>IF(AND(ISNUMBER(tblClean[[#This Row],[Start Time]]),ISNUMBER(tblClean[[#This Row],[End Time]])),ROUND(MOD(tblClean[[#This Row],[End Time]]-tblClean[[#This Row],[Start Time]],1)*24,2),"")</f>
        <v>2</v>
      </c>
      <c r="K91" s="12">
        <f>IF(AND(ISNUMBER(tblClean[[#This Row],[Duration Hours]]),ISNUMBER(tblClean[[#This Row],[Attributed GMV PHP]])),IF(tblClean[[#This Row],[Duration Hours]]&gt;0,tblClean[[#This Row],[Attributed GMV PHP]]/tblClean[[#This Row],[Duration Hours]],""),"")</f>
        <v>14234.5</v>
      </c>
      <c r="L91" s="22">
        <f>IF(ISNUMBER(tblClean[[#This Row],[Date]]),DATE(YEAR(tblClean[[#This Row],[Date]]),MONTH(tblClean[[#This Row],[Date]]),1),"")</f>
        <v>45809</v>
      </c>
      <c r="M91" s="10">
        <f>IF(ISNUMBER(tblClean[[#This Row],[Date]]),tblClean[[#This Row],[Date]]-WEEKDAY(tblClean[[#This Row],[Date]],2)+1,"")</f>
        <v>45824</v>
      </c>
      <c r="N91" s="23">
        <f>IF(ISNUMBER(tblClean[[#This Row],[Week Start]]),(tblClean[[#This Row],[Week Start]]-MIN(tblClean[Week Start]))/7+1,"")</f>
        <v>3</v>
      </c>
      <c r="O91" s="24" t="str">
        <f>IF(ISNUMBER(tblClean[[#This Row],[Date]]),CHOOSE(WEEKDAY(tblClean[[#This Row],[Date]],2),"Mon","Tue","Wed","Thu","Fri","Sat","Sun"),"")</f>
        <v>Sun</v>
      </c>
      <c r="P91" s="24" t="str">
        <f>IF(ISNUMBER(tblClean[[#This Row],[Date]]),IF(WEEKDAY(tblClean[[#This Row],[Date]],2)&gt;=6,"Weekend","Weekday"),"")</f>
        <v>Weekend</v>
      </c>
      <c r="Q9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91" s="9" t="str">
        <f>IF(ISNUMBER(tblClean[[#This Row],[Duration Hours]]),IF(tblClean[[#This Row],[Duration Hours]]&lt;2,"Short (under 2h)",IF(tblClean[[#This Row],[Duration Hours]]&lt;3,"Standard (2h to under 3h)","Long (3h or more)")),"")</f>
        <v>Standard (2h to under 3h)</v>
      </c>
      <c r="S9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91" s="24">
        <f>IF(COUNTIF(tblClean[Session ID],tblClean[[#This Row],[Session ID]])&gt;1,1,0)</f>
        <v>0</v>
      </c>
      <c r="U91" s="24">
        <f>IF(OR(N(tblClean[[#This Row],[Attributed GMV PHP]])&lt;0,N(tblClean[[#This Row],[Items Sold]])&lt;0,N(tblClean[[#This Row],[Livestream Views]])&lt;0,N(tblClean[[#This Row],[New Followers]])&lt;0),1,0)</f>
        <v>0</v>
      </c>
      <c r="V91" s="24">
        <f>IF(ISNUMBER(tblClean[[#This Row],[Duration Hours]]),IF(OR(tblClean[[#This Row],[Duration Hours]]&lt;=0,tblClean[[#This Row],[Duration Hours]]&gt;12),1,0),1)</f>
        <v>0</v>
      </c>
      <c r="W91" s="24">
        <f>IF(COUNTIF(HostRoster,tblClean[[#This Row],[Host Name]])=0,1,0)</f>
        <v>0</v>
      </c>
      <c r="X91" s="24">
        <f>IF(tblClean[[#This Row],[Missing Flag]]+tblClean[[#This Row],[Duplicate Flag]]+tblClean[[#This Row],[Negative Flag]]+tblClean[[#This Row],[Duration Flag]]+tblClean[[#This Row],[Host Flag]]=0,1,0)</f>
        <v>1</v>
      </c>
    </row>
    <row r="92" spans="1:24" x14ac:dyDescent="0.3">
      <c r="A92" s="9" t="str">
        <f>TRIM('Raw Data'!A88)</f>
        <v>LS-0084</v>
      </c>
      <c r="B92" s="10">
        <f>IF(ISNUMBER('Raw Data'!B88),INT('Raw Data'!B88),IFERROR(DATEVALUE('Raw Data'!B88),""))</f>
        <v>45831</v>
      </c>
      <c r="C92" s="9" t="str">
        <f>PROPER(TRIM('Raw Data'!C88))</f>
        <v>Bianca Reyes</v>
      </c>
      <c r="D92" s="11">
        <f>IF(ISNUMBER('Raw Data'!D88),MOD('Raw Data'!D88,1),IFERROR(TIMEVALUE('Raw Data'!D88),""))</f>
        <v>0.41666666666666669</v>
      </c>
      <c r="E92" s="11">
        <f>IF(ISNUMBER('Raw Data'!E88),MOD('Raw Data'!E88,1),IFERROR(TIMEVALUE('Raw Data'!E88),""))</f>
        <v>0.5</v>
      </c>
      <c r="F92" s="12">
        <f>IF(ISNUMBER('Raw Data'!F88),'Raw Data'!F88,IFERROR(VALUE(SUBSTITUTE('Raw Data'!F88,",","")),""))</f>
        <v>11275</v>
      </c>
      <c r="G92" s="13">
        <f>IF(ISNUMBER('Raw Data'!G88),'Raw Data'!G88,IFERROR(VALUE(SUBSTITUTE('Raw Data'!G88,",","")),""))</f>
        <v>30</v>
      </c>
      <c r="H92" s="13">
        <f>IF(ISNUMBER('Raw Data'!H88),'Raw Data'!H88,IFERROR(VALUE(SUBSTITUTE('Raw Data'!H88,",","")),""))</f>
        <v>33207</v>
      </c>
      <c r="I92" s="13">
        <f>IF(ISNUMBER('Raw Data'!I88),'Raw Data'!I88,IFERROR(VALUE(SUBSTITUTE('Raw Data'!I88,",","")),""))</f>
        <v>200</v>
      </c>
      <c r="J92" s="21">
        <f>IF(AND(ISNUMBER(tblClean[[#This Row],[Start Time]]),ISNUMBER(tblClean[[#This Row],[End Time]])),ROUND(MOD(tblClean[[#This Row],[End Time]]-tblClean[[#This Row],[Start Time]],1)*24,2),"")</f>
        <v>2</v>
      </c>
      <c r="K92" s="12">
        <f>IF(AND(ISNUMBER(tblClean[[#This Row],[Duration Hours]]),ISNUMBER(tblClean[[#This Row],[Attributed GMV PHP]])),IF(tblClean[[#This Row],[Duration Hours]]&gt;0,tblClean[[#This Row],[Attributed GMV PHP]]/tblClean[[#This Row],[Duration Hours]],""),"")</f>
        <v>5637.5</v>
      </c>
      <c r="L92" s="22">
        <f>IF(ISNUMBER(tblClean[[#This Row],[Date]]),DATE(YEAR(tblClean[[#This Row],[Date]]),MONTH(tblClean[[#This Row],[Date]]),1),"")</f>
        <v>45809</v>
      </c>
      <c r="M92" s="10">
        <f>IF(ISNUMBER(tblClean[[#This Row],[Date]]),tblClean[[#This Row],[Date]]-WEEKDAY(tblClean[[#This Row],[Date]],2)+1,"")</f>
        <v>45831</v>
      </c>
      <c r="N92" s="23">
        <f>IF(ISNUMBER(tblClean[[#This Row],[Week Start]]),(tblClean[[#This Row],[Week Start]]-MIN(tblClean[Week Start]))/7+1,"")</f>
        <v>4</v>
      </c>
      <c r="O92" s="24" t="str">
        <f>IF(ISNUMBER(tblClean[[#This Row],[Date]]),CHOOSE(WEEKDAY(tblClean[[#This Row],[Date]],2),"Mon","Tue","Wed","Thu","Fri","Sat","Sun"),"")</f>
        <v>Mon</v>
      </c>
      <c r="P92" s="24" t="str">
        <f>IF(ISNUMBER(tblClean[[#This Row],[Date]]),IF(WEEKDAY(tblClean[[#This Row],[Date]],2)&gt;=6,"Weekend","Weekday"),"")</f>
        <v>Weekday</v>
      </c>
      <c r="Q9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92" s="9" t="str">
        <f>IF(ISNUMBER(tblClean[[#This Row],[Duration Hours]]),IF(tblClean[[#This Row],[Duration Hours]]&lt;2,"Short (under 2h)",IF(tblClean[[#This Row],[Duration Hours]]&lt;3,"Standard (2h to under 3h)","Long (3h or more)")),"")</f>
        <v>Standard (2h to under 3h)</v>
      </c>
      <c r="S9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92" s="24">
        <f>IF(COUNTIF(tblClean[Session ID],tblClean[[#This Row],[Session ID]])&gt;1,1,0)</f>
        <v>0</v>
      </c>
      <c r="U92" s="24">
        <f>IF(OR(N(tblClean[[#This Row],[Attributed GMV PHP]])&lt;0,N(tblClean[[#This Row],[Items Sold]])&lt;0,N(tblClean[[#This Row],[Livestream Views]])&lt;0,N(tblClean[[#This Row],[New Followers]])&lt;0),1,0)</f>
        <v>0</v>
      </c>
      <c r="V92" s="24">
        <f>IF(ISNUMBER(tblClean[[#This Row],[Duration Hours]]),IF(OR(tblClean[[#This Row],[Duration Hours]]&lt;=0,tblClean[[#This Row],[Duration Hours]]&gt;12),1,0),1)</f>
        <v>0</v>
      </c>
      <c r="W92" s="24">
        <f>IF(COUNTIF(HostRoster,tblClean[[#This Row],[Host Name]])=0,1,0)</f>
        <v>0</v>
      </c>
      <c r="X92" s="24">
        <f>IF(tblClean[[#This Row],[Missing Flag]]+tblClean[[#This Row],[Duplicate Flag]]+tblClean[[#This Row],[Negative Flag]]+tblClean[[#This Row],[Duration Flag]]+tblClean[[#This Row],[Host Flag]]=0,1,0)</f>
        <v>1</v>
      </c>
    </row>
    <row r="93" spans="1:24" x14ac:dyDescent="0.3">
      <c r="A93" s="9" t="str">
        <f>TRIM('Raw Data'!A89)</f>
        <v>LS-0085</v>
      </c>
      <c r="B93" s="10">
        <f>IF(ISNUMBER('Raw Data'!B89),INT('Raw Data'!B89),IFERROR(DATEVALUE('Raw Data'!B89),""))</f>
        <v>45831</v>
      </c>
      <c r="C93" s="9" t="str">
        <f>PROPER(TRIM('Raw Data'!C89))</f>
        <v>Elise Navarro</v>
      </c>
      <c r="D93" s="11">
        <f>IF(ISNUMBER('Raw Data'!D89),MOD('Raw Data'!D89,1),IFERROR(TIMEVALUE('Raw Data'!D89),""))</f>
        <v>0.66666666666666663</v>
      </c>
      <c r="E93" s="11">
        <f>IF(ISNUMBER('Raw Data'!E89),MOD('Raw Data'!E89,1),IFERROR(TIMEVALUE('Raw Data'!E89),""))</f>
        <v>0.77083333333333337</v>
      </c>
      <c r="F93" s="12">
        <f>IF(ISNUMBER('Raw Data'!F89),'Raw Data'!F89,IFERROR(VALUE(SUBSTITUTE('Raw Data'!F89,",","")),""))</f>
        <v>11663</v>
      </c>
      <c r="G93" s="13">
        <f>IF(ISNUMBER('Raw Data'!G89),'Raw Data'!G89,IFERROR(VALUE(SUBSTITUTE('Raw Data'!G89,",","")),""))</f>
        <v>34</v>
      </c>
      <c r="H93" s="13">
        <f>IF(ISNUMBER('Raw Data'!H89),'Raw Data'!H89,IFERROR(VALUE(SUBSTITUTE('Raw Data'!H89,",","")),""))</f>
        <v>51557</v>
      </c>
      <c r="I93" s="13">
        <f>IF(ISNUMBER('Raw Data'!I89),'Raw Data'!I89,IFERROR(VALUE(SUBSTITUTE('Raw Data'!I89,",","")),""))</f>
        <v>556</v>
      </c>
      <c r="J93" s="21">
        <f>IF(AND(ISNUMBER(tblClean[[#This Row],[Start Time]]),ISNUMBER(tblClean[[#This Row],[End Time]])),ROUND(MOD(tblClean[[#This Row],[End Time]]-tblClean[[#This Row],[Start Time]],1)*24,2),"")</f>
        <v>2.5</v>
      </c>
      <c r="K93" s="12">
        <f>IF(AND(ISNUMBER(tblClean[[#This Row],[Duration Hours]]),ISNUMBER(tblClean[[#This Row],[Attributed GMV PHP]])),IF(tblClean[[#This Row],[Duration Hours]]&gt;0,tblClean[[#This Row],[Attributed GMV PHP]]/tblClean[[#This Row],[Duration Hours]],""),"")</f>
        <v>4665.2</v>
      </c>
      <c r="L93" s="22">
        <f>IF(ISNUMBER(tblClean[[#This Row],[Date]]),DATE(YEAR(tblClean[[#This Row],[Date]]),MONTH(tblClean[[#This Row],[Date]]),1),"")</f>
        <v>45809</v>
      </c>
      <c r="M93" s="10">
        <f>IF(ISNUMBER(tblClean[[#This Row],[Date]]),tblClean[[#This Row],[Date]]-WEEKDAY(tblClean[[#This Row],[Date]],2)+1,"")</f>
        <v>45831</v>
      </c>
      <c r="N93" s="23">
        <f>IF(ISNUMBER(tblClean[[#This Row],[Week Start]]),(tblClean[[#This Row],[Week Start]]-MIN(tblClean[Week Start]))/7+1,"")</f>
        <v>4</v>
      </c>
      <c r="O93" s="24" t="str">
        <f>IF(ISNUMBER(tblClean[[#This Row],[Date]]),CHOOSE(WEEKDAY(tblClean[[#This Row],[Date]],2),"Mon","Tue","Wed","Thu","Fri","Sat","Sun"),"")</f>
        <v>Mon</v>
      </c>
      <c r="P93" s="24" t="str">
        <f>IF(ISNUMBER(tblClean[[#This Row],[Date]]),IF(WEEKDAY(tblClean[[#This Row],[Date]],2)&gt;=6,"Weekend","Weekday"),"")</f>
        <v>Weekday</v>
      </c>
      <c r="Q9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93" s="9" t="str">
        <f>IF(ISNUMBER(tblClean[[#This Row],[Duration Hours]]),IF(tblClean[[#This Row],[Duration Hours]]&lt;2,"Short (under 2h)",IF(tblClean[[#This Row],[Duration Hours]]&lt;3,"Standard (2h to under 3h)","Long (3h or more)")),"")</f>
        <v>Standard (2h to under 3h)</v>
      </c>
      <c r="S9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93" s="24">
        <f>IF(COUNTIF(tblClean[Session ID],tblClean[[#This Row],[Session ID]])&gt;1,1,0)</f>
        <v>0</v>
      </c>
      <c r="U93" s="24">
        <f>IF(OR(N(tblClean[[#This Row],[Attributed GMV PHP]])&lt;0,N(tblClean[[#This Row],[Items Sold]])&lt;0,N(tblClean[[#This Row],[Livestream Views]])&lt;0,N(tblClean[[#This Row],[New Followers]])&lt;0),1,0)</f>
        <v>0</v>
      </c>
      <c r="V93" s="24">
        <f>IF(ISNUMBER(tblClean[[#This Row],[Duration Hours]]),IF(OR(tblClean[[#This Row],[Duration Hours]]&lt;=0,tblClean[[#This Row],[Duration Hours]]&gt;12),1,0),1)</f>
        <v>0</v>
      </c>
      <c r="W93" s="24">
        <f>IF(COUNTIF(HostRoster,tblClean[[#This Row],[Host Name]])=0,1,0)</f>
        <v>0</v>
      </c>
      <c r="X93" s="24">
        <f>IF(tblClean[[#This Row],[Missing Flag]]+tblClean[[#This Row],[Duplicate Flag]]+tblClean[[#This Row],[Negative Flag]]+tblClean[[#This Row],[Duration Flag]]+tblClean[[#This Row],[Host Flag]]=0,1,0)</f>
        <v>1</v>
      </c>
    </row>
    <row r="94" spans="1:24" x14ac:dyDescent="0.3">
      <c r="A94" s="9" t="str">
        <f>TRIM('Raw Data'!A90)</f>
        <v>LS-0086</v>
      </c>
      <c r="B94" s="10">
        <f>IF(ISNUMBER('Raw Data'!B90),INT('Raw Data'!B90),IFERROR(DATEVALUE('Raw Data'!B90),""))</f>
        <v>45831</v>
      </c>
      <c r="C94" s="9" t="str">
        <f>PROPER(TRIM('Raw Data'!C90))</f>
        <v>Aira Valdez</v>
      </c>
      <c r="D94" s="11">
        <f>IF(ISNUMBER('Raw Data'!D90),MOD('Raw Data'!D90,1),IFERROR(TIMEVALUE('Raw Data'!D90),""))</f>
        <v>0.79166666666666663</v>
      </c>
      <c r="E94" s="11">
        <f>IF(ISNUMBER('Raw Data'!E90),MOD('Raw Data'!E90,1),IFERROR(TIMEVALUE('Raw Data'!E90),""))</f>
        <v>0.91666666666666663</v>
      </c>
      <c r="F94" s="12">
        <f>IF(ISNUMBER('Raw Data'!F90),'Raw Data'!F90,IFERROR(VALUE(SUBSTITUTE('Raw Data'!F90,",","")),""))</f>
        <v>57386</v>
      </c>
      <c r="G94" s="13">
        <f>IF(ISNUMBER('Raw Data'!G90),'Raw Data'!G90,IFERROR(VALUE(SUBSTITUTE('Raw Data'!G90,",","")),""))</f>
        <v>148</v>
      </c>
      <c r="H94" s="13">
        <f>IF(ISNUMBER('Raw Data'!H90),'Raw Data'!H90,IFERROR(VALUE(SUBSTITUTE('Raw Data'!H90,",","")),""))</f>
        <v>179103</v>
      </c>
      <c r="I94" s="13">
        <f>IF(ISNUMBER('Raw Data'!I90),'Raw Data'!I90,IFERROR(VALUE(SUBSTITUTE('Raw Data'!I90,",","")),""))</f>
        <v>1303</v>
      </c>
      <c r="J94" s="21">
        <f>IF(AND(ISNUMBER(tblClean[[#This Row],[Start Time]]),ISNUMBER(tblClean[[#This Row],[End Time]])),ROUND(MOD(tblClean[[#This Row],[End Time]]-tblClean[[#This Row],[Start Time]],1)*24,2),"")</f>
        <v>3</v>
      </c>
      <c r="K94" s="12">
        <f>IF(AND(ISNUMBER(tblClean[[#This Row],[Duration Hours]]),ISNUMBER(tblClean[[#This Row],[Attributed GMV PHP]])),IF(tblClean[[#This Row],[Duration Hours]]&gt;0,tblClean[[#This Row],[Attributed GMV PHP]]/tblClean[[#This Row],[Duration Hours]],""),"")</f>
        <v>19128.666666666668</v>
      </c>
      <c r="L94" s="22">
        <f>IF(ISNUMBER(tblClean[[#This Row],[Date]]),DATE(YEAR(tblClean[[#This Row],[Date]]),MONTH(tblClean[[#This Row],[Date]]),1),"")</f>
        <v>45809</v>
      </c>
      <c r="M94" s="10">
        <f>IF(ISNUMBER(tblClean[[#This Row],[Date]]),tblClean[[#This Row],[Date]]-WEEKDAY(tblClean[[#This Row],[Date]],2)+1,"")</f>
        <v>45831</v>
      </c>
      <c r="N94" s="23">
        <f>IF(ISNUMBER(tblClean[[#This Row],[Week Start]]),(tblClean[[#This Row],[Week Start]]-MIN(tblClean[Week Start]))/7+1,"")</f>
        <v>4</v>
      </c>
      <c r="O94" s="24" t="str">
        <f>IF(ISNUMBER(tblClean[[#This Row],[Date]]),CHOOSE(WEEKDAY(tblClean[[#This Row],[Date]],2),"Mon","Tue","Wed","Thu","Fri","Sat","Sun"),"")</f>
        <v>Mon</v>
      </c>
      <c r="P94" s="24" t="str">
        <f>IF(ISNUMBER(tblClean[[#This Row],[Date]]),IF(WEEKDAY(tblClean[[#This Row],[Date]],2)&gt;=6,"Weekend","Weekday"),"")</f>
        <v>Weekday</v>
      </c>
      <c r="Q9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94" s="9" t="str">
        <f>IF(ISNUMBER(tblClean[[#This Row],[Duration Hours]]),IF(tblClean[[#This Row],[Duration Hours]]&lt;2,"Short (under 2h)",IF(tblClean[[#This Row],[Duration Hours]]&lt;3,"Standard (2h to under 3h)","Long (3h or more)")),"")</f>
        <v>Long (3h or more)</v>
      </c>
      <c r="S9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94" s="24">
        <f>IF(COUNTIF(tblClean[Session ID],tblClean[[#This Row],[Session ID]])&gt;1,1,0)</f>
        <v>0</v>
      </c>
      <c r="U94" s="24">
        <f>IF(OR(N(tblClean[[#This Row],[Attributed GMV PHP]])&lt;0,N(tblClean[[#This Row],[Items Sold]])&lt;0,N(tblClean[[#This Row],[Livestream Views]])&lt;0,N(tblClean[[#This Row],[New Followers]])&lt;0),1,0)</f>
        <v>0</v>
      </c>
      <c r="V94" s="24">
        <f>IF(ISNUMBER(tblClean[[#This Row],[Duration Hours]]),IF(OR(tblClean[[#This Row],[Duration Hours]]&lt;=0,tblClean[[#This Row],[Duration Hours]]&gt;12),1,0),1)</f>
        <v>0</v>
      </c>
      <c r="W94" s="24">
        <f>IF(COUNTIF(HostRoster,tblClean[[#This Row],[Host Name]])=0,1,0)</f>
        <v>0</v>
      </c>
      <c r="X94" s="24">
        <f>IF(tblClean[[#This Row],[Missing Flag]]+tblClean[[#This Row],[Duplicate Flag]]+tblClean[[#This Row],[Negative Flag]]+tblClean[[#This Row],[Duration Flag]]+tblClean[[#This Row],[Host Flag]]=0,1,0)</f>
        <v>1</v>
      </c>
    </row>
    <row r="95" spans="1:24" x14ac:dyDescent="0.3">
      <c r="A95" s="9" t="str">
        <f>TRIM('Raw Data'!A91)</f>
        <v>LS-0087</v>
      </c>
      <c r="B95" s="10">
        <f>IF(ISNUMBER('Raw Data'!B91),INT('Raw Data'!B91),IFERROR(DATEVALUE('Raw Data'!B91),""))</f>
        <v>45831</v>
      </c>
      <c r="C95" s="9" t="str">
        <f>PROPER(TRIM('Raw Data'!C91))</f>
        <v>Dani Villanueva</v>
      </c>
      <c r="D95" s="11">
        <f>IF(ISNUMBER('Raw Data'!D91),MOD('Raw Data'!D91,1),IFERROR(TIMEVALUE('Raw Data'!D91),""))</f>
        <v>0.91666666666666663</v>
      </c>
      <c r="E95" s="11">
        <f>IF(ISNUMBER('Raw Data'!E91),MOD('Raw Data'!E91,1),IFERROR(TIMEVALUE('Raw Data'!E91),""))</f>
        <v>4.1666666666666657E-2</v>
      </c>
      <c r="F95" s="12">
        <f>IF(ISNUMBER('Raw Data'!F91),'Raw Data'!F91,IFERROR(VALUE(SUBSTITUTE('Raw Data'!F91,",","")),""))</f>
        <v>16769</v>
      </c>
      <c r="G95" s="13">
        <f>IF(ISNUMBER('Raw Data'!G91),'Raw Data'!G91,IFERROR(VALUE(SUBSTITUTE('Raw Data'!G91,",","")),""))</f>
        <v>56</v>
      </c>
      <c r="H95" s="13">
        <f>IF(ISNUMBER('Raw Data'!H91),'Raw Data'!H91,IFERROR(VALUE(SUBSTITUTE('Raw Data'!H91,",","")),""))</f>
        <v>80789</v>
      </c>
      <c r="I95" s="13">
        <f>IF(ISNUMBER('Raw Data'!I91),'Raw Data'!I91,IFERROR(VALUE(SUBSTITUTE('Raw Data'!I91,",","")),""))</f>
        <v>695</v>
      </c>
      <c r="J95" s="21">
        <f>IF(AND(ISNUMBER(tblClean[[#This Row],[Start Time]]),ISNUMBER(tblClean[[#This Row],[End Time]])),ROUND(MOD(tblClean[[#This Row],[End Time]]-tblClean[[#This Row],[Start Time]],1)*24,2),"")</f>
        <v>3</v>
      </c>
      <c r="K95" s="12">
        <f>IF(AND(ISNUMBER(tblClean[[#This Row],[Duration Hours]]),ISNUMBER(tblClean[[#This Row],[Attributed GMV PHP]])),IF(tblClean[[#This Row],[Duration Hours]]&gt;0,tblClean[[#This Row],[Attributed GMV PHP]]/tblClean[[#This Row],[Duration Hours]],""),"")</f>
        <v>5589.666666666667</v>
      </c>
      <c r="L95" s="22">
        <f>IF(ISNUMBER(tblClean[[#This Row],[Date]]),DATE(YEAR(tblClean[[#This Row],[Date]]),MONTH(tblClean[[#This Row],[Date]]),1),"")</f>
        <v>45809</v>
      </c>
      <c r="M95" s="10">
        <f>IF(ISNUMBER(tblClean[[#This Row],[Date]]),tblClean[[#This Row],[Date]]-WEEKDAY(tblClean[[#This Row],[Date]],2)+1,"")</f>
        <v>45831</v>
      </c>
      <c r="N95" s="23">
        <f>IF(ISNUMBER(tblClean[[#This Row],[Week Start]]),(tblClean[[#This Row],[Week Start]]-MIN(tblClean[Week Start]))/7+1,"")</f>
        <v>4</v>
      </c>
      <c r="O95" s="24" t="str">
        <f>IF(ISNUMBER(tblClean[[#This Row],[Date]]),CHOOSE(WEEKDAY(tblClean[[#This Row],[Date]],2),"Mon","Tue","Wed","Thu","Fri","Sat","Sun"),"")</f>
        <v>Mon</v>
      </c>
      <c r="P95" s="24" t="str">
        <f>IF(ISNUMBER(tblClean[[#This Row],[Date]]),IF(WEEKDAY(tblClean[[#This Row],[Date]],2)&gt;=6,"Weekend","Weekday"),"")</f>
        <v>Weekday</v>
      </c>
      <c r="Q9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95" s="9" t="str">
        <f>IF(ISNUMBER(tblClean[[#This Row],[Duration Hours]]),IF(tblClean[[#This Row],[Duration Hours]]&lt;2,"Short (under 2h)",IF(tblClean[[#This Row],[Duration Hours]]&lt;3,"Standard (2h to under 3h)","Long (3h or more)")),"")</f>
        <v>Long (3h or more)</v>
      </c>
      <c r="S9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95" s="24">
        <f>IF(COUNTIF(tblClean[Session ID],tblClean[[#This Row],[Session ID]])&gt;1,1,0)</f>
        <v>0</v>
      </c>
      <c r="U95" s="24">
        <f>IF(OR(N(tblClean[[#This Row],[Attributed GMV PHP]])&lt;0,N(tblClean[[#This Row],[Items Sold]])&lt;0,N(tblClean[[#This Row],[Livestream Views]])&lt;0,N(tblClean[[#This Row],[New Followers]])&lt;0),1,0)</f>
        <v>0</v>
      </c>
      <c r="V95" s="24">
        <f>IF(ISNUMBER(tblClean[[#This Row],[Duration Hours]]),IF(OR(tblClean[[#This Row],[Duration Hours]]&lt;=0,tblClean[[#This Row],[Duration Hours]]&gt;12),1,0),1)</f>
        <v>0</v>
      </c>
      <c r="W95" s="24">
        <f>IF(COUNTIF(HostRoster,tblClean[[#This Row],[Host Name]])=0,1,0)</f>
        <v>0</v>
      </c>
      <c r="X95" s="24">
        <f>IF(tblClean[[#This Row],[Missing Flag]]+tblClean[[#This Row],[Duplicate Flag]]+tblClean[[#This Row],[Negative Flag]]+tblClean[[#This Row],[Duration Flag]]+tblClean[[#This Row],[Host Flag]]=0,1,0)</f>
        <v>1</v>
      </c>
    </row>
    <row r="96" spans="1:24" x14ac:dyDescent="0.3">
      <c r="A96" s="9" t="str">
        <f>TRIM('Raw Data'!A92)</f>
        <v>LS-0088</v>
      </c>
      <c r="B96" s="10">
        <f>IF(ISNUMBER('Raw Data'!B92),INT('Raw Data'!B92),IFERROR(DATEVALUE('Raw Data'!B92),""))</f>
        <v>45832</v>
      </c>
      <c r="C96" s="9" t="str">
        <f>PROPER(TRIM('Raw Data'!C92))</f>
        <v>Dani Villanueva</v>
      </c>
      <c r="D96" s="11">
        <f>IF(ISNUMBER('Raw Data'!D92),MOD('Raw Data'!D92,1),IFERROR(TIMEVALUE('Raw Data'!D92),""))</f>
        <v>0.41666666666666669</v>
      </c>
      <c r="E96" s="11">
        <f>IF(ISNUMBER('Raw Data'!E92),MOD('Raw Data'!E92,1),IFERROR(TIMEVALUE('Raw Data'!E92),""))</f>
        <v>0.52083333333333337</v>
      </c>
      <c r="F96" s="12">
        <f>IF(ISNUMBER('Raw Data'!F92),'Raw Data'!F92,IFERROR(VALUE(SUBSTITUTE('Raw Data'!F92,",","")),""))</f>
        <v>8078</v>
      </c>
      <c r="G96" s="13">
        <f>IF(ISNUMBER('Raw Data'!G92),'Raw Data'!G92,IFERROR(VALUE(SUBSTITUTE('Raw Data'!G92,",","")),""))</f>
        <v>24</v>
      </c>
      <c r="H96" s="13">
        <f>IF(ISNUMBER('Raw Data'!H92),'Raw Data'!H92,IFERROR(VALUE(SUBSTITUTE('Raw Data'!H92,",","")),""))</f>
        <v>30651</v>
      </c>
      <c r="I96" s="13">
        <f>IF(ISNUMBER('Raw Data'!I92),'Raw Data'!I92,IFERROR(VALUE(SUBSTITUTE('Raw Data'!I92,",","")),""))</f>
        <v>261</v>
      </c>
      <c r="J96" s="21">
        <f>IF(AND(ISNUMBER(tblClean[[#This Row],[Start Time]]),ISNUMBER(tblClean[[#This Row],[End Time]])),ROUND(MOD(tblClean[[#This Row],[End Time]]-tblClean[[#This Row],[Start Time]],1)*24,2),"")</f>
        <v>2.5</v>
      </c>
      <c r="K96" s="12">
        <f>IF(AND(ISNUMBER(tblClean[[#This Row],[Duration Hours]]),ISNUMBER(tblClean[[#This Row],[Attributed GMV PHP]])),IF(tblClean[[#This Row],[Duration Hours]]&gt;0,tblClean[[#This Row],[Attributed GMV PHP]]/tblClean[[#This Row],[Duration Hours]],""),"")</f>
        <v>3231.2</v>
      </c>
      <c r="L96" s="22">
        <f>IF(ISNUMBER(tblClean[[#This Row],[Date]]),DATE(YEAR(tblClean[[#This Row],[Date]]),MONTH(tblClean[[#This Row],[Date]]),1),"")</f>
        <v>45809</v>
      </c>
      <c r="M96" s="10">
        <f>IF(ISNUMBER(tblClean[[#This Row],[Date]]),tblClean[[#This Row],[Date]]-WEEKDAY(tblClean[[#This Row],[Date]],2)+1,"")</f>
        <v>45831</v>
      </c>
      <c r="N96" s="23">
        <f>IF(ISNUMBER(tblClean[[#This Row],[Week Start]]),(tblClean[[#This Row],[Week Start]]-MIN(tblClean[Week Start]))/7+1,"")</f>
        <v>4</v>
      </c>
      <c r="O96" s="24" t="str">
        <f>IF(ISNUMBER(tblClean[[#This Row],[Date]]),CHOOSE(WEEKDAY(tblClean[[#This Row],[Date]],2),"Mon","Tue","Wed","Thu","Fri","Sat","Sun"),"")</f>
        <v>Tue</v>
      </c>
      <c r="P96" s="24" t="str">
        <f>IF(ISNUMBER(tblClean[[#This Row],[Date]]),IF(WEEKDAY(tblClean[[#This Row],[Date]],2)&gt;=6,"Weekend","Weekday"),"")</f>
        <v>Weekday</v>
      </c>
      <c r="Q9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96" s="9" t="str">
        <f>IF(ISNUMBER(tblClean[[#This Row],[Duration Hours]]),IF(tblClean[[#This Row],[Duration Hours]]&lt;2,"Short (under 2h)",IF(tblClean[[#This Row],[Duration Hours]]&lt;3,"Standard (2h to under 3h)","Long (3h or more)")),"")</f>
        <v>Standard (2h to under 3h)</v>
      </c>
      <c r="S9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96" s="24">
        <f>IF(COUNTIF(tblClean[Session ID],tblClean[[#This Row],[Session ID]])&gt;1,1,0)</f>
        <v>0</v>
      </c>
      <c r="U96" s="24">
        <f>IF(OR(N(tblClean[[#This Row],[Attributed GMV PHP]])&lt;0,N(tblClean[[#This Row],[Items Sold]])&lt;0,N(tblClean[[#This Row],[Livestream Views]])&lt;0,N(tblClean[[#This Row],[New Followers]])&lt;0),1,0)</f>
        <v>0</v>
      </c>
      <c r="V96" s="24">
        <f>IF(ISNUMBER(tblClean[[#This Row],[Duration Hours]]),IF(OR(tblClean[[#This Row],[Duration Hours]]&lt;=0,tblClean[[#This Row],[Duration Hours]]&gt;12),1,0),1)</f>
        <v>0</v>
      </c>
      <c r="W96" s="24">
        <f>IF(COUNTIF(HostRoster,tblClean[[#This Row],[Host Name]])=0,1,0)</f>
        <v>0</v>
      </c>
      <c r="X96" s="24">
        <f>IF(tblClean[[#This Row],[Missing Flag]]+tblClean[[#This Row],[Duplicate Flag]]+tblClean[[#This Row],[Negative Flag]]+tblClean[[#This Row],[Duration Flag]]+tblClean[[#This Row],[Host Flag]]=0,1,0)</f>
        <v>1</v>
      </c>
    </row>
    <row r="97" spans="1:24" x14ac:dyDescent="0.3">
      <c r="A97" s="9" t="str">
        <f>TRIM('Raw Data'!A93)</f>
        <v>LS-0089</v>
      </c>
      <c r="B97" s="10">
        <f>IF(ISNUMBER('Raw Data'!B93),INT('Raw Data'!B93),IFERROR(DATEVALUE('Raw Data'!B93),""))</f>
        <v>45832</v>
      </c>
      <c r="C97" s="9" t="str">
        <f>PROPER(TRIM('Raw Data'!C93))</f>
        <v>Dani Villanueva</v>
      </c>
      <c r="D97" s="11">
        <f>IF(ISNUMBER('Raw Data'!D93),MOD('Raw Data'!D93,1),IFERROR(TIMEVALUE('Raw Data'!D93),""))</f>
        <v>0.54166666666666663</v>
      </c>
      <c r="E97" s="11">
        <f>IF(ISNUMBER('Raw Data'!E93),MOD('Raw Data'!E93,1),IFERROR(TIMEVALUE('Raw Data'!E93),""))</f>
        <v>0.66666666666666663</v>
      </c>
      <c r="F97" s="12">
        <f>IF(ISNUMBER('Raw Data'!F93),'Raw Data'!F93,IFERROR(VALUE(SUBSTITUTE('Raw Data'!F93,",","")),""))</f>
        <v>22238</v>
      </c>
      <c r="G97" s="13">
        <f>IF(ISNUMBER('Raw Data'!G93),'Raw Data'!G93,IFERROR(VALUE(SUBSTITUTE('Raw Data'!G93,",","")),""))</f>
        <v>69</v>
      </c>
      <c r="H97" s="13">
        <f>IF(ISNUMBER('Raw Data'!H93),'Raw Data'!H93,IFERROR(VALUE(SUBSTITUTE('Raw Data'!H93,",","")),""))</f>
        <v>53525</v>
      </c>
      <c r="I97" s="13">
        <f>IF(ISNUMBER('Raw Data'!I93),'Raw Data'!I93,IFERROR(VALUE(SUBSTITUTE('Raw Data'!I93,",","")),""))</f>
        <v>522</v>
      </c>
      <c r="J97" s="21">
        <f>IF(AND(ISNUMBER(tblClean[[#This Row],[Start Time]]),ISNUMBER(tblClean[[#This Row],[End Time]])),ROUND(MOD(tblClean[[#This Row],[End Time]]-tblClean[[#This Row],[Start Time]],1)*24,2),"")</f>
        <v>3</v>
      </c>
      <c r="K97" s="12">
        <f>IF(AND(ISNUMBER(tblClean[[#This Row],[Duration Hours]]),ISNUMBER(tblClean[[#This Row],[Attributed GMV PHP]])),IF(tblClean[[#This Row],[Duration Hours]]&gt;0,tblClean[[#This Row],[Attributed GMV PHP]]/tblClean[[#This Row],[Duration Hours]],""),"")</f>
        <v>7412.666666666667</v>
      </c>
      <c r="L97" s="22">
        <f>IF(ISNUMBER(tblClean[[#This Row],[Date]]),DATE(YEAR(tblClean[[#This Row],[Date]]),MONTH(tblClean[[#This Row],[Date]]),1),"")</f>
        <v>45809</v>
      </c>
      <c r="M97" s="10">
        <f>IF(ISNUMBER(tblClean[[#This Row],[Date]]),tblClean[[#This Row],[Date]]-WEEKDAY(tblClean[[#This Row],[Date]],2)+1,"")</f>
        <v>45831</v>
      </c>
      <c r="N97" s="23">
        <f>IF(ISNUMBER(tblClean[[#This Row],[Week Start]]),(tblClean[[#This Row],[Week Start]]-MIN(tblClean[Week Start]))/7+1,"")</f>
        <v>4</v>
      </c>
      <c r="O97" s="24" t="str">
        <f>IF(ISNUMBER(tblClean[[#This Row],[Date]]),CHOOSE(WEEKDAY(tblClean[[#This Row],[Date]],2),"Mon","Tue","Wed","Thu","Fri","Sat","Sun"),"")</f>
        <v>Tue</v>
      </c>
      <c r="P97" s="24" t="str">
        <f>IF(ISNUMBER(tblClean[[#This Row],[Date]]),IF(WEEKDAY(tblClean[[#This Row],[Date]],2)&gt;=6,"Weekend","Weekday"),"")</f>
        <v>Weekday</v>
      </c>
      <c r="Q9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97" s="9" t="str">
        <f>IF(ISNUMBER(tblClean[[#This Row],[Duration Hours]]),IF(tblClean[[#This Row],[Duration Hours]]&lt;2,"Short (under 2h)",IF(tblClean[[#This Row],[Duration Hours]]&lt;3,"Standard (2h to under 3h)","Long (3h or more)")),"")</f>
        <v>Long (3h or more)</v>
      </c>
      <c r="S9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97" s="24">
        <f>IF(COUNTIF(tblClean[Session ID],tblClean[[#This Row],[Session ID]])&gt;1,1,0)</f>
        <v>0</v>
      </c>
      <c r="U97" s="24">
        <f>IF(OR(N(tblClean[[#This Row],[Attributed GMV PHP]])&lt;0,N(tblClean[[#This Row],[Items Sold]])&lt;0,N(tblClean[[#This Row],[Livestream Views]])&lt;0,N(tblClean[[#This Row],[New Followers]])&lt;0),1,0)</f>
        <v>0</v>
      </c>
      <c r="V97" s="24">
        <f>IF(ISNUMBER(tblClean[[#This Row],[Duration Hours]]),IF(OR(tblClean[[#This Row],[Duration Hours]]&lt;=0,tblClean[[#This Row],[Duration Hours]]&gt;12),1,0),1)</f>
        <v>0</v>
      </c>
      <c r="W97" s="24">
        <f>IF(COUNTIF(HostRoster,tblClean[[#This Row],[Host Name]])=0,1,0)</f>
        <v>0</v>
      </c>
      <c r="X97" s="24">
        <f>IF(tblClean[[#This Row],[Missing Flag]]+tblClean[[#This Row],[Duplicate Flag]]+tblClean[[#This Row],[Negative Flag]]+tblClean[[#This Row],[Duration Flag]]+tblClean[[#This Row],[Host Flag]]=0,1,0)</f>
        <v>1</v>
      </c>
    </row>
    <row r="98" spans="1:24" x14ac:dyDescent="0.3">
      <c r="A98" s="9" t="str">
        <f>TRIM('Raw Data'!A94)</f>
        <v>LS-0090</v>
      </c>
      <c r="B98" s="10">
        <f>IF(ISNUMBER('Raw Data'!B94),INT('Raw Data'!B94),IFERROR(DATEVALUE('Raw Data'!B94),""))</f>
        <v>45832</v>
      </c>
      <c r="C98" s="9" t="str">
        <f>PROPER(TRIM('Raw Data'!C94))</f>
        <v>Carlo Mendoza</v>
      </c>
      <c r="D98" s="11">
        <f>IF(ISNUMBER('Raw Data'!D94),MOD('Raw Data'!D94,1),IFERROR(TIMEVALUE('Raw Data'!D94),""))</f>
        <v>0.66666666666666663</v>
      </c>
      <c r="E98" s="11">
        <f>IF(ISNUMBER('Raw Data'!E94),MOD('Raw Data'!E94,1),IFERROR(TIMEVALUE('Raw Data'!E94),""))</f>
        <v>0.75</v>
      </c>
      <c r="F98" s="12">
        <f>IF(ISNUMBER('Raw Data'!F94),'Raw Data'!F94,IFERROR(VALUE(SUBSTITUTE('Raw Data'!F94,",","")),""))</f>
        <v>39662</v>
      </c>
      <c r="G98" s="13">
        <f>IF(ISNUMBER('Raw Data'!G94),'Raw Data'!G94,IFERROR(VALUE(SUBSTITUTE('Raw Data'!G94,",","")),""))</f>
        <v>103</v>
      </c>
      <c r="H98" s="13">
        <f>IF(ISNUMBER('Raw Data'!H94),'Raw Data'!H94,IFERROR(VALUE(SUBSTITUTE('Raw Data'!H94,",","")),""))</f>
        <v>143936</v>
      </c>
      <c r="I98" s="13">
        <f>IF(ISNUMBER('Raw Data'!I94),'Raw Data'!I94,IFERROR(VALUE(SUBSTITUTE('Raw Data'!I94,",","")),""))</f>
        <v>1115</v>
      </c>
      <c r="J98" s="21">
        <f>IF(AND(ISNUMBER(tblClean[[#This Row],[Start Time]]),ISNUMBER(tblClean[[#This Row],[End Time]])),ROUND(MOD(tblClean[[#This Row],[End Time]]-tblClean[[#This Row],[Start Time]],1)*24,2),"")</f>
        <v>2</v>
      </c>
      <c r="K98" s="12">
        <f>IF(AND(ISNUMBER(tblClean[[#This Row],[Duration Hours]]),ISNUMBER(tblClean[[#This Row],[Attributed GMV PHP]])),IF(tblClean[[#This Row],[Duration Hours]]&gt;0,tblClean[[#This Row],[Attributed GMV PHP]]/tblClean[[#This Row],[Duration Hours]],""),"")</f>
        <v>19831</v>
      </c>
      <c r="L98" s="22">
        <f>IF(ISNUMBER(tblClean[[#This Row],[Date]]),DATE(YEAR(tblClean[[#This Row],[Date]]),MONTH(tblClean[[#This Row],[Date]]),1),"")</f>
        <v>45809</v>
      </c>
      <c r="M98" s="10">
        <f>IF(ISNUMBER(tblClean[[#This Row],[Date]]),tblClean[[#This Row],[Date]]-WEEKDAY(tblClean[[#This Row],[Date]],2)+1,"")</f>
        <v>45831</v>
      </c>
      <c r="N98" s="23">
        <f>IF(ISNUMBER(tblClean[[#This Row],[Week Start]]),(tblClean[[#This Row],[Week Start]]-MIN(tblClean[Week Start]))/7+1,"")</f>
        <v>4</v>
      </c>
      <c r="O98" s="24" t="str">
        <f>IF(ISNUMBER(tblClean[[#This Row],[Date]]),CHOOSE(WEEKDAY(tblClean[[#This Row],[Date]],2),"Mon","Tue","Wed","Thu","Fri","Sat","Sun"),"")</f>
        <v>Tue</v>
      </c>
      <c r="P98" s="24" t="str">
        <f>IF(ISNUMBER(tblClean[[#This Row],[Date]]),IF(WEEKDAY(tblClean[[#This Row],[Date]],2)&gt;=6,"Weekend","Weekday"),"")</f>
        <v>Weekday</v>
      </c>
      <c r="Q9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98" s="9" t="str">
        <f>IF(ISNUMBER(tblClean[[#This Row],[Duration Hours]]),IF(tblClean[[#This Row],[Duration Hours]]&lt;2,"Short (under 2h)",IF(tblClean[[#This Row],[Duration Hours]]&lt;3,"Standard (2h to under 3h)","Long (3h or more)")),"")</f>
        <v>Standard (2h to under 3h)</v>
      </c>
      <c r="S9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98" s="24">
        <f>IF(COUNTIF(tblClean[Session ID],tblClean[[#This Row],[Session ID]])&gt;1,1,0)</f>
        <v>0</v>
      </c>
      <c r="U98" s="24">
        <f>IF(OR(N(tblClean[[#This Row],[Attributed GMV PHP]])&lt;0,N(tblClean[[#This Row],[Items Sold]])&lt;0,N(tblClean[[#This Row],[Livestream Views]])&lt;0,N(tblClean[[#This Row],[New Followers]])&lt;0),1,0)</f>
        <v>0</v>
      </c>
      <c r="V98" s="24">
        <f>IF(ISNUMBER(tblClean[[#This Row],[Duration Hours]]),IF(OR(tblClean[[#This Row],[Duration Hours]]&lt;=0,tblClean[[#This Row],[Duration Hours]]&gt;12),1,0),1)</f>
        <v>0</v>
      </c>
      <c r="W98" s="24">
        <f>IF(COUNTIF(HostRoster,tblClean[[#This Row],[Host Name]])=0,1,0)</f>
        <v>0</v>
      </c>
      <c r="X98" s="24">
        <f>IF(tblClean[[#This Row],[Missing Flag]]+tblClean[[#This Row],[Duplicate Flag]]+tblClean[[#This Row],[Negative Flag]]+tblClean[[#This Row],[Duration Flag]]+tblClean[[#This Row],[Host Flag]]=0,1,0)</f>
        <v>1</v>
      </c>
    </row>
    <row r="99" spans="1:24" x14ac:dyDescent="0.3">
      <c r="A99" s="9" t="str">
        <f>TRIM('Raw Data'!A95)</f>
        <v>LS-0091</v>
      </c>
      <c r="B99" s="10">
        <f>IF(ISNUMBER('Raw Data'!B95),INT('Raw Data'!B95),IFERROR(DATEVALUE('Raw Data'!B95),""))</f>
        <v>45832</v>
      </c>
      <c r="C99" s="9" t="str">
        <f>PROPER(TRIM('Raw Data'!C95))</f>
        <v>Bianca Reyes</v>
      </c>
      <c r="D99" s="11">
        <f>IF(ISNUMBER('Raw Data'!D95),MOD('Raw Data'!D95,1),IFERROR(TIMEVALUE('Raw Data'!D95),""))</f>
        <v>0.79166666666666663</v>
      </c>
      <c r="E99" s="11">
        <f>IF(ISNUMBER('Raw Data'!E95),MOD('Raw Data'!E95,1),IFERROR(TIMEVALUE('Raw Data'!E95),""))</f>
        <v>0.85416666666666663</v>
      </c>
      <c r="F99" s="12">
        <f>IF(ISNUMBER('Raw Data'!F95),'Raw Data'!F95,IFERROR(VALUE(SUBSTITUTE('Raw Data'!F95,",","")),""))</f>
        <v>12031</v>
      </c>
      <c r="G99" s="13">
        <f>IF(ISNUMBER('Raw Data'!G95),'Raw Data'!G95,IFERROR(VALUE(SUBSTITUTE('Raw Data'!G95,",","")),""))</f>
        <v>32</v>
      </c>
      <c r="H99" s="13">
        <f>IF(ISNUMBER('Raw Data'!H95),'Raw Data'!H95,IFERROR(VALUE(SUBSTITUTE('Raw Data'!H95,",","")),""))</f>
        <v>36533</v>
      </c>
      <c r="I99" s="13">
        <f>IF(ISNUMBER('Raw Data'!I95),'Raw Data'!I95,IFERROR(VALUE(SUBSTITUTE('Raw Data'!I95,",","")),""))</f>
        <v>174</v>
      </c>
      <c r="J99" s="21">
        <f>IF(AND(ISNUMBER(tblClean[[#This Row],[Start Time]]),ISNUMBER(tblClean[[#This Row],[End Time]])),ROUND(MOD(tblClean[[#This Row],[End Time]]-tblClean[[#This Row],[Start Time]],1)*24,2),"")</f>
        <v>1.5</v>
      </c>
      <c r="K99" s="12">
        <f>IF(AND(ISNUMBER(tblClean[[#This Row],[Duration Hours]]),ISNUMBER(tblClean[[#This Row],[Attributed GMV PHP]])),IF(tblClean[[#This Row],[Duration Hours]]&gt;0,tblClean[[#This Row],[Attributed GMV PHP]]/tblClean[[#This Row],[Duration Hours]],""),"")</f>
        <v>8020.666666666667</v>
      </c>
      <c r="L99" s="22">
        <f>IF(ISNUMBER(tblClean[[#This Row],[Date]]),DATE(YEAR(tblClean[[#This Row],[Date]]),MONTH(tblClean[[#This Row],[Date]]),1),"")</f>
        <v>45809</v>
      </c>
      <c r="M99" s="10">
        <f>IF(ISNUMBER(tblClean[[#This Row],[Date]]),tblClean[[#This Row],[Date]]-WEEKDAY(tblClean[[#This Row],[Date]],2)+1,"")</f>
        <v>45831</v>
      </c>
      <c r="N99" s="23">
        <f>IF(ISNUMBER(tblClean[[#This Row],[Week Start]]),(tblClean[[#This Row],[Week Start]]-MIN(tblClean[Week Start]))/7+1,"")</f>
        <v>4</v>
      </c>
      <c r="O99" s="24" t="str">
        <f>IF(ISNUMBER(tblClean[[#This Row],[Date]]),CHOOSE(WEEKDAY(tblClean[[#This Row],[Date]],2),"Mon","Tue","Wed","Thu","Fri","Sat","Sun"),"")</f>
        <v>Tue</v>
      </c>
      <c r="P99" s="24" t="str">
        <f>IF(ISNUMBER(tblClean[[#This Row],[Date]]),IF(WEEKDAY(tblClean[[#This Row],[Date]],2)&gt;=6,"Weekend","Weekday"),"")</f>
        <v>Weekday</v>
      </c>
      <c r="Q9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99" s="9" t="str">
        <f>IF(ISNUMBER(tblClean[[#This Row],[Duration Hours]]),IF(tblClean[[#This Row],[Duration Hours]]&lt;2,"Short (under 2h)",IF(tblClean[[#This Row],[Duration Hours]]&lt;3,"Standard (2h to under 3h)","Long (3h or more)")),"")</f>
        <v>Short (under 2h)</v>
      </c>
      <c r="S9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99" s="24">
        <f>IF(COUNTIF(tblClean[Session ID],tblClean[[#This Row],[Session ID]])&gt;1,1,0)</f>
        <v>0</v>
      </c>
      <c r="U99" s="24">
        <f>IF(OR(N(tblClean[[#This Row],[Attributed GMV PHP]])&lt;0,N(tblClean[[#This Row],[Items Sold]])&lt;0,N(tblClean[[#This Row],[Livestream Views]])&lt;0,N(tblClean[[#This Row],[New Followers]])&lt;0),1,0)</f>
        <v>0</v>
      </c>
      <c r="V99" s="24">
        <f>IF(ISNUMBER(tblClean[[#This Row],[Duration Hours]]),IF(OR(tblClean[[#This Row],[Duration Hours]]&lt;=0,tblClean[[#This Row],[Duration Hours]]&gt;12),1,0),1)</f>
        <v>0</v>
      </c>
      <c r="W99" s="24">
        <f>IF(COUNTIF(HostRoster,tblClean[[#This Row],[Host Name]])=0,1,0)</f>
        <v>0</v>
      </c>
      <c r="X99" s="24">
        <f>IF(tblClean[[#This Row],[Missing Flag]]+tblClean[[#This Row],[Duplicate Flag]]+tblClean[[#This Row],[Negative Flag]]+tblClean[[#This Row],[Duration Flag]]+tblClean[[#This Row],[Host Flag]]=0,1,0)</f>
        <v>1</v>
      </c>
    </row>
    <row r="100" spans="1:24" x14ac:dyDescent="0.3">
      <c r="A100" s="9" t="str">
        <f>TRIM('Raw Data'!A96)</f>
        <v>LS-0092</v>
      </c>
      <c r="B100" s="10">
        <f>IF(ISNUMBER('Raw Data'!B96),INT('Raw Data'!B96),IFERROR(DATEVALUE('Raw Data'!B96),""))</f>
        <v>45833</v>
      </c>
      <c r="C100" s="9" t="str">
        <f>PROPER(TRIM('Raw Data'!C96))</f>
        <v>Bianca Reyes</v>
      </c>
      <c r="D100" s="11">
        <f>IF(ISNUMBER('Raw Data'!D96),MOD('Raw Data'!D96,1),IFERROR(TIMEVALUE('Raw Data'!D96),""))</f>
        <v>0.41666666666666669</v>
      </c>
      <c r="E100" s="11">
        <f>IF(ISNUMBER('Raw Data'!E96),MOD('Raw Data'!E96,1),IFERROR(TIMEVALUE('Raw Data'!E96),""))</f>
        <v>0.52083333333333337</v>
      </c>
      <c r="F100" s="12">
        <f>IF(ISNUMBER('Raw Data'!F96),'Raw Data'!F96,IFERROR(VALUE(SUBSTITUTE('Raw Data'!F96,",","")),""))</f>
        <v>9598</v>
      </c>
      <c r="G100" s="13">
        <f>IF(ISNUMBER('Raw Data'!G96),'Raw Data'!G96,IFERROR(VALUE(SUBSTITUTE('Raw Data'!G96,",","")),""))</f>
        <v>33</v>
      </c>
      <c r="H100" s="13">
        <f>IF(ISNUMBER('Raw Data'!H96),'Raw Data'!H96,IFERROR(VALUE(SUBSTITUTE('Raw Data'!H96,",","")),""))</f>
        <v>24873</v>
      </c>
      <c r="I100" s="13">
        <f>IF(ISNUMBER('Raw Data'!I96),'Raw Data'!I96,IFERROR(VALUE(SUBSTITUTE('Raw Data'!I96,",","")),""))</f>
        <v>281</v>
      </c>
      <c r="J100" s="21">
        <f>IF(AND(ISNUMBER(tblClean[[#This Row],[Start Time]]),ISNUMBER(tblClean[[#This Row],[End Time]])),ROUND(MOD(tblClean[[#This Row],[End Time]]-tblClean[[#This Row],[Start Time]],1)*24,2),"")</f>
        <v>2.5</v>
      </c>
      <c r="K100" s="12">
        <f>IF(AND(ISNUMBER(tblClean[[#This Row],[Duration Hours]]),ISNUMBER(tblClean[[#This Row],[Attributed GMV PHP]])),IF(tblClean[[#This Row],[Duration Hours]]&gt;0,tblClean[[#This Row],[Attributed GMV PHP]]/tblClean[[#This Row],[Duration Hours]],""),"")</f>
        <v>3839.2</v>
      </c>
      <c r="L100" s="22">
        <f>IF(ISNUMBER(tblClean[[#This Row],[Date]]),DATE(YEAR(tblClean[[#This Row],[Date]]),MONTH(tblClean[[#This Row],[Date]]),1),"")</f>
        <v>45809</v>
      </c>
      <c r="M100" s="10">
        <f>IF(ISNUMBER(tblClean[[#This Row],[Date]]),tblClean[[#This Row],[Date]]-WEEKDAY(tblClean[[#This Row],[Date]],2)+1,"")</f>
        <v>45831</v>
      </c>
      <c r="N100" s="23">
        <f>IF(ISNUMBER(tblClean[[#This Row],[Week Start]]),(tblClean[[#This Row],[Week Start]]-MIN(tblClean[Week Start]))/7+1,"")</f>
        <v>4</v>
      </c>
      <c r="O100" s="24" t="str">
        <f>IF(ISNUMBER(tblClean[[#This Row],[Date]]),CHOOSE(WEEKDAY(tblClean[[#This Row],[Date]],2),"Mon","Tue","Wed","Thu","Fri","Sat","Sun"),"")</f>
        <v>Wed</v>
      </c>
      <c r="P100" s="24" t="str">
        <f>IF(ISNUMBER(tblClean[[#This Row],[Date]]),IF(WEEKDAY(tblClean[[#This Row],[Date]],2)&gt;=6,"Weekend","Weekday"),"")</f>
        <v>Weekday</v>
      </c>
      <c r="Q10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00" s="9" t="str">
        <f>IF(ISNUMBER(tblClean[[#This Row],[Duration Hours]]),IF(tblClean[[#This Row],[Duration Hours]]&lt;2,"Short (under 2h)",IF(tblClean[[#This Row],[Duration Hours]]&lt;3,"Standard (2h to under 3h)","Long (3h or more)")),"")</f>
        <v>Standard (2h to under 3h)</v>
      </c>
      <c r="S10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00" s="24">
        <f>IF(COUNTIF(tblClean[Session ID],tblClean[[#This Row],[Session ID]])&gt;1,1,0)</f>
        <v>0</v>
      </c>
      <c r="U100" s="24">
        <f>IF(OR(N(tblClean[[#This Row],[Attributed GMV PHP]])&lt;0,N(tblClean[[#This Row],[Items Sold]])&lt;0,N(tblClean[[#This Row],[Livestream Views]])&lt;0,N(tblClean[[#This Row],[New Followers]])&lt;0),1,0)</f>
        <v>0</v>
      </c>
      <c r="V100" s="24">
        <f>IF(ISNUMBER(tblClean[[#This Row],[Duration Hours]]),IF(OR(tblClean[[#This Row],[Duration Hours]]&lt;=0,tblClean[[#This Row],[Duration Hours]]&gt;12),1,0),1)</f>
        <v>0</v>
      </c>
      <c r="W100" s="24">
        <f>IF(COUNTIF(HostRoster,tblClean[[#This Row],[Host Name]])=0,1,0)</f>
        <v>0</v>
      </c>
      <c r="X100" s="24">
        <f>IF(tblClean[[#This Row],[Missing Flag]]+tblClean[[#This Row],[Duplicate Flag]]+tblClean[[#This Row],[Negative Flag]]+tblClean[[#This Row],[Duration Flag]]+tblClean[[#This Row],[Host Flag]]=0,1,0)</f>
        <v>1</v>
      </c>
    </row>
    <row r="101" spans="1:24" x14ac:dyDescent="0.3">
      <c r="A101" s="9" t="str">
        <f>TRIM('Raw Data'!A97)</f>
        <v>LS-0093</v>
      </c>
      <c r="B101" s="10">
        <f>IF(ISNUMBER('Raw Data'!B97),INT('Raw Data'!B97),IFERROR(DATEVALUE('Raw Data'!B97),""))</f>
        <v>45833</v>
      </c>
      <c r="C101" s="9" t="str">
        <f>PROPER(TRIM('Raw Data'!C97))</f>
        <v>Elise Navarro</v>
      </c>
      <c r="D101" s="11">
        <f>IF(ISNUMBER('Raw Data'!D97),MOD('Raw Data'!D97,1),IFERROR(TIMEVALUE('Raw Data'!D97),""))</f>
        <v>0.54166666666666663</v>
      </c>
      <c r="E101" s="11">
        <f>IF(ISNUMBER('Raw Data'!E97),MOD('Raw Data'!E97,1),IFERROR(TIMEVALUE('Raw Data'!E97),""))</f>
        <v>0.66666666666666663</v>
      </c>
      <c r="F101" s="12">
        <f>IF(ISNUMBER('Raw Data'!F97),'Raw Data'!F97,IFERROR(VALUE(SUBSTITUTE('Raw Data'!F97,",","")),""))</f>
        <v>18841</v>
      </c>
      <c r="G101" s="13">
        <f>IF(ISNUMBER('Raw Data'!G97),'Raw Data'!G97,IFERROR(VALUE(SUBSTITUTE('Raw Data'!G97,",","")),""))</f>
        <v>53</v>
      </c>
      <c r="H101" s="13">
        <f>IF(ISNUMBER('Raw Data'!H97),'Raw Data'!H97,IFERROR(VALUE(SUBSTITUTE('Raw Data'!H97,",","")),""))</f>
        <v>45425</v>
      </c>
      <c r="I101" s="13">
        <f>IF(ISNUMBER('Raw Data'!I97),'Raw Data'!I97,IFERROR(VALUE(SUBSTITUTE('Raw Data'!I97,",","")),""))</f>
        <v>325</v>
      </c>
      <c r="J101" s="21">
        <f>IF(AND(ISNUMBER(tblClean[[#This Row],[Start Time]]),ISNUMBER(tblClean[[#This Row],[End Time]])),ROUND(MOD(tblClean[[#This Row],[End Time]]-tblClean[[#This Row],[Start Time]],1)*24,2),"")</f>
        <v>3</v>
      </c>
      <c r="K101" s="12">
        <f>IF(AND(ISNUMBER(tblClean[[#This Row],[Duration Hours]]),ISNUMBER(tblClean[[#This Row],[Attributed GMV PHP]])),IF(tblClean[[#This Row],[Duration Hours]]&gt;0,tblClean[[#This Row],[Attributed GMV PHP]]/tblClean[[#This Row],[Duration Hours]],""),"")</f>
        <v>6280.333333333333</v>
      </c>
      <c r="L101" s="22">
        <f>IF(ISNUMBER(tblClean[[#This Row],[Date]]),DATE(YEAR(tblClean[[#This Row],[Date]]),MONTH(tblClean[[#This Row],[Date]]),1),"")</f>
        <v>45809</v>
      </c>
      <c r="M101" s="10">
        <f>IF(ISNUMBER(tblClean[[#This Row],[Date]]),tblClean[[#This Row],[Date]]-WEEKDAY(tblClean[[#This Row],[Date]],2)+1,"")</f>
        <v>45831</v>
      </c>
      <c r="N101" s="23">
        <f>IF(ISNUMBER(tblClean[[#This Row],[Week Start]]),(tblClean[[#This Row],[Week Start]]-MIN(tblClean[Week Start]))/7+1,"")</f>
        <v>4</v>
      </c>
      <c r="O101" s="24" t="str">
        <f>IF(ISNUMBER(tblClean[[#This Row],[Date]]),CHOOSE(WEEKDAY(tblClean[[#This Row],[Date]],2),"Mon","Tue","Wed","Thu","Fri","Sat","Sun"),"")</f>
        <v>Wed</v>
      </c>
      <c r="P101" s="24" t="str">
        <f>IF(ISNUMBER(tblClean[[#This Row],[Date]]),IF(WEEKDAY(tblClean[[#This Row],[Date]],2)&gt;=6,"Weekend","Weekday"),"")</f>
        <v>Weekday</v>
      </c>
      <c r="Q10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01" s="9" t="str">
        <f>IF(ISNUMBER(tblClean[[#This Row],[Duration Hours]]),IF(tblClean[[#This Row],[Duration Hours]]&lt;2,"Short (under 2h)",IF(tblClean[[#This Row],[Duration Hours]]&lt;3,"Standard (2h to under 3h)","Long (3h or more)")),"")</f>
        <v>Long (3h or more)</v>
      </c>
      <c r="S10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01" s="24">
        <f>IF(COUNTIF(tblClean[Session ID],tblClean[[#This Row],[Session ID]])&gt;1,1,0)</f>
        <v>0</v>
      </c>
      <c r="U101" s="24">
        <f>IF(OR(N(tblClean[[#This Row],[Attributed GMV PHP]])&lt;0,N(tblClean[[#This Row],[Items Sold]])&lt;0,N(tblClean[[#This Row],[Livestream Views]])&lt;0,N(tblClean[[#This Row],[New Followers]])&lt;0),1,0)</f>
        <v>0</v>
      </c>
      <c r="V101" s="24">
        <f>IF(ISNUMBER(tblClean[[#This Row],[Duration Hours]]),IF(OR(tblClean[[#This Row],[Duration Hours]]&lt;=0,tblClean[[#This Row],[Duration Hours]]&gt;12),1,0),1)</f>
        <v>0</v>
      </c>
      <c r="W101" s="24">
        <f>IF(COUNTIF(HostRoster,tblClean[[#This Row],[Host Name]])=0,1,0)</f>
        <v>0</v>
      </c>
      <c r="X101" s="24">
        <f>IF(tblClean[[#This Row],[Missing Flag]]+tblClean[[#This Row],[Duplicate Flag]]+tblClean[[#This Row],[Negative Flag]]+tblClean[[#This Row],[Duration Flag]]+tblClean[[#This Row],[Host Flag]]=0,1,0)</f>
        <v>1</v>
      </c>
    </row>
    <row r="102" spans="1:24" x14ac:dyDescent="0.3">
      <c r="A102" s="9" t="str">
        <f>TRIM('Raw Data'!A98)</f>
        <v>LS-0094</v>
      </c>
      <c r="B102" s="10">
        <f>IF(ISNUMBER('Raw Data'!B98),INT('Raw Data'!B98),IFERROR(DATEVALUE('Raw Data'!B98),""))</f>
        <v>45833</v>
      </c>
      <c r="C102" s="9" t="str">
        <f>PROPER(TRIM('Raw Data'!C98))</f>
        <v>Dani Villanueva</v>
      </c>
      <c r="D102" s="11">
        <f>IF(ISNUMBER('Raw Data'!D98),MOD('Raw Data'!D98,1),IFERROR(TIMEVALUE('Raw Data'!D98),""))</f>
        <v>0.66666666666666663</v>
      </c>
      <c r="E102" s="11">
        <f>IF(ISNUMBER('Raw Data'!E98),MOD('Raw Data'!E98,1),IFERROR(TIMEVALUE('Raw Data'!E98),""))</f>
        <v>0.77083333333333337</v>
      </c>
      <c r="F102" s="12">
        <f>IF(ISNUMBER('Raw Data'!F98),'Raw Data'!F98,IFERROR(VALUE(SUBSTITUTE('Raw Data'!F98,",","")),""))</f>
        <v>6917</v>
      </c>
      <c r="G102" s="13">
        <f>IF(ISNUMBER('Raw Data'!G98),'Raw Data'!G98,IFERROR(VALUE(SUBSTITUTE('Raw Data'!G98,",","")),""))</f>
        <v>21</v>
      </c>
      <c r="H102" s="13">
        <f>IF(ISNUMBER('Raw Data'!H98),'Raw Data'!H98,IFERROR(VALUE(SUBSTITUTE('Raw Data'!H98,",","")),""))</f>
        <v>16923</v>
      </c>
      <c r="I102" s="13">
        <f>IF(ISNUMBER('Raw Data'!I98),'Raw Data'!I98,IFERROR(VALUE(SUBSTITUTE('Raw Data'!I98,",","")),""))</f>
        <v>213</v>
      </c>
      <c r="J102" s="21">
        <f>IF(AND(ISNUMBER(tblClean[[#This Row],[Start Time]]),ISNUMBER(tblClean[[#This Row],[End Time]])),ROUND(MOD(tblClean[[#This Row],[End Time]]-tblClean[[#This Row],[Start Time]],1)*24,2),"")</f>
        <v>2.5</v>
      </c>
      <c r="K102" s="12">
        <f>IF(AND(ISNUMBER(tblClean[[#This Row],[Duration Hours]]),ISNUMBER(tblClean[[#This Row],[Attributed GMV PHP]])),IF(tblClean[[#This Row],[Duration Hours]]&gt;0,tblClean[[#This Row],[Attributed GMV PHP]]/tblClean[[#This Row],[Duration Hours]],""),"")</f>
        <v>2766.8</v>
      </c>
      <c r="L102" s="22">
        <f>IF(ISNUMBER(tblClean[[#This Row],[Date]]),DATE(YEAR(tblClean[[#This Row],[Date]]),MONTH(tblClean[[#This Row],[Date]]),1),"")</f>
        <v>45809</v>
      </c>
      <c r="M102" s="10">
        <f>IF(ISNUMBER(tblClean[[#This Row],[Date]]),tblClean[[#This Row],[Date]]-WEEKDAY(tblClean[[#This Row],[Date]],2)+1,"")</f>
        <v>45831</v>
      </c>
      <c r="N102" s="23">
        <f>IF(ISNUMBER(tblClean[[#This Row],[Week Start]]),(tblClean[[#This Row],[Week Start]]-MIN(tblClean[Week Start]))/7+1,"")</f>
        <v>4</v>
      </c>
      <c r="O102" s="24" t="str">
        <f>IF(ISNUMBER(tblClean[[#This Row],[Date]]),CHOOSE(WEEKDAY(tblClean[[#This Row],[Date]],2),"Mon","Tue","Wed","Thu","Fri","Sat","Sun"),"")</f>
        <v>Wed</v>
      </c>
      <c r="P102" s="24" t="str">
        <f>IF(ISNUMBER(tblClean[[#This Row],[Date]]),IF(WEEKDAY(tblClean[[#This Row],[Date]],2)&gt;=6,"Weekend","Weekday"),"")</f>
        <v>Weekday</v>
      </c>
      <c r="Q10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02" s="9" t="str">
        <f>IF(ISNUMBER(tblClean[[#This Row],[Duration Hours]]),IF(tblClean[[#This Row],[Duration Hours]]&lt;2,"Short (under 2h)",IF(tblClean[[#This Row],[Duration Hours]]&lt;3,"Standard (2h to under 3h)","Long (3h or more)")),"")</f>
        <v>Standard (2h to under 3h)</v>
      </c>
      <c r="S10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02" s="24">
        <f>IF(COUNTIF(tblClean[Session ID],tblClean[[#This Row],[Session ID]])&gt;1,1,0)</f>
        <v>0</v>
      </c>
      <c r="U102" s="24">
        <f>IF(OR(N(tblClean[[#This Row],[Attributed GMV PHP]])&lt;0,N(tblClean[[#This Row],[Items Sold]])&lt;0,N(tblClean[[#This Row],[Livestream Views]])&lt;0,N(tblClean[[#This Row],[New Followers]])&lt;0),1,0)</f>
        <v>0</v>
      </c>
      <c r="V102" s="24">
        <f>IF(ISNUMBER(tblClean[[#This Row],[Duration Hours]]),IF(OR(tblClean[[#This Row],[Duration Hours]]&lt;=0,tblClean[[#This Row],[Duration Hours]]&gt;12),1,0),1)</f>
        <v>0</v>
      </c>
      <c r="W102" s="24">
        <f>IF(COUNTIF(HostRoster,tblClean[[#This Row],[Host Name]])=0,1,0)</f>
        <v>0</v>
      </c>
      <c r="X102" s="24">
        <f>IF(tblClean[[#This Row],[Missing Flag]]+tblClean[[#This Row],[Duplicate Flag]]+tblClean[[#This Row],[Negative Flag]]+tblClean[[#This Row],[Duration Flag]]+tblClean[[#This Row],[Host Flag]]=0,1,0)</f>
        <v>1</v>
      </c>
    </row>
    <row r="103" spans="1:24" x14ac:dyDescent="0.3">
      <c r="A103" s="9" t="str">
        <f>TRIM('Raw Data'!A99)</f>
        <v>LS-0095</v>
      </c>
      <c r="B103" s="10">
        <f>IF(ISNUMBER('Raw Data'!B99),INT('Raw Data'!B99),IFERROR(DATEVALUE('Raw Data'!B99),""))</f>
        <v>45833</v>
      </c>
      <c r="C103" s="9" t="str">
        <f>PROPER(TRIM('Raw Data'!C99))</f>
        <v>Bianca Reyes</v>
      </c>
      <c r="D103" s="11">
        <f>IF(ISNUMBER('Raw Data'!D99),MOD('Raw Data'!D99,1),IFERROR(TIMEVALUE('Raw Data'!D99),""))</f>
        <v>0.79166666666666663</v>
      </c>
      <c r="E103" s="11">
        <f>IF(ISNUMBER('Raw Data'!E99),MOD('Raw Data'!E99,1),IFERROR(TIMEVALUE('Raw Data'!E99),""))</f>
        <v>0.875</v>
      </c>
      <c r="F103" s="12">
        <f>IF(ISNUMBER('Raw Data'!F99),'Raw Data'!F99,IFERROR(VALUE(SUBSTITUTE('Raw Data'!F99,",","")),""))</f>
        <v>21915</v>
      </c>
      <c r="G103" s="13">
        <f>IF(ISNUMBER('Raw Data'!G99),'Raw Data'!G99,IFERROR(VALUE(SUBSTITUTE('Raw Data'!G99,",","")),""))</f>
        <v>73</v>
      </c>
      <c r="H103" s="13">
        <f>IF(ISNUMBER('Raw Data'!H99),'Raw Data'!H99,IFERROR(VALUE(SUBSTITUTE('Raw Data'!H99,",","")),""))</f>
        <v>66370</v>
      </c>
      <c r="I103" s="13">
        <f>IF(ISNUMBER('Raw Data'!I99),'Raw Data'!I99,IFERROR(VALUE(SUBSTITUTE('Raw Data'!I99,",","")),""))</f>
        <v>487</v>
      </c>
      <c r="J103" s="21">
        <f>IF(AND(ISNUMBER(tblClean[[#This Row],[Start Time]]),ISNUMBER(tblClean[[#This Row],[End Time]])),ROUND(MOD(tblClean[[#This Row],[End Time]]-tblClean[[#This Row],[Start Time]],1)*24,2),"")</f>
        <v>2</v>
      </c>
      <c r="K103" s="12">
        <f>IF(AND(ISNUMBER(tblClean[[#This Row],[Duration Hours]]),ISNUMBER(tblClean[[#This Row],[Attributed GMV PHP]])),IF(tblClean[[#This Row],[Duration Hours]]&gt;0,tblClean[[#This Row],[Attributed GMV PHP]]/tblClean[[#This Row],[Duration Hours]],""),"")</f>
        <v>10957.5</v>
      </c>
      <c r="L103" s="22">
        <f>IF(ISNUMBER(tblClean[[#This Row],[Date]]),DATE(YEAR(tblClean[[#This Row],[Date]]),MONTH(tblClean[[#This Row],[Date]]),1),"")</f>
        <v>45809</v>
      </c>
      <c r="M103" s="10">
        <f>IF(ISNUMBER(tblClean[[#This Row],[Date]]),tblClean[[#This Row],[Date]]-WEEKDAY(tblClean[[#This Row],[Date]],2)+1,"")</f>
        <v>45831</v>
      </c>
      <c r="N103" s="23">
        <f>IF(ISNUMBER(tblClean[[#This Row],[Week Start]]),(tblClean[[#This Row],[Week Start]]-MIN(tblClean[Week Start]))/7+1,"")</f>
        <v>4</v>
      </c>
      <c r="O103" s="24" t="str">
        <f>IF(ISNUMBER(tblClean[[#This Row],[Date]]),CHOOSE(WEEKDAY(tblClean[[#This Row],[Date]],2),"Mon","Tue","Wed","Thu","Fri","Sat","Sun"),"")</f>
        <v>Wed</v>
      </c>
      <c r="P103" s="24" t="str">
        <f>IF(ISNUMBER(tblClean[[#This Row],[Date]]),IF(WEEKDAY(tblClean[[#This Row],[Date]],2)&gt;=6,"Weekend","Weekday"),"")</f>
        <v>Weekday</v>
      </c>
      <c r="Q10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03" s="9" t="str">
        <f>IF(ISNUMBER(tblClean[[#This Row],[Duration Hours]]),IF(tblClean[[#This Row],[Duration Hours]]&lt;2,"Short (under 2h)",IF(tblClean[[#This Row],[Duration Hours]]&lt;3,"Standard (2h to under 3h)","Long (3h or more)")),"")</f>
        <v>Standard (2h to under 3h)</v>
      </c>
      <c r="S10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03" s="24">
        <f>IF(COUNTIF(tblClean[Session ID],tblClean[[#This Row],[Session ID]])&gt;1,1,0)</f>
        <v>0</v>
      </c>
      <c r="U103" s="24">
        <f>IF(OR(N(tblClean[[#This Row],[Attributed GMV PHP]])&lt;0,N(tblClean[[#This Row],[Items Sold]])&lt;0,N(tblClean[[#This Row],[Livestream Views]])&lt;0,N(tblClean[[#This Row],[New Followers]])&lt;0),1,0)</f>
        <v>0</v>
      </c>
      <c r="V103" s="24">
        <f>IF(ISNUMBER(tblClean[[#This Row],[Duration Hours]]),IF(OR(tblClean[[#This Row],[Duration Hours]]&lt;=0,tblClean[[#This Row],[Duration Hours]]&gt;12),1,0),1)</f>
        <v>0</v>
      </c>
      <c r="W103" s="24">
        <f>IF(COUNTIF(HostRoster,tblClean[[#This Row],[Host Name]])=0,1,0)</f>
        <v>0</v>
      </c>
      <c r="X103" s="24">
        <f>IF(tblClean[[#This Row],[Missing Flag]]+tblClean[[#This Row],[Duplicate Flag]]+tblClean[[#This Row],[Negative Flag]]+tblClean[[#This Row],[Duration Flag]]+tblClean[[#This Row],[Host Flag]]=0,1,0)</f>
        <v>1</v>
      </c>
    </row>
    <row r="104" spans="1:24" x14ac:dyDescent="0.3">
      <c r="A104" s="9" t="str">
        <f>TRIM('Raw Data'!A100)</f>
        <v>LS-0096</v>
      </c>
      <c r="B104" s="10">
        <f>IF(ISNUMBER('Raw Data'!B100),INT('Raw Data'!B100),IFERROR(DATEVALUE('Raw Data'!B100),""))</f>
        <v>45833</v>
      </c>
      <c r="C104" s="9" t="str">
        <f>PROPER(TRIM('Raw Data'!C100))</f>
        <v>Bianca Reyes</v>
      </c>
      <c r="D104" s="11">
        <f>IF(ISNUMBER('Raw Data'!D100),MOD('Raw Data'!D100,1),IFERROR(TIMEVALUE('Raw Data'!D100),""))</f>
        <v>0.91666666666666663</v>
      </c>
      <c r="E104" s="11">
        <f>IF(ISNUMBER('Raw Data'!E100),MOD('Raw Data'!E100,1),IFERROR(TIMEVALUE('Raw Data'!E100),""))</f>
        <v>0</v>
      </c>
      <c r="F104" s="12">
        <f>IF(ISNUMBER('Raw Data'!F100),'Raw Data'!F100,IFERROR(VALUE(SUBSTITUTE('Raw Data'!F100,",","")),""))</f>
        <v>13661</v>
      </c>
      <c r="G104" s="13">
        <f>IF(ISNUMBER('Raw Data'!G100),'Raw Data'!G100,IFERROR(VALUE(SUBSTITUTE('Raw Data'!G100,",","")),""))</f>
        <v>39</v>
      </c>
      <c r="H104" s="13">
        <f>IF(ISNUMBER('Raw Data'!H100),'Raw Data'!H100,IFERROR(VALUE(SUBSTITUTE('Raw Data'!H100,",","")),""))</f>
        <v>34902</v>
      </c>
      <c r="I104" s="13">
        <f>IF(ISNUMBER('Raw Data'!I100),'Raw Data'!I100,IFERROR(VALUE(SUBSTITUTE('Raw Data'!I100,",","")),""))</f>
        <v>174</v>
      </c>
      <c r="J104" s="21">
        <f>IF(AND(ISNUMBER(tblClean[[#This Row],[Start Time]]),ISNUMBER(tblClean[[#This Row],[End Time]])),ROUND(MOD(tblClean[[#This Row],[End Time]]-tblClean[[#This Row],[Start Time]],1)*24,2),"")</f>
        <v>2</v>
      </c>
      <c r="K104" s="12">
        <f>IF(AND(ISNUMBER(tblClean[[#This Row],[Duration Hours]]),ISNUMBER(tblClean[[#This Row],[Attributed GMV PHP]])),IF(tblClean[[#This Row],[Duration Hours]]&gt;0,tblClean[[#This Row],[Attributed GMV PHP]]/tblClean[[#This Row],[Duration Hours]],""),"")</f>
        <v>6830.5</v>
      </c>
      <c r="L104" s="22">
        <f>IF(ISNUMBER(tblClean[[#This Row],[Date]]),DATE(YEAR(tblClean[[#This Row],[Date]]),MONTH(tblClean[[#This Row],[Date]]),1),"")</f>
        <v>45809</v>
      </c>
      <c r="M104" s="10">
        <f>IF(ISNUMBER(tblClean[[#This Row],[Date]]),tblClean[[#This Row],[Date]]-WEEKDAY(tblClean[[#This Row],[Date]],2)+1,"")</f>
        <v>45831</v>
      </c>
      <c r="N104" s="23">
        <f>IF(ISNUMBER(tblClean[[#This Row],[Week Start]]),(tblClean[[#This Row],[Week Start]]-MIN(tblClean[Week Start]))/7+1,"")</f>
        <v>4</v>
      </c>
      <c r="O104" s="24" t="str">
        <f>IF(ISNUMBER(tblClean[[#This Row],[Date]]),CHOOSE(WEEKDAY(tblClean[[#This Row],[Date]],2),"Mon","Tue","Wed","Thu","Fri","Sat","Sun"),"")</f>
        <v>Wed</v>
      </c>
      <c r="P104" s="24" t="str">
        <f>IF(ISNUMBER(tblClean[[#This Row],[Date]]),IF(WEEKDAY(tblClean[[#This Row],[Date]],2)&gt;=6,"Weekend","Weekday"),"")</f>
        <v>Weekday</v>
      </c>
      <c r="Q10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04" s="9" t="str">
        <f>IF(ISNUMBER(tblClean[[#This Row],[Duration Hours]]),IF(tblClean[[#This Row],[Duration Hours]]&lt;2,"Short (under 2h)",IF(tblClean[[#This Row],[Duration Hours]]&lt;3,"Standard (2h to under 3h)","Long (3h or more)")),"")</f>
        <v>Standard (2h to under 3h)</v>
      </c>
      <c r="S10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04" s="24">
        <f>IF(COUNTIF(tblClean[Session ID],tblClean[[#This Row],[Session ID]])&gt;1,1,0)</f>
        <v>0</v>
      </c>
      <c r="U104" s="24">
        <f>IF(OR(N(tblClean[[#This Row],[Attributed GMV PHP]])&lt;0,N(tblClean[[#This Row],[Items Sold]])&lt;0,N(tblClean[[#This Row],[Livestream Views]])&lt;0,N(tblClean[[#This Row],[New Followers]])&lt;0),1,0)</f>
        <v>0</v>
      </c>
      <c r="V104" s="24">
        <f>IF(ISNUMBER(tblClean[[#This Row],[Duration Hours]]),IF(OR(tblClean[[#This Row],[Duration Hours]]&lt;=0,tblClean[[#This Row],[Duration Hours]]&gt;12),1,0),1)</f>
        <v>0</v>
      </c>
      <c r="W104" s="24">
        <f>IF(COUNTIF(HostRoster,tblClean[[#This Row],[Host Name]])=0,1,0)</f>
        <v>0</v>
      </c>
      <c r="X104" s="24">
        <f>IF(tblClean[[#This Row],[Missing Flag]]+tblClean[[#This Row],[Duplicate Flag]]+tblClean[[#This Row],[Negative Flag]]+tblClean[[#This Row],[Duration Flag]]+tblClean[[#This Row],[Host Flag]]=0,1,0)</f>
        <v>1</v>
      </c>
    </row>
    <row r="105" spans="1:24" x14ac:dyDescent="0.3">
      <c r="A105" s="9" t="str">
        <f>TRIM('Raw Data'!A101)</f>
        <v>LS-0097</v>
      </c>
      <c r="B105" s="10">
        <f>IF(ISNUMBER('Raw Data'!B101),INT('Raw Data'!B101),IFERROR(DATEVALUE('Raw Data'!B101),""))</f>
        <v>45834</v>
      </c>
      <c r="C105" s="9" t="str">
        <f>PROPER(TRIM('Raw Data'!C101))</f>
        <v>Dani Villanueva</v>
      </c>
      <c r="D105" s="11">
        <f>IF(ISNUMBER('Raw Data'!D101),MOD('Raw Data'!D101,1),IFERROR(TIMEVALUE('Raw Data'!D101),""))</f>
        <v>0.41666666666666669</v>
      </c>
      <c r="E105" s="11">
        <f>IF(ISNUMBER('Raw Data'!E101),MOD('Raw Data'!E101,1),IFERROR(TIMEVALUE('Raw Data'!E101),""))</f>
        <v>0.52083333333333337</v>
      </c>
      <c r="F105" s="12">
        <f>IF(ISNUMBER('Raw Data'!F101),'Raw Data'!F101,IFERROR(VALUE(SUBSTITUTE('Raw Data'!F101,",","")),""))</f>
        <v>11449</v>
      </c>
      <c r="G105" s="13">
        <f>IF(ISNUMBER('Raw Data'!G101),'Raw Data'!G101,IFERROR(VALUE(SUBSTITUTE('Raw Data'!G101,",","")),""))</f>
        <v>33</v>
      </c>
      <c r="H105" s="13">
        <f>IF(ISNUMBER('Raw Data'!H101),'Raw Data'!H101,IFERROR(VALUE(SUBSTITUTE('Raw Data'!H101,",","")),""))</f>
        <v>50448</v>
      </c>
      <c r="I105" s="13">
        <f>IF(ISNUMBER('Raw Data'!I101),'Raw Data'!I101,IFERROR(VALUE(SUBSTITUTE('Raw Data'!I101,",","")),""))</f>
        <v>321</v>
      </c>
      <c r="J105" s="21">
        <f>IF(AND(ISNUMBER(tblClean[[#This Row],[Start Time]]),ISNUMBER(tblClean[[#This Row],[End Time]])),ROUND(MOD(tblClean[[#This Row],[End Time]]-tblClean[[#This Row],[Start Time]],1)*24,2),"")</f>
        <v>2.5</v>
      </c>
      <c r="K105" s="12">
        <f>IF(AND(ISNUMBER(tblClean[[#This Row],[Duration Hours]]),ISNUMBER(tblClean[[#This Row],[Attributed GMV PHP]])),IF(tblClean[[#This Row],[Duration Hours]]&gt;0,tblClean[[#This Row],[Attributed GMV PHP]]/tblClean[[#This Row],[Duration Hours]],""),"")</f>
        <v>4579.6000000000004</v>
      </c>
      <c r="L105" s="22">
        <f>IF(ISNUMBER(tblClean[[#This Row],[Date]]),DATE(YEAR(tblClean[[#This Row],[Date]]),MONTH(tblClean[[#This Row],[Date]]),1),"")</f>
        <v>45809</v>
      </c>
      <c r="M105" s="10">
        <f>IF(ISNUMBER(tblClean[[#This Row],[Date]]),tblClean[[#This Row],[Date]]-WEEKDAY(tblClean[[#This Row],[Date]],2)+1,"")</f>
        <v>45831</v>
      </c>
      <c r="N105" s="23">
        <f>IF(ISNUMBER(tblClean[[#This Row],[Week Start]]),(tblClean[[#This Row],[Week Start]]-MIN(tblClean[Week Start]))/7+1,"")</f>
        <v>4</v>
      </c>
      <c r="O105" s="24" t="str">
        <f>IF(ISNUMBER(tblClean[[#This Row],[Date]]),CHOOSE(WEEKDAY(tblClean[[#This Row],[Date]],2),"Mon","Tue","Wed","Thu","Fri","Sat","Sun"),"")</f>
        <v>Thu</v>
      </c>
      <c r="P105" s="24" t="str">
        <f>IF(ISNUMBER(tblClean[[#This Row],[Date]]),IF(WEEKDAY(tblClean[[#This Row],[Date]],2)&gt;=6,"Weekend","Weekday"),"")</f>
        <v>Weekday</v>
      </c>
      <c r="Q10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05" s="9" t="str">
        <f>IF(ISNUMBER(tblClean[[#This Row],[Duration Hours]]),IF(tblClean[[#This Row],[Duration Hours]]&lt;2,"Short (under 2h)",IF(tblClean[[#This Row],[Duration Hours]]&lt;3,"Standard (2h to under 3h)","Long (3h or more)")),"")</f>
        <v>Standard (2h to under 3h)</v>
      </c>
      <c r="S10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05" s="24">
        <f>IF(COUNTIF(tblClean[Session ID],tblClean[[#This Row],[Session ID]])&gt;1,1,0)</f>
        <v>0</v>
      </c>
      <c r="U105" s="24">
        <f>IF(OR(N(tblClean[[#This Row],[Attributed GMV PHP]])&lt;0,N(tblClean[[#This Row],[Items Sold]])&lt;0,N(tblClean[[#This Row],[Livestream Views]])&lt;0,N(tblClean[[#This Row],[New Followers]])&lt;0),1,0)</f>
        <v>0</v>
      </c>
      <c r="V105" s="24">
        <f>IF(ISNUMBER(tblClean[[#This Row],[Duration Hours]]),IF(OR(tblClean[[#This Row],[Duration Hours]]&lt;=0,tblClean[[#This Row],[Duration Hours]]&gt;12),1,0),1)</f>
        <v>0</v>
      </c>
      <c r="W105" s="24">
        <f>IF(COUNTIF(HostRoster,tblClean[[#This Row],[Host Name]])=0,1,0)</f>
        <v>0</v>
      </c>
      <c r="X105" s="24">
        <f>IF(tblClean[[#This Row],[Missing Flag]]+tblClean[[#This Row],[Duplicate Flag]]+tblClean[[#This Row],[Negative Flag]]+tblClean[[#This Row],[Duration Flag]]+tblClean[[#This Row],[Host Flag]]=0,1,0)</f>
        <v>1</v>
      </c>
    </row>
    <row r="106" spans="1:24" x14ac:dyDescent="0.3">
      <c r="A106" s="9" t="str">
        <f>TRIM('Raw Data'!A102)</f>
        <v>LS-0098</v>
      </c>
      <c r="B106" s="10">
        <f>IF(ISNUMBER('Raw Data'!B102),INT('Raw Data'!B102),IFERROR(DATEVALUE('Raw Data'!B102),""))</f>
        <v>45834</v>
      </c>
      <c r="C106" s="9" t="str">
        <f>PROPER(TRIM('Raw Data'!C102))</f>
        <v>Bianca Reyes</v>
      </c>
      <c r="D106" s="11">
        <f>IF(ISNUMBER('Raw Data'!D102),MOD('Raw Data'!D102,1),IFERROR(TIMEVALUE('Raw Data'!D102),""))</f>
        <v>0.54166666666666663</v>
      </c>
      <c r="E106" s="11">
        <f>IF(ISNUMBER('Raw Data'!E102),MOD('Raw Data'!E102,1),IFERROR(TIMEVALUE('Raw Data'!E102),""))</f>
        <v>0.66666666666666663</v>
      </c>
      <c r="F106" s="12">
        <f>IF(ISNUMBER('Raw Data'!F102),'Raw Data'!F102,IFERROR(VALUE(SUBSTITUTE('Raw Data'!F102,",","")),""))</f>
        <v>13517</v>
      </c>
      <c r="G106" s="13">
        <f>IF(ISNUMBER('Raw Data'!G102),'Raw Data'!G102,IFERROR(VALUE(SUBSTITUTE('Raw Data'!G102,",","")),""))</f>
        <v>43</v>
      </c>
      <c r="H106" s="13">
        <f>IF(ISNUMBER('Raw Data'!H102),'Raw Data'!H102,IFERROR(VALUE(SUBSTITUTE('Raw Data'!H102,",","")),""))</f>
        <v>29053</v>
      </c>
      <c r="I106" s="13">
        <f>IF(ISNUMBER('Raw Data'!I102),'Raw Data'!I102,IFERROR(VALUE(SUBSTITUTE('Raw Data'!I102,",","")),""))</f>
        <v>344</v>
      </c>
      <c r="J106" s="21">
        <f>IF(AND(ISNUMBER(tblClean[[#This Row],[Start Time]]),ISNUMBER(tblClean[[#This Row],[End Time]])),ROUND(MOD(tblClean[[#This Row],[End Time]]-tblClean[[#This Row],[Start Time]],1)*24,2),"")</f>
        <v>3</v>
      </c>
      <c r="K106" s="12">
        <f>IF(AND(ISNUMBER(tblClean[[#This Row],[Duration Hours]]),ISNUMBER(tblClean[[#This Row],[Attributed GMV PHP]])),IF(tblClean[[#This Row],[Duration Hours]]&gt;0,tblClean[[#This Row],[Attributed GMV PHP]]/tblClean[[#This Row],[Duration Hours]],""),"")</f>
        <v>4505.666666666667</v>
      </c>
      <c r="L106" s="22">
        <f>IF(ISNUMBER(tblClean[[#This Row],[Date]]),DATE(YEAR(tblClean[[#This Row],[Date]]),MONTH(tblClean[[#This Row],[Date]]),1),"")</f>
        <v>45809</v>
      </c>
      <c r="M106" s="10">
        <f>IF(ISNUMBER(tblClean[[#This Row],[Date]]),tblClean[[#This Row],[Date]]-WEEKDAY(tblClean[[#This Row],[Date]],2)+1,"")</f>
        <v>45831</v>
      </c>
      <c r="N106" s="23">
        <f>IF(ISNUMBER(tblClean[[#This Row],[Week Start]]),(tblClean[[#This Row],[Week Start]]-MIN(tblClean[Week Start]))/7+1,"")</f>
        <v>4</v>
      </c>
      <c r="O106" s="24" t="str">
        <f>IF(ISNUMBER(tblClean[[#This Row],[Date]]),CHOOSE(WEEKDAY(tblClean[[#This Row],[Date]],2),"Mon","Tue","Wed","Thu","Fri","Sat","Sun"),"")</f>
        <v>Thu</v>
      </c>
      <c r="P106" s="24" t="str">
        <f>IF(ISNUMBER(tblClean[[#This Row],[Date]]),IF(WEEKDAY(tblClean[[#This Row],[Date]],2)&gt;=6,"Weekend","Weekday"),"")</f>
        <v>Weekday</v>
      </c>
      <c r="Q10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06" s="9" t="str">
        <f>IF(ISNUMBER(tblClean[[#This Row],[Duration Hours]]),IF(tblClean[[#This Row],[Duration Hours]]&lt;2,"Short (under 2h)",IF(tblClean[[#This Row],[Duration Hours]]&lt;3,"Standard (2h to under 3h)","Long (3h or more)")),"")</f>
        <v>Long (3h or more)</v>
      </c>
      <c r="S10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06" s="24">
        <f>IF(COUNTIF(tblClean[Session ID],tblClean[[#This Row],[Session ID]])&gt;1,1,0)</f>
        <v>0</v>
      </c>
      <c r="U106" s="24">
        <f>IF(OR(N(tblClean[[#This Row],[Attributed GMV PHP]])&lt;0,N(tblClean[[#This Row],[Items Sold]])&lt;0,N(tblClean[[#This Row],[Livestream Views]])&lt;0,N(tblClean[[#This Row],[New Followers]])&lt;0),1,0)</f>
        <v>0</v>
      </c>
      <c r="V106" s="24">
        <f>IF(ISNUMBER(tblClean[[#This Row],[Duration Hours]]),IF(OR(tblClean[[#This Row],[Duration Hours]]&lt;=0,tblClean[[#This Row],[Duration Hours]]&gt;12),1,0),1)</f>
        <v>0</v>
      </c>
      <c r="W106" s="24">
        <f>IF(COUNTIF(HostRoster,tblClean[[#This Row],[Host Name]])=0,1,0)</f>
        <v>0</v>
      </c>
      <c r="X106" s="24">
        <f>IF(tblClean[[#This Row],[Missing Flag]]+tblClean[[#This Row],[Duplicate Flag]]+tblClean[[#This Row],[Negative Flag]]+tblClean[[#This Row],[Duration Flag]]+tblClean[[#This Row],[Host Flag]]=0,1,0)</f>
        <v>1</v>
      </c>
    </row>
    <row r="107" spans="1:24" x14ac:dyDescent="0.3">
      <c r="A107" s="9" t="str">
        <f>TRIM('Raw Data'!A103)</f>
        <v>LS-0099</v>
      </c>
      <c r="B107" s="10">
        <f>IF(ISNUMBER('Raw Data'!B103),INT('Raw Data'!B103),IFERROR(DATEVALUE('Raw Data'!B103),""))</f>
        <v>45834</v>
      </c>
      <c r="C107" s="9" t="str">
        <f>PROPER(TRIM('Raw Data'!C103))</f>
        <v>Bianca Reyes</v>
      </c>
      <c r="D107" s="11">
        <f>IF(ISNUMBER('Raw Data'!D103),MOD('Raw Data'!D103,1),IFERROR(TIMEVALUE('Raw Data'!D103),""))</f>
        <v>0.66666666666666663</v>
      </c>
      <c r="E107" s="11">
        <f>IF(ISNUMBER('Raw Data'!E103),MOD('Raw Data'!E103,1),IFERROR(TIMEVALUE('Raw Data'!E103),""))</f>
        <v>0.75</v>
      </c>
      <c r="F107" s="12">
        <f>IF(ISNUMBER('Raw Data'!F103),'Raw Data'!F103,IFERROR(VALUE(SUBSTITUTE('Raw Data'!F103,",","")),""))</f>
        <v>32805</v>
      </c>
      <c r="G107" s="13">
        <f>IF(ISNUMBER('Raw Data'!G103),'Raw Data'!G103,IFERROR(VALUE(SUBSTITUTE('Raw Data'!G103,",","")),""))</f>
        <v>93</v>
      </c>
      <c r="H107" s="13">
        <f>IF(ISNUMBER('Raw Data'!H103),'Raw Data'!H103,IFERROR(VALUE(SUBSTITUTE('Raw Data'!H103,",","")),""))</f>
        <v>86905</v>
      </c>
      <c r="I107" s="13">
        <f>IF(ISNUMBER('Raw Data'!I103),'Raw Data'!I103,IFERROR(VALUE(SUBSTITUTE('Raw Data'!I103,",","")),""))</f>
        <v>654</v>
      </c>
      <c r="J107" s="21">
        <f>IF(AND(ISNUMBER(tblClean[[#This Row],[Start Time]]),ISNUMBER(tblClean[[#This Row],[End Time]])),ROUND(MOD(tblClean[[#This Row],[End Time]]-tblClean[[#This Row],[Start Time]],1)*24,2),"")</f>
        <v>2</v>
      </c>
      <c r="K107" s="12">
        <f>IF(AND(ISNUMBER(tblClean[[#This Row],[Duration Hours]]),ISNUMBER(tblClean[[#This Row],[Attributed GMV PHP]])),IF(tblClean[[#This Row],[Duration Hours]]&gt;0,tblClean[[#This Row],[Attributed GMV PHP]]/tblClean[[#This Row],[Duration Hours]],""),"")</f>
        <v>16402.5</v>
      </c>
      <c r="L107" s="22">
        <f>IF(ISNUMBER(tblClean[[#This Row],[Date]]),DATE(YEAR(tblClean[[#This Row],[Date]]),MONTH(tblClean[[#This Row],[Date]]),1),"")</f>
        <v>45809</v>
      </c>
      <c r="M107" s="10">
        <f>IF(ISNUMBER(tblClean[[#This Row],[Date]]),tblClean[[#This Row],[Date]]-WEEKDAY(tblClean[[#This Row],[Date]],2)+1,"")</f>
        <v>45831</v>
      </c>
      <c r="N107" s="23">
        <f>IF(ISNUMBER(tblClean[[#This Row],[Week Start]]),(tblClean[[#This Row],[Week Start]]-MIN(tblClean[Week Start]))/7+1,"")</f>
        <v>4</v>
      </c>
      <c r="O107" s="24" t="str">
        <f>IF(ISNUMBER(tblClean[[#This Row],[Date]]),CHOOSE(WEEKDAY(tblClean[[#This Row],[Date]],2),"Mon","Tue","Wed","Thu","Fri","Sat","Sun"),"")</f>
        <v>Thu</v>
      </c>
      <c r="P107" s="24" t="str">
        <f>IF(ISNUMBER(tblClean[[#This Row],[Date]]),IF(WEEKDAY(tblClean[[#This Row],[Date]],2)&gt;=6,"Weekend","Weekday"),"")</f>
        <v>Weekday</v>
      </c>
      <c r="Q10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07" s="9" t="str">
        <f>IF(ISNUMBER(tblClean[[#This Row],[Duration Hours]]),IF(tblClean[[#This Row],[Duration Hours]]&lt;2,"Short (under 2h)",IF(tblClean[[#This Row],[Duration Hours]]&lt;3,"Standard (2h to under 3h)","Long (3h or more)")),"")</f>
        <v>Standard (2h to under 3h)</v>
      </c>
      <c r="S10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07" s="24">
        <f>IF(COUNTIF(tblClean[Session ID],tblClean[[#This Row],[Session ID]])&gt;1,1,0)</f>
        <v>0</v>
      </c>
      <c r="U107" s="24">
        <f>IF(OR(N(tblClean[[#This Row],[Attributed GMV PHP]])&lt;0,N(tblClean[[#This Row],[Items Sold]])&lt;0,N(tblClean[[#This Row],[Livestream Views]])&lt;0,N(tblClean[[#This Row],[New Followers]])&lt;0),1,0)</f>
        <v>0</v>
      </c>
      <c r="V107" s="24">
        <f>IF(ISNUMBER(tblClean[[#This Row],[Duration Hours]]),IF(OR(tblClean[[#This Row],[Duration Hours]]&lt;=0,tblClean[[#This Row],[Duration Hours]]&gt;12),1,0),1)</f>
        <v>0</v>
      </c>
      <c r="W107" s="24">
        <f>IF(COUNTIF(HostRoster,tblClean[[#This Row],[Host Name]])=0,1,0)</f>
        <v>0</v>
      </c>
      <c r="X107" s="24">
        <f>IF(tblClean[[#This Row],[Missing Flag]]+tblClean[[#This Row],[Duplicate Flag]]+tblClean[[#This Row],[Negative Flag]]+tblClean[[#This Row],[Duration Flag]]+tblClean[[#This Row],[Host Flag]]=0,1,0)</f>
        <v>1</v>
      </c>
    </row>
    <row r="108" spans="1:24" x14ac:dyDescent="0.3">
      <c r="A108" s="9" t="str">
        <f>TRIM('Raw Data'!A104)</f>
        <v>LS-0100</v>
      </c>
      <c r="B108" s="10">
        <f>IF(ISNUMBER('Raw Data'!B104),INT('Raw Data'!B104),IFERROR(DATEVALUE('Raw Data'!B104),""))</f>
        <v>45834</v>
      </c>
      <c r="C108" s="9" t="str">
        <f>PROPER(TRIM('Raw Data'!C104))</f>
        <v>Bianca Reyes</v>
      </c>
      <c r="D108" s="11">
        <f>IF(ISNUMBER('Raw Data'!D104),MOD('Raw Data'!D104,1),IFERROR(TIMEVALUE('Raw Data'!D104),""))</f>
        <v>0.79166666666666663</v>
      </c>
      <c r="E108" s="11">
        <f>IF(ISNUMBER('Raw Data'!E104),MOD('Raw Data'!E104,1),IFERROR(TIMEVALUE('Raw Data'!E104),""))</f>
        <v>0.89583333333333337</v>
      </c>
      <c r="F108" s="12">
        <f>IF(ISNUMBER('Raw Data'!F104),'Raw Data'!F104,IFERROR(VALUE(SUBSTITUTE('Raw Data'!F104,",","")),""))</f>
        <v>47041</v>
      </c>
      <c r="G108" s="13">
        <f>IF(ISNUMBER('Raw Data'!G104),'Raw Data'!G104,IFERROR(VALUE(SUBSTITUTE('Raw Data'!G104,",","")),""))</f>
        <v>159</v>
      </c>
      <c r="H108" s="13">
        <f>IF(ISNUMBER('Raw Data'!H104),'Raw Data'!H104,IFERROR(VALUE(SUBSTITUTE('Raw Data'!H104,",","")),""))</f>
        <v>237749</v>
      </c>
      <c r="I108" s="13">
        <f>IF(ISNUMBER('Raw Data'!I104),'Raw Data'!I104,IFERROR(VALUE(SUBSTITUTE('Raw Data'!I104,",","")),""))</f>
        <v>1888</v>
      </c>
      <c r="J108" s="21">
        <f>IF(AND(ISNUMBER(tblClean[[#This Row],[Start Time]]),ISNUMBER(tblClean[[#This Row],[End Time]])),ROUND(MOD(tblClean[[#This Row],[End Time]]-tblClean[[#This Row],[Start Time]],1)*24,2),"")</f>
        <v>2.5</v>
      </c>
      <c r="K108" s="12">
        <f>IF(AND(ISNUMBER(tblClean[[#This Row],[Duration Hours]]),ISNUMBER(tblClean[[#This Row],[Attributed GMV PHP]])),IF(tblClean[[#This Row],[Duration Hours]]&gt;0,tblClean[[#This Row],[Attributed GMV PHP]]/tblClean[[#This Row],[Duration Hours]],""),"")</f>
        <v>18816.400000000001</v>
      </c>
      <c r="L108" s="22">
        <f>IF(ISNUMBER(tblClean[[#This Row],[Date]]),DATE(YEAR(tblClean[[#This Row],[Date]]),MONTH(tblClean[[#This Row],[Date]]),1),"")</f>
        <v>45809</v>
      </c>
      <c r="M108" s="10">
        <f>IF(ISNUMBER(tblClean[[#This Row],[Date]]),tblClean[[#This Row],[Date]]-WEEKDAY(tblClean[[#This Row],[Date]],2)+1,"")</f>
        <v>45831</v>
      </c>
      <c r="N108" s="23">
        <f>IF(ISNUMBER(tblClean[[#This Row],[Week Start]]),(tblClean[[#This Row],[Week Start]]-MIN(tblClean[Week Start]))/7+1,"")</f>
        <v>4</v>
      </c>
      <c r="O108" s="24" t="str">
        <f>IF(ISNUMBER(tblClean[[#This Row],[Date]]),CHOOSE(WEEKDAY(tblClean[[#This Row],[Date]],2),"Mon","Tue","Wed","Thu","Fri","Sat","Sun"),"")</f>
        <v>Thu</v>
      </c>
      <c r="P108" s="24" t="str">
        <f>IF(ISNUMBER(tblClean[[#This Row],[Date]]),IF(WEEKDAY(tblClean[[#This Row],[Date]],2)&gt;=6,"Weekend","Weekday"),"")</f>
        <v>Weekday</v>
      </c>
      <c r="Q10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08" s="9" t="str">
        <f>IF(ISNUMBER(tblClean[[#This Row],[Duration Hours]]),IF(tblClean[[#This Row],[Duration Hours]]&lt;2,"Short (under 2h)",IF(tblClean[[#This Row],[Duration Hours]]&lt;3,"Standard (2h to under 3h)","Long (3h or more)")),"")</f>
        <v>Standard (2h to under 3h)</v>
      </c>
      <c r="S10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08" s="24">
        <f>IF(COUNTIF(tblClean[Session ID],tblClean[[#This Row],[Session ID]])&gt;1,1,0)</f>
        <v>0</v>
      </c>
      <c r="U108" s="24">
        <f>IF(OR(N(tblClean[[#This Row],[Attributed GMV PHP]])&lt;0,N(tblClean[[#This Row],[Items Sold]])&lt;0,N(tblClean[[#This Row],[Livestream Views]])&lt;0,N(tblClean[[#This Row],[New Followers]])&lt;0),1,0)</f>
        <v>0</v>
      </c>
      <c r="V108" s="24">
        <f>IF(ISNUMBER(tblClean[[#This Row],[Duration Hours]]),IF(OR(tblClean[[#This Row],[Duration Hours]]&lt;=0,tblClean[[#This Row],[Duration Hours]]&gt;12),1,0),1)</f>
        <v>0</v>
      </c>
      <c r="W108" s="24">
        <f>IF(COUNTIF(HostRoster,tblClean[[#This Row],[Host Name]])=0,1,0)</f>
        <v>0</v>
      </c>
      <c r="X108" s="24">
        <f>IF(tblClean[[#This Row],[Missing Flag]]+tblClean[[#This Row],[Duplicate Flag]]+tblClean[[#This Row],[Negative Flag]]+tblClean[[#This Row],[Duration Flag]]+tblClean[[#This Row],[Host Flag]]=0,1,0)</f>
        <v>1</v>
      </c>
    </row>
    <row r="109" spans="1:24" x14ac:dyDescent="0.3">
      <c r="A109" s="9" t="str">
        <f>TRIM('Raw Data'!A105)</f>
        <v>LS-0101</v>
      </c>
      <c r="B109" s="10">
        <f>IF(ISNUMBER('Raw Data'!B105),INT('Raw Data'!B105),IFERROR(DATEVALUE('Raw Data'!B105),""))</f>
        <v>45834</v>
      </c>
      <c r="C109" s="9" t="str">
        <f>PROPER(TRIM('Raw Data'!C105))</f>
        <v>Elise Navarro</v>
      </c>
      <c r="D109" s="11">
        <f>IF(ISNUMBER('Raw Data'!D105),MOD('Raw Data'!D105,1),IFERROR(TIMEVALUE('Raw Data'!D105),""))</f>
        <v>0.91666666666666663</v>
      </c>
      <c r="E109" s="11">
        <f>IF(ISNUMBER('Raw Data'!E105),MOD('Raw Data'!E105,1),IFERROR(TIMEVALUE('Raw Data'!E105),""))</f>
        <v>2.0833333333333329E-2</v>
      </c>
      <c r="F109" s="12">
        <f>IF(ISNUMBER('Raw Data'!F105),'Raw Data'!F105,IFERROR(VALUE(SUBSTITUTE('Raw Data'!F105,",","")),""))</f>
        <v>30379</v>
      </c>
      <c r="G109" s="13">
        <f>IF(ISNUMBER('Raw Data'!G105),'Raw Data'!G105,IFERROR(VALUE(SUBSTITUTE('Raw Data'!G105,",","")),""))</f>
        <v>99</v>
      </c>
      <c r="H109" s="13">
        <f>IF(ISNUMBER('Raw Data'!H105),'Raw Data'!H105,IFERROR(VALUE(SUBSTITUTE('Raw Data'!H105,",","")),""))</f>
        <v>93273</v>
      </c>
      <c r="I109" s="13">
        <f>IF(ISNUMBER('Raw Data'!I105),'Raw Data'!I105,IFERROR(VALUE(SUBSTITUTE('Raw Data'!I105,",","")),""))</f>
        <v>408</v>
      </c>
      <c r="J109" s="21">
        <f>IF(AND(ISNUMBER(tblClean[[#This Row],[Start Time]]),ISNUMBER(tblClean[[#This Row],[End Time]])),ROUND(MOD(tblClean[[#This Row],[End Time]]-tblClean[[#This Row],[Start Time]],1)*24,2),"")</f>
        <v>2.5</v>
      </c>
      <c r="K109" s="12">
        <f>IF(AND(ISNUMBER(tblClean[[#This Row],[Duration Hours]]),ISNUMBER(tblClean[[#This Row],[Attributed GMV PHP]])),IF(tblClean[[#This Row],[Duration Hours]]&gt;0,tblClean[[#This Row],[Attributed GMV PHP]]/tblClean[[#This Row],[Duration Hours]],""),"")</f>
        <v>12151.6</v>
      </c>
      <c r="L109" s="22">
        <f>IF(ISNUMBER(tblClean[[#This Row],[Date]]),DATE(YEAR(tblClean[[#This Row],[Date]]),MONTH(tblClean[[#This Row],[Date]]),1),"")</f>
        <v>45809</v>
      </c>
      <c r="M109" s="10">
        <f>IF(ISNUMBER(tblClean[[#This Row],[Date]]),tblClean[[#This Row],[Date]]-WEEKDAY(tblClean[[#This Row],[Date]],2)+1,"")</f>
        <v>45831</v>
      </c>
      <c r="N109" s="23">
        <f>IF(ISNUMBER(tblClean[[#This Row],[Week Start]]),(tblClean[[#This Row],[Week Start]]-MIN(tblClean[Week Start]))/7+1,"")</f>
        <v>4</v>
      </c>
      <c r="O109" s="24" t="str">
        <f>IF(ISNUMBER(tblClean[[#This Row],[Date]]),CHOOSE(WEEKDAY(tblClean[[#This Row],[Date]],2),"Mon","Tue","Wed","Thu","Fri","Sat","Sun"),"")</f>
        <v>Thu</v>
      </c>
      <c r="P109" s="24" t="str">
        <f>IF(ISNUMBER(tblClean[[#This Row],[Date]]),IF(WEEKDAY(tblClean[[#This Row],[Date]],2)&gt;=6,"Weekend","Weekday"),"")</f>
        <v>Weekday</v>
      </c>
      <c r="Q10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09" s="9" t="str">
        <f>IF(ISNUMBER(tblClean[[#This Row],[Duration Hours]]),IF(tblClean[[#This Row],[Duration Hours]]&lt;2,"Short (under 2h)",IF(tblClean[[#This Row],[Duration Hours]]&lt;3,"Standard (2h to under 3h)","Long (3h or more)")),"")</f>
        <v>Standard (2h to under 3h)</v>
      </c>
      <c r="S10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09" s="24">
        <f>IF(COUNTIF(tblClean[Session ID],tblClean[[#This Row],[Session ID]])&gt;1,1,0)</f>
        <v>0</v>
      </c>
      <c r="U109" s="24">
        <f>IF(OR(N(tblClean[[#This Row],[Attributed GMV PHP]])&lt;0,N(tblClean[[#This Row],[Items Sold]])&lt;0,N(tblClean[[#This Row],[Livestream Views]])&lt;0,N(tblClean[[#This Row],[New Followers]])&lt;0),1,0)</f>
        <v>0</v>
      </c>
      <c r="V109" s="24">
        <f>IF(ISNUMBER(tblClean[[#This Row],[Duration Hours]]),IF(OR(tblClean[[#This Row],[Duration Hours]]&lt;=0,tblClean[[#This Row],[Duration Hours]]&gt;12),1,0),1)</f>
        <v>0</v>
      </c>
      <c r="W109" s="24">
        <f>IF(COUNTIF(HostRoster,tblClean[[#This Row],[Host Name]])=0,1,0)</f>
        <v>0</v>
      </c>
      <c r="X109" s="24">
        <f>IF(tblClean[[#This Row],[Missing Flag]]+tblClean[[#This Row],[Duplicate Flag]]+tblClean[[#This Row],[Negative Flag]]+tblClean[[#This Row],[Duration Flag]]+tblClean[[#This Row],[Host Flag]]=0,1,0)</f>
        <v>1</v>
      </c>
    </row>
    <row r="110" spans="1:24" x14ac:dyDescent="0.3">
      <c r="A110" s="9" t="str">
        <f>TRIM('Raw Data'!A106)</f>
        <v>LS-0102</v>
      </c>
      <c r="B110" s="10">
        <f>IF(ISNUMBER('Raw Data'!B106),INT('Raw Data'!B106),IFERROR(DATEVALUE('Raw Data'!B106),""))</f>
        <v>45835</v>
      </c>
      <c r="C110" s="9" t="str">
        <f>PROPER(TRIM('Raw Data'!C106))</f>
        <v>Dani Villanueva</v>
      </c>
      <c r="D110" s="11">
        <f>IF(ISNUMBER('Raw Data'!D106),MOD('Raw Data'!D106,1),IFERROR(TIMEVALUE('Raw Data'!D106),""))</f>
        <v>0.41666666666666669</v>
      </c>
      <c r="E110" s="11">
        <f>IF(ISNUMBER('Raw Data'!E106),MOD('Raw Data'!E106,1),IFERROR(TIMEVALUE('Raw Data'!E106),""))</f>
        <v>0.5</v>
      </c>
      <c r="F110" s="12">
        <f>IF(ISNUMBER('Raw Data'!F106),'Raw Data'!F106,IFERROR(VALUE(SUBSTITUTE('Raw Data'!F106,",","")),""))</f>
        <v>7053</v>
      </c>
      <c r="G110" s="13">
        <f>IF(ISNUMBER('Raw Data'!G106),'Raw Data'!G106,IFERROR(VALUE(SUBSTITUTE('Raw Data'!G106,",","")),""))</f>
        <v>22</v>
      </c>
      <c r="H110" s="13">
        <f>IF(ISNUMBER('Raw Data'!H106),'Raw Data'!H106,IFERROR(VALUE(SUBSTITUTE('Raw Data'!H106,",","")),""))</f>
        <v>28614</v>
      </c>
      <c r="I110" s="13">
        <f>IF(ISNUMBER('Raw Data'!I106),'Raw Data'!I106,IFERROR(VALUE(SUBSTITUTE('Raw Data'!I106,",","")),""))</f>
        <v>228</v>
      </c>
      <c r="J110" s="21">
        <f>IF(AND(ISNUMBER(tblClean[[#This Row],[Start Time]]),ISNUMBER(tblClean[[#This Row],[End Time]])),ROUND(MOD(tblClean[[#This Row],[End Time]]-tblClean[[#This Row],[Start Time]],1)*24,2),"")</f>
        <v>2</v>
      </c>
      <c r="K110" s="12">
        <f>IF(AND(ISNUMBER(tblClean[[#This Row],[Duration Hours]]),ISNUMBER(tblClean[[#This Row],[Attributed GMV PHP]])),IF(tblClean[[#This Row],[Duration Hours]]&gt;0,tblClean[[#This Row],[Attributed GMV PHP]]/tblClean[[#This Row],[Duration Hours]],""),"")</f>
        <v>3526.5</v>
      </c>
      <c r="L110" s="22">
        <f>IF(ISNUMBER(tblClean[[#This Row],[Date]]),DATE(YEAR(tblClean[[#This Row],[Date]]),MONTH(tblClean[[#This Row],[Date]]),1),"")</f>
        <v>45809</v>
      </c>
      <c r="M110" s="10">
        <f>IF(ISNUMBER(tblClean[[#This Row],[Date]]),tblClean[[#This Row],[Date]]-WEEKDAY(tblClean[[#This Row],[Date]],2)+1,"")</f>
        <v>45831</v>
      </c>
      <c r="N110" s="23">
        <f>IF(ISNUMBER(tblClean[[#This Row],[Week Start]]),(tblClean[[#This Row],[Week Start]]-MIN(tblClean[Week Start]))/7+1,"")</f>
        <v>4</v>
      </c>
      <c r="O110" s="24" t="str">
        <f>IF(ISNUMBER(tblClean[[#This Row],[Date]]),CHOOSE(WEEKDAY(tblClean[[#This Row],[Date]],2),"Mon","Tue","Wed","Thu","Fri","Sat","Sun"),"")</f>
        <v>Fri</v>
      </c>
      <c r="P110" s="24" t="str">
        <f>IF(ISNUMBER(tblClean[[#This Row],[Date]]),IF(WEEKDAY(tblClean[[#This Row],[Date]],2)&gt;=6,"Weekend","Weekday"),"")</f>
        <v>Weekday</v>
      </c>
      <c r="Q11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10" s="9" t="str">
        <f>IF(ISNUMBER(tblClean[[#This Row],[Duration Hours]]),IF(tblClean[[#This Row],[Duration Hours]]&lt;2,"Short (under 2h)",IF(tblClean[[#This Row],[Duration Hours]]&lt;3,"Standard (2h to under 3h)","Long (3h or more)")),"")</f>
        <v>Standard (2h to under 3h)</v>
      </c>
      <c r="S11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10" s="24">
        <f>IF(COUNTIF(tblClean[Session ID],tblClean[[#This Row],[Session ID]])&gt;1,1,0)</f>
        <v>0</v>
      </c>
      <c r="U110" s="24">
        <f>IF(OR(N(tblClean[[#This Row],[Attributed GMV PHP]])&lt;0,N(tblClean[[#This Row],[Items Sold]])&lt;0,N(tblClean[[#This Row],[Livestream Views]])&lt;0,N(tblClean[[#This Row],[New Followers]])&lt;0),1,0)</f>
        <v>0</v>
      </c>
      <c r="V110" s="24">
        <f>IF(ISNUMBER(tblClean[[#This Row],[Duration Hours]]),IF(OR(tblClean[[#This Row],[Duration Hours]]&lt;=0,tblClean[[#This Row],[Duration Hours]]&gt;12),1,0),1)</f>
        <v>0</v>
      </c>
      <c r="W110" s="24">
        <f>IF(COUNTIF(HostRoster,tblClean[[#This Row],[Host Name]])=0,1,0)</f>
        <v>0</v>
      </c>
      <c r="X110" s="24">
        <f>IF(tblClean[[#This Row],[Missing Flag]]+tblClean[[#This Row],[Duplicate Flag]]+tblClean[[#This Row],[Negative Flag]]+tblClean[[#This Row],[Duration Flag]]+tblClean[[#This Row],[Host Flag]]=0,1,0)</f>
        <v>1</v>
      </c>
    </row>
    <row r="111" spans="1:24" x14ac:dyDescent="0.3">
      <c r="A111" s="9" t="str">
        <f>TRIM('Raw Data'!A107)</f>
        <v>LS-0103</v>
      </c>
      <c r="B111" s="10">
        <f>IF(ISNUMBER('Raw Data'!B107),INT('Raw Data'!B107),IFERROR(DATEVALUE('Raw Data'!B107),""))</f>
        <v>45835</v>
      </c>
      <c r="C111" s="9" t="str">
        <f>PROPER(TRIM('Raw Data'!C107))</f>
        <v>Carlo Mendoza</v>
      </c>
      <c r="D111" s="11">
        <f>IF(ISNUMBER('Raw Data'!D107),MOD('Raw Data'!D107,1),IFERROR(TIMEVALUE('Raw Data'!D107),""))</f>
        <v>0.54166666666666663</v>
      </c>
      <c r="E111" s="11">
        <f>IF(ISNUMBER('Raw Data'!E107),MOD('Raw Data'!E107,1),IFERROR(TIMEVALUE('Raw Data'!E107),""))</f>
        <v>0.625</v>
      </c>
      <c r="F111" s="12">
        <f>IF(ISNUMBER('Raw Data'!F107),'Raw Data'!F107,IFERROR(VALUE(SUBSTITUTE('Raw Data'!F107,",","")),""))</f>
        <v>17522</v>
      </c>
      <c r="G111" s="13">
        <f>IF(ISNUMBER('Raw Data'!G107),'Raw Data'!G107,IFERROR(VALUE(SUBSTITUTE('Raw Data'!G107,",","")),""))</f>
        <v>58</v>
      </c>
      <c r="H111" s="13">
        <f>IF(ISNUMBER('Raw Data'!H107),'Raw Data'!H107,IFERROR(VALUE(SUBSTITUTE('Raw Data'!H107,",","")),""))</f>
        <v>58203</v>
      </c>
      <c r="I111" s="13">
        <f>IF(ISNUMBER('Raw Data'!I107),'Raw Data'!I107,IFERROR(VALUE(SUBSTITUTE('Raw Data'!I107,",","")),""))</f>
        <v>643</v>
      </c>
      <c r="J111" s="21">
        <f>IF(AND(ISNUMBER(tblClean[[#This Row],[Start Time]]),ISNUMBER(tblClean[[#This Row],[End Time]])),ROUND(MOD(tblClean[[#This Row],[End Time]]-tblClean[[#This Row],[Start Time]],1)*24,2),"")</f>
        <v>2</v>
      </c>
      <c r="K111" s="12">
        <f>IF(AND(ISNUMBER(tblClean[[#This Row],[Duration Hours]]),ISNUMBER(tblClean[[#This Row],[Attributed GMV PHP]])),IF(tblClean[[#This Row],[Duration Hours]]&gt;0,tblClean[[#This Row],[Attributed GMV PHP]]/tblClean[[#This Row],[Duration Hours]],""),"")</f>
        <v>8761</v>
      </c>
      <c r="L111" s="22">
        <f>IF(ISNUMBER(tblClean[[#This Row],[Date]]),DATE(YEAR(tblClean[[#This Row],[Date]]),MONTH(tblClean[[#This Row],[Date]]),1),"")</f>
        <v>45809</v>
      </c>
      <c r="M111" s="10">
        <f>IF(ISNUMBER(tblClean[[#This Row],[Date]]),tblClean[[#This Row],[Date]]-WEEKDAY(tblClean[[#This Row],[Date]],2)+1,"")</f>
        <v>45831</v>
      </c>
      <c r="N111" s="23">
        <f>IF(ISNUMBER(tblClean[[#This Row],[Week Start]]),(tblClean[[#This Row],[Week Start]]-MIN(tblClean[Week Start]))/7+1,"")</f>
        <v>4</v>
      </c>
      <c r="O111" s="24" t="str">
        <f>IF(ISNUMBER(tblClean[[#This Row],[Date]]),CHOOSE(WEEKDAY(tblClean[[#This Row],[Date]],2),"Mon","Tue","Wed","Thu","Fri","Sat","Sun"),"")</f>
        <v>Fri</v>
      </c>
      <c r="P111" s="24" t="str">
        <f>IF(ISNUMBER(tblClean[[#This Row],[Date]]),IF(WEEKDAY(tblClean[[#This Row],[Date]],2)&gt;=6,"Weekend","Weekday"),"")</f>
        <v>Weekday</v>
      </c>
      <c r="Q11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11" s="9" t="str">
        <f>IF(ISNUMBER(tblClean[[#This Row],[Duration Hours]]),IF(tblClean[[#This Row],[Duration Hours]]&lt;2,"Short (under 2h)",IF(tblClean[[#This Row],[Duration Hours]]&lt;3,"Standard (2h to under 3h)","Long (3h or more)")),"")</f>
        <v>Standard (2h to under 3h)</v>
      </c>
      <c r="S11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11" s="24">
        <f>IF(COUNTIF(tblClean[Session ID],tblClean[[#This Row],[Session ID]])&gt;1,1,0)</f>
        <v>0</v>
      </c>
      <c r="U111" s="24">
        <f>IF(OR(N(tblClean[[#This Row],[Attributed GMV PHP]])&lt;0,N(tblClean[[#This Row],[Items Sold]])&lt;0,N(tblClean[[#This Row],[Livestream Views]])&lt;0,N(tblClean[[#This Row],[New Followers]])&lt;0),1,0)</f>
        <v>0</v>
      </c>
      <c r="V111" s="24">
        <f>IF(ISNUMBER(tblClean[[#This Row],[Duration Hours]]),IF(OR(tblClean[[#This Row],[Duration Hours]]&lt;=0,tblClean[[#This Row],[Duration Hours]]&gt;12),1,0),1)</f>
        <v>0</v>
      </c>
      <c r="W111" s="24">
        <f>IF(COUNTIF(HostRoster,tblClean[[#This Row],[Host Name]])=0,1,0)</f>
        <v>0</v>
      </c>
      <c r="X111" s="24">
        <f>IF(tblClean[[#This Row],[Missing Flag]]+tblClean[[#This Row],[Duplicate Flag]]+tblClean[[#This Row],[Negative Flag]]+tblClean[[#This Row],[Duration Flag]]+tblClean[[#This Row],[Host Flag]]=0,1,0)</f>
        <v>1</v>
      </c>
    </row>
    <row r="112" spans="1:24" x14ac:dyDescent="0.3">
      <c r="A112" s="9" t="str">
        <f>TRIM('Raw Data'!A108)</f>
        <v>LS-0104</v>
      </c>
      <c r="B112" s="10">
        <f>IF(ISNUMBER('Raw Data'!B108),INT('Raw Data'!B108),IFERROR(DATEVALUE('Raw Data'!B108),""))</f>
        <v>45835</v>
      </c>
      <c r="C112" s="9" t="str">
        <f>PROPER(TRIM('Raw Data'!C108))</f>
        <v>Carlo Mendoza</v>
      </c>
      <c r="D112" s="11">
        <f>IF(ISNUMBER('Raw Data'!D108),MOD('Raw Data'!D108,1),IFERROR(TIMEVALUE('Raw Data'!D108),""))</f>
        <v>0.66666666666666663</v>
      </c>
      <c r="E112" s="11">
        <f>IF(ISNUMBER('Raw Data'!E108),MOD('Raw Data'!E108,1),IFERROR(TIMEVALUE('Raw Data'!E108),""))</f>
        <v>0.79166666666666663</v>
      </c>
      <c r="F112" s="12">
        <f>IF(ISNUMBER('Raw Data'!F108),'Raw Data'!F108,IFERROR(VALUE(SUBSTITUTE('Raw Data'!F108,",","")),""))</f>
        <v>39164</v>
      </c>
      <c r="G112" s="13">
        <f>IF(ISNUMBER('Raw Data'!G108),'Raw Data'!G108,IFERROR(VALUE(SUBSTITUTE('Raw Data'!G108,",","")),""))</f>
        <v>110</v>
      </c>
      <c r="H112" s="13">
        <f>IF(ISNUMBER('Raw Data'!H108),'Raw Data'!H108,IFERROR(VALUE(SUBSTITUTE('Raw Data'!H108,",","")),""))</f>
        <v>112194</v>
      </c>
      <c r="I112" s="13">
        <f>IF(ISNUMBER('Raw Data'!I108),'Raw Data'!I108,IFERROR(VALUE(SUBSTITUTE('Raw Data'!I108,",","")),""))</f>
        <v>879</v>
      </c>
      <c r="J112" s="21">
        <f>IF(AND(ISNUMBER(tblClean[[#This Row],[Start Time]]),ISNUMBER(tblClean[[#This Row],[End Time]])),ROUND(MOD(tblClean[[#This Row],[End Time]]-tblClean[[#This Row],[Start Time]],1)*24,2),"")</f>
        <v>3</v>
      </c>
      <c r="K112" s="12">
        <f>IF(AND(ISNUMBER(tblClean[[#This Row],[Duration Hours]]),ISNUMBER(tblClean[[#This Row],[Attributed GMV PHP]])),IF(tblClean[[#This Row],[Duration Hours]]&gt;0,tblClean[[#This Row],[Attributed GMV PHP]]/tblClean[[#This Row],[Duration Hours]],""),"")</f>
        <v>13054.666666666666</v>
      </c>
      <c r="L112" s="22">
        <f>IF(ISNUMBER(tblClean[[#This Row],[Date]]),DATE(YEAR(tblClean[[#This Row],[Date]]),MONTH(tblClean[[#This Row],[Date]]),1),"")</f>
        <v>45809</v>
      </c>
      <c r="M112" s="10">
        <f>IF(ISNUMBER(tblClean[[#This Row],[Date]]),tblClean[[#This Row],[Date]]-WEEKDAY(tblClean[[#This Row],[Date]],2)+1,"")</f>
        <v>45831</v>
      </c>
      <c r="N112" s="23">
        <f>IF(ISNUMBER(tblClean[[#This Row],[Week Start]]),(tblClean[[#This Row],[Week Start]]-MIN(tblClean[Week Start]))/7+1,"")</f>
        <v>4</v>
      </c>
      <c r="O112" s="24" t="str">
        <f>IF(ISNUMBER(tblClean[[#This Row],[Date]]),CHOOSE(WEEKDAY(tblClean[[#This Row],[Date]],2),"Mon","Tue","Wed","Thu","Fri","Sat","Sun"),"")</f>
        <v>Fri</v>
      </c>
      <c r="P112" s="24" t="str">
        <f>IF(ISNUMBER(tblClean[[#This Row],[Date]]),IF(WEEKDAY(tblClean[[#This Row],[Date]],2)&gt;=6,"Weekend","Weekday"),"")</f>
        <v>Weekday</v>
      </c>
      <c r="Q11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12" s="9" t="str">
        <f>IF(ISNUMBER(tblClean[[#This Row],[Duration Hours]]),IF(tblClean[[#This Row],[Duration Hours]]&lt;2,"Short (under 2h)",IF(tblClean[[#This Row],[Duration Hours]]&lt;3,"Standard (2h to under 3h)","Long (3h or more)")),"")</f>
        <v>Long (3h or more)</v>
      </c>
      <c r="S11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12" s="24">
        <f>IF(COUNTIF(tblClean[Session ID],tblClean[[#This Row],[Session ID]])&gt;1,1,0)</f>
        <v>0</v>
      </c>
      <c r="U112" s="24">
        <f>IF(OR(N(tblClean[[#This Row],[Attributed GMV PHP]])&lt;0,N(tblClean[[#This Row],[Items Sold]])&lt;0,N(tblClean[[#This Row],[Livestream Views]])&lt;0,N(tblClean[[#This Row],[New Followers]])&lt;0),1,0)</f>
        <v>0</v>
      </c>
      <c r="V112" s="24">
        <f>IF(ISNUMBER(tblClean[[#This Row],[Duration Hours]]),IF(OR(tblClean[[#This Row],[Duration Hours]]&lt;=0,tblClean[[#This Row],[Duration Hours]]&gt;12),1,0),1)</f>
        <v>0</v>
      </c>
      <c r="W112" s="24">
        <f>IF(COUNTIF(HostRoster,tblClean[[#This Row],[Host Name]])=0,1,0)</f>
        <v>0</v>
      </c>
      <c r="X112" s="24">
        <f>IF(tblClean[[#This Row],[Missing Flag]]+tblClean[[#This Row],[Duplicate Flag]]+tblClean[[#This Row],[Negative Flag]]+tblClean[[#This Row],[Duration Flag]]+tblClean[[#This Row],[Host Flag]]=0,1,0)</f>
        <v>1</v>
      </c>
    </row>
    <row r="113" spans="1:24" x14ac:dyDescent="0.3">
      <c r="A113" s="9" t="str">
        <f>TRIM('Raw Data'!A109)</f>
        <v>LS-0105</v>
      </c>
      <c r="B113" s="10">
        <f>IF(ISNUMBER('Raw Data'!B109),INT('Raw Data'!B109),IFERROR(DATEVALUE('Raw Data'!B109),""))</f>
        <v>45835</v>
      </c>
      <c r="C113" s="9" t="str">
        <f>PROPER(TRIM('Raw Data'!C109))</f>
        <v>Bianca Reyes</v>
      </c>
      <c r="D113" s="11">
        <f>IF(ISNUMBER('Raw Data'!D109),MOD('Raw Data'!D109,1),IFERROR(TIMEVALUE('Raw Data'!D109),""))</f>
        <v>0.79166666666666663</v>
      </c>
      <c r="E113" s="11">
        <f>IF(ISNUMBER('Raw Data'!E109),MOD('Raw Data'!E109,1),IFERROR(TIMEVALUE('Raw Data'!E109),""))</f>
        <v>0.875</v>
      </c>
      <c r="F113" s="12">
        <f>IF(ISNUMBER('Raw Data'!F109),'Raw Data'!F109,IFERROR(VALUE(SUBSTITUTE('Raw Data'!F109,",","")),""))</f>
        <v>18337</v>
      </c>
      <c r="G113" s="13">
        <f>IF(ISNUMBER('Raw Data'!G109),'Raw Data'!G109,IFERROR(VALUE(SUBSTITUTE('Raw Data'!G109,",","")),""))</f>
        <v>53</v>
      </c>
      <c r="H113" s="13">
        <f>IF(ISNUMBER('Raw Data'!H109),'Raw Data'!H109,IFERROR(VALUE(SUBSTITUTE('Raw Data'!H109,",","")),""))</f>
        <v>65112</v>
      </c>
      <c r="I113" s="13">
        <f>IF(ISNUMBER('Raw Data'!I109),'Raw Data'!I109,IFERROR(VALUE(SUBSTITUTE('Raw Data'!I109,",","")),""))</f>
        <v>289</v>
      </c>
      <c r="J113" s="21">
        <f>IF(AND(ISNUMBER(tblClean[[#This Row],[Start Time]]),ISNUMBER(tblClean[[#This Row],[End Time]])),ROUND(MOD(tblClean[[#This Row],[End Time]]-tblClean[[#This Row],[Start Time]],1)*24,2),"")</f>
        <v>2</v>
      </c>
      <c r="K113" s="12">
        <f>IF(AND(ISNUMBER(tblClean[[#This Row],[Duration Hours]]),ISNUMBER(tblClean[[#This Row],[Attributed GMV PHP]])),IF(tblClean[[#This Row],[Duration Hours]]&gt;0,tblClean[[#This Row],[Attributed GMV PHP]]/tblClean[[#This Row],[Duration Hours]],""),"")</f>
        <v>9168.5</v>
      </c>
      <c r="L113" s="22">
        <f>IF(ISNUMBER(tblClean[[#This Row],[Date]]),DATE(YEAR(tblClean[[#This Row],[Date]]),MONTH(tblClean[[#This Row],[Date]]),1),"")</f>
        <v>45809</v>
      </c>
      <c r="M113" s="10">
        <f>IF(ISNUMBER(tblClean[[#This Row],[Date]]),tblClean[[#This Row],[Date]]-WEEKDAY(tblClean[[#This Row],[Date]],2)+1,"")</f>
        <v>45831</v>
      </c>
      <c r="N113" s="23">
        <f>IF(ISNUMBER(tblClean[[#This Row],[Week Start]]),(tblClean[[#This Row],[Week Start]]-MIN(tblClean[Week Start]))/7+1,"")</f>
        <v>4</v>
      </c>
      <c r="O113" s="24" t="str">
        <f>IF(ISNUMBER(tblClean[[#This Row],[Date]]),CHOOSE(WEEKDAY(tblClean[[#This Row],[Date]],2),"Mon","Tue","Wed","Thu","Fri","Sat","Sun"),"")</f>
        <v>Fri</v>
      </c>
      <c r="P113" s="24" t="str">
        <f>IF(ISNUMBER(tblClean[[#This Row],[Date]]),IF(WEEKDAY(tblClean[[#This Row],[Date]],2)&gt;=6,"Weekend","Weekday"),"")</f>
        <v>Weekday</v>
      </c>
      <c r="Q11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13" s="9" t="str">
        <f>IF(ISNUMBER(tblClean[[#This Row],[Duration Hours]]),IF(tblClean[[#This Row],[Duration Hours]]&lt;2,"Short (under 2h)",IF(tblClean[[#This Row],[Duration Hours]]&lt;3,"Standard (2h to under 3h)","Long (3h or more)")),"")</f>
        <v>Standard (2h to under 3h)</v>
      </c>
      <c r="S11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13" s="24">
        <f>IF(COUNTIF(tblClean[Session ID],tblClean[[#This Row],[Session ID]])&gt;1,1,0)</f>
        <v>0</v>
      </c>
      <c r="U113" s="24">
        <f>IF(OR(N(tblClean[[#This Row],[Attributed GMV PHP]])&lt;0,N(tblClean[[#This Row],[Items Sold]])&lt;0,N(tblClean[[#This Row],[Livestream Views]])&lt;0,N(tblClean[[#This Row],[New Followers]])&lt;0),1,0)</f>
        <v>0</v>
      </c>
      <c r="V113" s="24">
        <f>IF(ISNUMBER(tblClean[[#This Row],[Duration Hours]]),IF(OR(tblClean[[#This Row],[Duration Hours]]&lt;=0,tblClean[[#This Row],[Duration Hours]]&gt;12),1,0),1)</f>
        <v>0</v>
      </c>
      <c r="W113" s="24">
        <f>IF(COUNTIF(HostRoster,tblClean[[#This Row],[Host Name]])=0,1,0)</f>
        <v>0</v>
      </c>
      <c r="X113" s="24">
        <f>IF(tblClean[[#This Row],[Missing Flag]]+tblClean[[#This Row],[Duplicate Flag]]+tblClean[[#This Row],[Negative Flag]]+tblClean[[#This Row],[Duration Flag]]+tblClean[[#This Row],[Host Flag]]=0,1,0)</f>
        <v>1</v>
      </c>
    </row>
    <row r="114" spans="1:24" x14ac:dyDescent="0.3">
      <c r="A114" s="9" t="str">
        <f>TRIM('Raw Data'!A110)</f>
        <v>LS-0106</v>
      </c>
      <c r="B114" s="10">
        <f>IF(ISNUMBER('Raw Data'!B110),INT('Raw Data'!B110),IFERROR(DATEVALUE('Raw Data'!B110),""))</f>
        <v>45835</v>
      </c>
      <c r="C114" s="9" t="str">
        <f>PROPER(TRIM('Raw Data'!C110))</f>
        <v>Dani Villanueva</v>
      </c>
      <c r="D114" s="11">
        <f>IF(ISNUMBER('Raw Data'!D110),MOD('Raw Data'!D110,1),IFERROR(TIMEVALUE('Raw Data'!D110),""))</f>
        <v>0.91666666666666663</v>
      </c>
      <c r="E114" s="11">
        <f>IF(ISNUMBER('Raw Data'!E110),MOD('Raw Data'!E110,1),IFERROR(TIMEVALUE('Raw Data'!E110),""))</f>
        <v>2.0833333333333329E-2</v>
      </c>
      <c r="F114" s="12">
        <f>IF(ISNUMBER('Raw Data'!F110),'Raw Data'!F110,IFERROR(VALUE(SUBSTITUTE('Raw Data'!F110,",","")),""))</f>
        <v>11047</v>
      </c>
      <c r="G114" s="13">
        <f>IF(ISNUMBER('Raw Data'!G110),'Raw Data'!G110,IFERROR(VALUE(SUBSTITUTE('Raw Data'!G110,",","")),""))</f>
        <v>33</v>
      </c>
      <c r="H114" s="13">
        <f>IF(ISNUMBER('Raw Data'!H110),'Raw Data'!H110,IFERROR(VALUE(SUBSTITUTE('Raw Data'!H110,",","")),""))</f>
        <v>40540</v>
      </c>
      <c r="I114" s="13">
        <f>IF(ISNUMBER('Raw Data'!I110),'Raw Data'!I110,IFERROR(VALUE(SUBSTITUTE('Raw Data'!I110,",","")),""))</f>
        <v>289</v>
      </c>
      <c r="J114" s="21">
        <f>IF(AND(ISNUMBER(tblClean[[#This Row],[Start Time]]),ISNUMBER(tblClean[[#This Row],[End Time]])),ROUND(MOD(tblClean[[#This Row],[End Time]]-tblClean[[#This Row],[Start Time]],1)*24,2),"")</f>
        <v>2.5</v>
      </c>
      <c r="K114" s="12">
        <f>IF(AND(ISNUMBER(tblClean[[#This Row],[Duration Hours]]),ISNUMBER(tblClean[[#This Row],[Attributed GMV PHP]])),IF(tblClean[[#This Row],[Duration Hours]]&gt;0,tblClean[[#This Row],[Attributed GMV PHP]]/tblClean[[#This Row],[Duration Hours]],""),"")</f>
        <v>4418.8</v>
      </c>
      <c r="L114" s="22">
        <f>IF(ISNUMBER(tblClean[[#This Row],[Date]]),DATE(YEAR(tblClean[[#This Row],[Date]]),MONTH(tblClean[[#This Row],[Date]]),1),"")</f>
        <v>45809</v>
      </c>
      <c r="M114" s="10">
        <f>IF(ISNUMBER(tblClean[[#This Row],[Date]]),tblClean[[#This Row],[Date]]-WEEKDAY(tblClean[[#This Row],[Date]],2)+1,"")</f>
        <v>45831</v>
      </c>
      <c r="N114" s="23">
        <f>IF(ISNUMBER(tblClean[[#This Row],[Week Start]]),(tblClean[[#This Row],[Week Start]]-MIN(tblClean[Week Start]))/7+1,"")</f>
        <v>4</v>
      </c>
      <c r="O114" s="24" t="str">
        <f>IF(ISNUMBER(tblClean[[#This Row],[Date]]),CHOOSE(WEEKDAY(tblClean[[#This Row],[Date]],2),"Mon","Tue","Wed","Thu","Fri","Sat","Sun"),"")</f>
        <v>Fri</v>
      </c>
      <c r="P114" s="24" t="str">
        <f>IF(ISNUMBER(tblClean[[#This Row],[Date]]),IF(WEEKDAY(tblClean[[#This Row],[Date]],2)&gt;=6,"Weekend","Weekday"),"")</f>
        <v>Weekday</v>
      </c>
      <c r="Q11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14" s="9" t="str">
        <f>IF(ISNUMBER(tblClean[[#This Row],[Duration Hours]]),IF(tblClean[[#This Row],[Duration Hours]]&lt;2,"Short (under 2h)",IF(tblClean[[#This Row],[Duration Hours]]&lt;3,"Standard (2h to under 3h)","Long (3h or more)")),"")</f>
        <v>Standard (2h to under 3h)</v>
      </c>
      <c r="S11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14" s="24">
        <f>IF(COUNTIF(tblClean[Session ID],tblClean[[#This Row],[Session ID]])&gt;1,1,0)</f>
        <v>0</v>
      </c>
      <c r="U114" s="24">
        <f>IF(OR(N(tblClean[[#This Row],[Attributed GMV PHP]])&lt;0,N(tblClean[[#This Row],[Items Sold]])&lt;0,N(tblClean[[#This Row],[Livestream Views]])&lt;0,N(tblClean[[#This Row],[New Followers]])&lt;0),1,0)</f>
        <v>0</v>
      </c>
      <c r="V114" s="24">
        <f>IF(ISNUMBER(tblClean[[#This Row],[Duration Hours]]),IF(OR(tblClean[[#This Row],[Duration Hours]]&lt;=0,tblClean[[#This Row],[Duration Hours]]&gt;12),1,0),1)</f>
        <v>0</v>
      </c>
      <c r="W114" s="24">
        <f>IF(COUNTIF(HostRoster,tblClean[[#This Row],[Host Name]])=0,1,0)</f>
        <v>0</v>
      </c>
      <c r="X114" s="24">
        <f>IF(tblClean[[#This Row],[Missing Flag]]+tblClean[[#This Row],[Duplicate Flag]]+tblClean[[#This Row],[Negative Flag]]+tblClean[[#This Row],[Duration Flag]]+tblClean[[#This Row],[Host Flag]]=0,1,0)</f>
        <v>1</v>
      </c>
    </row>
    <row r="115" spans="1:24" x14ac:dyDescent="0.3">
      <c r="A115" s="9" t="str">
        <f>TRIM('Raw Data'!A111)</f>
        <v>LS-0107</v>
      </c>
      <c r="B115" s="10">
        <f>IF(ISNUMBER('Raw Data'!B111),INT('Raw Data'!B111),IFERROR(DATEVALUE('Raw Data'!B111),""))</f>
        <v>45836</v>
      </c>
      <c r="C115" s="9" t="str">
        <f>PROPER(TRIM('Raw Data'!C111))</f>
        <v>Bianca Reyes</v>
      </c>
      <c r="D115" s="11">
        <f>IF(ISNUMBER('Raw Data'!D111),MOD('Raw Data'!D111,1),IFERROR(TIMEVALUE('Raw Data'!D111),""))</f>
        <v>0.54166666666666663</v>
      </c>
      <c r="E115" s="11">
        <f>IF(ISNUMBER('Raw Data'!E111),MOD('Raw Data'!E111,1),IFERROR(TIMEVALUE('Raw Data'!E111),""))</f>
        <v>0.66666666666666663</v>
      </c>
      <c r="F115" s="12">
        <f>IF(ISNUMBER('Raw Data'!F111),'Raw Data'!F111,IFERROR(VALUE(SUBSTITUTE('Raw Data'!F111,",","")),""))</f>
        <v>25558</v>
      </c>
      <c r="G115" s="13">
        <f>IF(ISNUMBER('Raw Data'!G111),'Raw Data'!G111,IFERROR(VALUE(SUBSTITUTE('Raw Data'!G111,",","")),""))</f>
        <v>81</v>
      </c>
      <c r="H115" s="13">
        <f>IF(ISNUMBER('Raw Data'!H111),'Raw Data'!H111,IFERROR(VALUE(SUBSTITUTE('Raw Data'!H111,",","")),""))</f>
        <v>102612</v>
      </c>
      <c r="I115" s="13">
        <f>IF(ISNUMBER('Raw Data'!I111),'Raw Data'!I111,IFERROR(VALUE(SUBSTITUTE('Raw Data'!I111,",","")),""))</f>
        <v>564</v>
      </c>
      <c r="J115" s="21">
        <f>IF(AND(ISNUMBER(tblClean[[#This Row],[Start Time]]),ISNUMBER(tblClean[[#This Row],[End Time]])),ROUND(MOD(tblClean[[#This Row],[End Time]]-tblClean[[#This Row],[Start Time]],1)*24,2),"")</f>
        <v>3</v>
      </c>
      <c r="K115" s="12">
        <f>IF(AND(ISNUMBER(tblClean[[#This Row],[Duration Hours]]),ISNUMBER(tblClean[[#This Row],[Attributed GMV PHP]])),IF(tblClean[[#This Row],[Duration Hours]]&gt;0,tblClean[[#This Row],[Attributed GMV PHP]]/tblClean[[#This Row],[Duration Hours]],""),"")</f>
        <v>8519.3333333333339</v>
      </c>
      <c r="L115" s="22">
        <f>IF(ISNUMBER(tblClean[[#This Row],[Date]]),DATE(YEAR(tblClean[[#This Row],[Date]]),MONTH(tblClean[[#This Row],[Date]]),1),"")</f>
        <v>45809</v>
      </c>
      <c r="M115" s="10">
        <f>IF(ISNUMBER(tblClean[[#This Row],[Date]]),tblClean[[#This Row],[Date]]-WEEKDAY(tblClean[[#This Row],[Date]],2)+1,"")</f>
        <v>45831</v>
      </c>
      <c r="N115" s="23">
        <f>IF(ISNUMBER(tblClean[[#This Row],[Week Start]]),(tblClean[[#This Row],[Week Start]]-MIN(tblClean[Week Start]))/7+1,"")</f>
        <v>4</v>
      </c>
      <c r="O115" s="24" t="str">
        <f>IF(ISNUMBER(tblClean[[#This Row],[Date]]),CHOOSE(WEEKDAY(tblClean[[#This Row],[Date]],2),"Mon","Tue","Wed","Thu","Fri","Sat","Sun"),"")</f>
        <v>Sat</v>
      </c>
      <c r="P115" s="24" t="str">
        <f>IF(ISNUMBER(tblClean[[#This Row],[Date]]),IF(WEEKDAY(tblClean[[#This Row],[Date]],2)&gt;=6,"Weekend","Weekday"),"")</f>
        <v>Weekend</v>
      </c>
      <c r="Q11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15" s="9" t="str">
        <f>IF(ISNUMBER(tblClean[[#This Row],[Duration Hours]]),IF(tblClean[[#This Row],[Duration Hours]]&lt;2,"Short (under 2h)",IF(tblClean[[#This Row],[Duration Hours]]&lt;3,"Standard (2h to under 3h)","Long (3h or more)")),"")</f>
        <v>Long (3h or more)</v>
      </c>
      <c r="S11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15" s="24">
        <f>IF(COUNTIF(tblClean[Session ID],tblClean[[#This Row],[Session ID]])&gt;1,1,0)</f>
        <v>0</v>
      </c>
      <c r="U115" s="24">
        <f>IF(OR(N(tblClean[[#This Row],[Attributed GMV PHP]])&lt;0,N(tblClean[[#This Row],[Items Sold]])&lt;0,N(tblClean[[#This Row],[Livestream Views]])&lt;0,N(tblClean[[#This Row],[New Followers]])&lt;0),1,0)</f>
        <v>0</v>
      </c>
      <c r="V115" s="24">
        <f>IF(ISNUMBER(tblClean[[#This Row],[Duration Hours]]),IF(OR(tblClean[[#This Row],[Duration Hours]]&lt;=0,tblClean[[#This Row],[Duration Hours]]&gt;12),1,0),1)</f>
        <v>0</v>
      </c>
      <c r="W115" s="24">
        <f>IF(COUNTIF(HostRoster,tblClean[[#This Row],[Host Name]])=0,1,0)</f>
        <v>0</v>
      </c>
      <c r="X115" s="24">
        <f>IF(tblClean[[#This Row],[Missing Flag]]+tblClean[[#This Row],[Duplicate Flag]]+tblClean[[#This Row],[Negative Flag]]+tblClean[[#This Row],[Duration Flag]]+tblClean[[#This Row],[Host Flag]]=0,1,0)</f>
        <v>1</v>
      </c>
    </row>
    <row r="116" spans="1:24" x14ac:dyDescent="0.3">
      <c r="A116" s="9" t="str">
        <f>TRIM('Raw Data'!A112)</f>
        <v>LS-0108</v>
      </c>
      <c r="B116" s="10">
        <f>IF(ISNUMBER('Raw Data'!B112),INT('Raw Data'!B112),IFERROR(DATEVALUE('Raw Data'!B112),""))</f>
        <v>45836</v>
      </c>
      <c r="C116" s="9" t="str">
        <f>PROPER(TRIM('Raw Data'!C112))</f>
        <v>Carlo Mendoza</v>
      </c>
      <c r="D116" s="11">
        <f>IF(ISNUMBER('Raw Data'!D112),MOD('Raw Data'!D112,1),IFERROR(TIMEVALUE('Raw Data'!D112),""))</f>
        <v>0.66666666666666663</v>
      </c>
      <c r="E116" s="11">
        <f>IF(ISNUMBER('Raw Data'!E112),MOD('Raw Data'!E112,1),IFERROR(TIMEVALUE('Raw Data'!E112),""))</f>
        <v>0.79166666666666663</v>
      </c>
      <c r="F116" s="12">
        <f>IF(ISNUMBER('Raw Data'!F112),'Raw Data'!F112,IFERROR(VALUE(SUBSTITUTE('Raw Data'!F112,",","")),""))</f>
        <v>25927</v>
      </c>
      <c r="G116" s="13">
        <f>IF(ISNUMBER('Raw Data'!G112),'Raw Data'!G112,IFERROR(VALUE(SUBSTITUTE('Raw Data'!G112,",","")),""))</f>
        <v>79</v>
      </c>
      <c r="H116" s="13">
        <f>IF(ISNUMBER('Raw Data'!H112),'Raw Data'!H112,IFERROR(VALUE(SUBSTITUTE('Raw Data'!H112,",","")),""))</f>
        <v>81698</v>
      </c>
      <c r="I116" s="13">
        <f>IF(ISNUMBER('Raw Data'!I112),'Raw Data'!I112,IFERROR(VALUE(SUBSTITUTE('Raw Data'!I112,",","")),""))</f>
        <v>570</v>
      </c>
      <c r="J116" s="21">
        <f>IF(AND(ISNUMBER(tblClean[[#This Row],[Start Time]]),ISNUMBER(tblClean[[#This Row],[End Time]])),ROUND(MOD(tblClean[[#This Row],[End Time]]-tblClean[[#This Row],[Start Time]],1)*24,2),"")</f>
        <v>3</v>
      </c>
      <c r="K116" s="12">
        <f>IF(AND(ISNUMBER(tblClean[[#This Row],[Duration Hours]]),ISNUMBER(tblClean[[#This Row],[Attributed GMV PHP]])),IF(tblClean[[#This Row],[Duration Hours]]&gt;0,tblClean[[#This Row],[Attributed GMV PHP]]/tblClean[[#This Row],[Duration Hours]],""),"")</f>
        <v>8642.3333333333339</v>
      </c>
      <c r="L116" s="22">
        <f>IF(ISNUMBER(tblClean[[#This Row],[Date]]),DATE(YEAR(tblClean[[#This Row],[Date]]),MONTH(tblClean[[#This Row],[Date]]),1),"")</f>
        <v>45809</v>
      </c>
      <c r="M116" s="10">
        <f>IF(ISNUMBER(tblClean[[#This Row],[Date]]),tblClean[[#This Row],[Date]]-WEEKDAY(tblClean[[#This Row],[Date]],2)+1,"")</f>
        <v>45831</v>
      </c>
      <c r="N116" s="23">
        <f>IF(ISNUMBER(tblClean[[#This Row],[Week Start]]),(tblClean[[#This Row],[Week Start]]-MIN(tblClean[Week Start]))/7+1,"")</f>
        <v>4</v>
      </c>
      <c r="O116" s="24" t="str">
        <f>IF(ISNUMBER(tblClean[[#This Row],[Date]]),CHOOSE(WEEKDAY(tblClean[[#This Row],[Date]],2),"Mon","Tue","Wed","Thu","Fri","Sat","Sun"),"")</f>
        <v>Sat</v>
      </c>
      <c r="P116" s="24" t="str">
        <f>IF(ISNUMBER(tblClean[[#This Row],[Date]]),IF(WEEKDAY(tblClean[[#This Row],[Date]],2)&gt;=6,"Weekend","Weekday"),"")</f>
        <v>Weekend</v>
      </c>
      <c r="Q11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16" s="9" t="str">
        <f>IF(ISNUMBER(tblClean[[#This Row],[Duration Hours]]),IF(tblClean[[#This Row],[Duration Hours]]&lt;2,"Short (under 2h)",IF(tblClean[[#This Row],[Duration Hours]]&lt;3,"Standard (2h to under 3h)","Long (3h or more)")),"")</f>
        <v>Long (3h or more)</v>
      </c>
      <c r="S11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16" s="24">
        <f>IF(COUNTIF(tblClean[Session ID],tblClean[[#This Row],[Session ID]])&gt;1,1,0)</f>
        <v>0</v>
      </c>
      <c r="U116" s="24">
        <f>IF(OR(N(tblClean[[#This Row],[Attributed GMV PHP]])&lt;0,N(tblClean[[#This Row],[Items Sold]])&lt;0,N(tblClean[[#This Row],[Livestream Views]])&lt;0,N(tblClean[[#This Row],[New Followers]])&lt;0),1,0)</f>
        <v>0</v>
      </c>
      <c r="V116" s="24">
        <f>IF(ISNUMBER(tblClean[[#This Row],[Duration Hours]]),IF(OR(tblClean[[#This Row],[Duration Hours]]&lt;=0,tblClean[[#This Row],[Duration Hours]]&gt;12),1,0),1)</f>
        <v>0</v>
      </c>
      <c r="W116" s="24">
        <f>IF(COUNTIF(HostRoster,tblClean[[#This Row],[Host Name]])=0,1,0)</f>
        <v>0</v>
      </c>
      <c r="X116" s="24">
        <f>IF(tblClean[[#This Row],[Missing Flag]]+tblClean[[#This Row],[Duplicate Flag]]+tblClean[[#This Row],[Negative Flag]]+tblClean[[#This Row],[Duration Flag]]+tblClean[[#This Row],[Host Flag]]=0,1,0)</f>
        <v>1</v>
      </c>
    </row>
    <row r="117" spans="1:24" x14ac:dyDescent="0.3">
      <c r="A117" s="9" t="str">
        <f>TRIM('Raw Data'!A113)</f>
        <v>LS-0109</v>
      </c>
      <c r="B117" s="10">
        <f>IF(ISNUMBER('Raw Data'!B113),INT('Raw Data'!B113),IFERROR(DATEVALUE('Raw Data'!B113),""))</f>
        <v>45836</v>
      </c>
      <c r="C117" s="9" t="str">
        <f>PROPER(TRIM('Raw Data'!C113))</f>
        <v>Aira Valdez</v>
      </c>
      <c r="D117" s="11">
        <f>IF(ISNUMBER('Raw Data'!D113),MOD('Raw Data'!D113,1),IFERROR(TIMEVALUE('Raw Data'!D113),""))</f>
        <v>0.79166666666666663</v>
      </c>
      <c r="E117" s="11">
        <f>IF(ISNUMBER('Raw Data'!E113),MOD('Raw Data'!E113,1),IFERROR(TIMEVALUE('Raw Data'!E113),""))</f>
        <v>0.875</v>
      </c>
      <c r="F117" s="12">
        <f>IF(ISNUMBER('Raw Data'!F113),'Raw Data'!F113,IFERROR(VALUE(SUBSTITUTE('Raw Data'!F113,",","")),""))</f>
        <v>71625</v>
      </c>
      <c r="G117" s="13">
        <f>IF(ISNUMBER('Raw Data'!G113),'Raw Data'!G113,IFERROR(VALUE(SUBSTITUTE('Raw Data'!G113,",","")),""))</f>
        <v>198</v>
      </c>
      <c r="H117" s="13">
        <f>IF(ISNUMBER('Raw Data'!H113),'Raw Data'!H113,IFERROR(VALUE(SUBSTITUTE('Raw Data'!H113,",","")),""))</f>
        <v>212298</v>
      </c>
      <c r="I117" s="13">
        <f>IF(ISNUMBER('Raw Data'!I113),'Raw Data'!I113,IFERROR(VALUE(SUBSTITUTE('Raw Data'!I113,",","")),""))</f>
        <v>2621</v>
      </c>
      <c r="J117" s="21">
        <f>IF(AND(ISNUMBER(tblClean[[#This Row],[Start Time]]),ISNUMBER(tblClean[[#This Row],[End Time]])),ROUND(MOD(tblClean[[#This Row],[End Time]]-tblClean[[#This Row],[Start Time]],1)*24,2),"")</f>
        <v>2</v>
      </c>
      <c r="K117" s="12">
        <f>IF(AND(ISNUMBER(tblClean[[#This Row],[Duration Hours]]),ISNUMBER(tblClean[[#This Row],[Attributed GMV PHP]])),IF(tblClean[[#This Row],[Duration Hours]]&gt;0,tblClean[[#This Row],[Attributed GMV PHP]]/tblClean[[#This Row],[Duration Hours]],""),"")</f>
        <v>35812.5</v>
      </c>
      <c r="L117" s="22">
        <f>IF(ISNUMBER(tblClean[[#This Row],[Date]]),DATE(YEAR(tblClean[[#This Row],[Date]]),MONTH(tblClean[[#This Row],[Date]]),1),"")</f>
        <v>45809</v>
      </c>
      <c r="M117" s="10">
        <f>IF(ISNUMBER(tblClean[[#This Row],[Date]]),tblClean[[#This Row],[Date]]-WEEKDAY(tblClean[[#This Row],[Date]],2)+1,"")</f>
        <v>45831</v>
      </c>
      <c r="N117" s="23">
        <f>IF(ISNUMBER(tblClean[[#This Row],[Week Start]]),(tblClean[[#This Row],[Week Start]]-MIN(tblClean[Week Start]))/7+1,"")</f>
        <v>4</v>
      </c>
      <c r="O117" s="24" t="str">
        <f>IF(ISNUMBER(tblClean[[#This Row],[Date]]),CHOOSE(WEEKDAY(tblClean[[#This Row],[Date]],2),"Mon","Tue","Wed","Thu","Fri","Sat","Sun"),"")</f>
        <v>Sat</v>
      </c>
      <c r="P117" s="24" t="str">
        <f>IF(ISNUMBER(tblClean[[#This Row],[Date]]),IF(WEEKDAY(tblClean[[#This Row],[Date]],2)&gt;=6,"Weekend","Weekday"),"")</f>
        <v>Weekend</v>
      </c>
      <c r="Q11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17" s="9" t="str">
        <f>IF(ISNUMBER(tblClean[[#This Row],[Duration Hours]]),IF(tblClean[[#This Row],[Duration Hours]]&lt;2,"Short (under 2h)",IF(tblClean[[#This Row],[Duration Hours]]&lt;3,"Standard (2h to under 3h)","Long (3h or more)")),"")</f>
        <v>Standard (2h to under 3h)</v>
      </c>
      <c r="S11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17" s="24">
        <f>IF(COUNTIF(tblClean[Session ID],tblClean[[#This Row],[Session ID]])&gt;1,1,0)</f>
        <v>0</v>
      </c>
      <c r="U117" s="24">
        <f>IF(OR(N(tblClean[[#This Row],[Attributed GMV PHP]])&lt;0,N(tblClean[[#This Row],[Items Sold]])&lt;0,N(tblClean[[#This Row],[Livestream Views]])&lt;0,N(tblClean[[#This Row],[New Followers]])&lt;0),1,0)</f>
        <v>0</v>
      </c>
      <c r="V117" s="24">
        <f>IF(ISNUMBER(tblClean[[#This Row],[Duration Hours]]),IF(OR(tblClean[[#This Row],[Duration Hours]]&lt;=0,tblClean[[#This Row],[Duration Hours]]&gt;12),1,0),1)</f>
        <v>0</v>
      </c>
      <c r="W117" s="24">
        <f>IF(COUNTIF(HostRoster,tblClean[[#This Row],[Host Name]])=0,1,0)</f>
        <v>0</v>
      </c>
      <c r="X117" s="24">
        <f>IF(tblClean[[#This Row],[Missing Flag]]+tblClean[[#This Row],[Duplicate Flag]]+tblClean[[#This Row],[Negative Flag]]+tblClean[[#This Row],[Duration Flag]]+tblClean[[#This Row],[Host Flag]]=0,1,0)</f>
        <v>1</v>
      </c>
    </row>
    <row r="118" spans="1:24" x14ac:dyDescent="0.3">
      <c r="A118" s="9" t="str">
        <f>TRIM('Raw Data'!A114)</f>
        <v>LS-0110</v>
      </c>
      <c r="B118" s="10">
        <f>IF(ISNUMBER('Raw Data'!B114),INT('Raw Data'!B114),IFERROR(DATEVALUE('Raw Data'!B114),""))</f>
        <v>45837</v>
      </c>
      <c r="C118" s="9" t="str">
        <f>PROPER(TRIM('Raw Data'!C114))</f>
        <v>Bianca Reyes</v>
      </c>
      <c r="D118" s="11">
        <f>IF(ISNUMBER('Raw Data'!D114),MOD('Raw Data'!D114,1),IFERROR(TIMEVALUE('Raw Data'!D114),""))</f>
        <v>0.41666666666666669</v>
      </c>
      <c r="E118" s="11">
        <f>IF(ISNUMBER('Raw Data'!E114),MOD('Raw Data'!E114,1),IFERROR(TIMEVALUE('Raw Data'!E114),""))</f>
        <v>0.52083333333333337</v>
      </c>
      <c r="F118" s="12">
        <f>IF(ISNUMBER('Raw Data'!F114),'Raw Data'!F114,IFERROR(VALUE(SUBSTITUTE('Raw Data'!F114,",","")),""))</f>
        <v>20057</v>
      </c>
      <c r="G118" s="13">
        <f>IF(ISNUMBER('Raw Data'!G114),'Raw Data'!G114,IFERROR(VALUE(SUBSTITUTE('Raw Data'!G114,",","")),""))</f>
        <v>58</v>
      </c>
      <c r="H118" s="13">
        <f>IF(ISNUMBER('Raw Data'!H114),'Raw Data'!H114,IFERROR(VALUE(SUBSTITUTE('Raw Data'!H114,",","")),""))</f>
        <v>58248</v>
      </c>
      <c r="I118" s="13">
        <f>IF(ISNUMBER('Raw Data'!I114),'Raw Data'!I114,IFERROR(VALUE(SUBSTITUTE('Raw Data'!I114,",","")),""))</f>
        <v>258</v>
      </c>
      <c r="J118" s="21">
        <f>IF(AND(ISNUMBER(tblClean[[#This Row],[Start Time]]),ISNUMBER(tblClean[[#This Row],[End Time]])),ROUND(MOD(tblClean[[#This Row],[End Time]]-tblClean[[#This Row],[Start Time]],1)*24,2),"")</f>
        <v>2.5</v>
      </c>
      <c r="K118" s="12">
        <f>IF(AND(ISNUMBER(tblClean[[#This Row],[Duration Hours]]),ISNUMBER(tblClean[[#This Row],[Attributed GMV PHP]])),IF(tblClean[[#This Row],[Duration Hours]]&gt;0,tblClean[[#This Row],[Attributed GMV PHP]]/tblClean[[#This Row],[Duration Hours]],""),"")</f>
        <v>8022.8</v>
      </c>
      <c r="L118" s="22">
        <f>IF(ISNUMBER(tblClean[[#This Row],[Date]]),DATE(YEAR(tblClean[[#This Row],[Date]]),MONTH(tblClean[[#This Row],[Date]]),1),"")</f>
        <v>45809</v>
      </c>
      <c r="M118" s="10">
        <f>IF(ISNUMBER(tblClean[[#This Row],[Date]]),tblClean[[#This Row],[Date]]-WEEKDAY(tblClean[[#This Row],[Date]],2)+1,"")</f>
        <v>45831</v>
      </c>
      <c r="N118" s="23">
        <f>IF(ISNUMBER(tblClean[[#This Row],[Week Start]]),(tblClean[[#This Row],[Week Start]]-MIN(tblClean[Week Start]))/7+1,"")</f>
        <v>4</v>
      </c>
      <c r="O118" s="24" t="str">
        <f>IF(ISNUMBER(tblClean[[#This Row],[Date]]),CHOOSE(WEEKDAY(tblClean[[#This Row],[Date]],2),"Mon","Tue","Wed","Thu","Fri","Sat","Sun"),"")</f>
        <v>Sun</v>
      </c>
      <c r="P118" s="24" t="str">
        <f>IF(ISNUMBER(tblClean[[#This Row],[Date]]),IF(WEEKDAY(tblClean[[#This Row],[Date]],2)&gt;=6,"Weekend","Weekday"),"")</f>
        <v>Weekend</v>
      </c>
      <c r="Q11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18" s="9" t="str">
        <f>IF(ISNUMBER(tblClean[[#This Row],[Duration Hours]]),IF(tblClean[[#This Row],[Duration Hours]]&lt;2,"Short (under 2h)",IF(tblClean[[#This Row],[Duration Hours]]&lt;3,"Standard (2h to under 3h)","Long (3h or more)")),"")</f>
        <v>Standard (2h to under 3h)</v>
      </c>
      <c r="S11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18" s="24">
        <f>IF(COUNTIF(tblClean[Session ID],tblClean[[#This Row],[Session ID]])&gt;1,1,0)</f>
        <v>0</v>
      </c>
      <c r="U118" s="24">
        <f>IF(OR(N(tblClean[[#This Row],[Attributed GMV PHP]])&lt;0,N(tblClean[[#This Row],[Items Sold]])&lt;0,N(tblClean[[#This Row],[Livestream Views]])&lt;0,N(tblClean[[#This Row],[New Followers]])&lt;0),1,0)</f>
        <v>0</v>
      </c>
      <c r="V118" s="24">
        <f>IF(ISNUMBER(tblClean[[#This Row],[Duration Hours]]),IF(OR(tblClean[[#This Row],[Duration Hours]]&lt;=0,tblClean[[#This Row],[Duration Hours]]&gt;12),1,0),1)</f>
        <v>0</v>
      </c>
      <c r="W118" s="24">
        <f>IF(COUNTIF(HostRoster,tblClean[[#This Row],[Host Name]])=0,1,0)</f>
        <v>0</v>
      </c>
      <c r="X118" s="24">
        <f>IF(tblClean[[#This Row],[Missing Flag]]+tblClean[[#This Row],[Duplicate Flag]]+tblClean[[#This Row],[Negative Flag]]+tblClean[[#This Row],[Duration Flag]]+tblClean[[#This Row],[Host Flag]]=0,1,0)</f>
        <v>1</v>
      </c>
    </row>
    <row r="119" spans="1:24" x14ac:dyDescent="0.3">
      <c r="A119" s="9" t="str">
        <f>TRIM('Raw Data'!A115)</f>
        <v>LS-0111</v>
      </c>
      <c r="B119" s="10">
        <f>IF(ISNUMBER('Raw Data'!B115),INT('Raw Data'!B115),IFERROR(DATEVALUE('Raw Data'!B115),""))</f>
        <v>45837</v>
      </c>
      <c r="C119" s="9" t="str">
        <f>PROPER(TRIM('Raw Data'!C115))</f>
        <v>Carlo Mendoza</v>
      </c>
      <c r="D119" s="11">
        <f>IF(ISNUMBER('Raw Data'!D115),MOD('Raw Data'!D115,1),IFERROR(TIMEVALUE('Raw Data'!D115),""))</f>
        <v>0.54166666666666663</v>
      </c>
      <c r="E119" s="11">
        <f>IF(ISNUMBER('Raw Data'!E115),MOD('Raw Data'!E115,1),IFERROR(TIMEVALUE('Raw Data'!E115),""))</f>
        <v>0.64583333333333337</v>
      </c>
      <c r="F119" s="12">
        <f>IF(ISNUMBER('Raw Data'!F115),'Raw Data'!F115,IFERROR(VALUE(SUBSTITUTE('Raw Data'!F115,",","")),""))</f>
        <v>33387</v>
      </c>
      <c r="G119" s="13">
        <f>IF(ISNUMBER('Raw Data'!G115),'Raw Data'!G115,IFERROR(VALUE(SUBSTITUTE('Raw Data'!G115,",","")),""))</f>
        <v>93</v>
      </c>
      <c r="H119" s="13">
        <f>IF(ISNUMBER('Raw Data'!H115),'Raw Data'!H115,IFERROR(VALUE(SUBSTITUTE('Raw Data'!H115,",","")),""))</f>
        <v>121764</v>
      </c>
      <c r="I119" s="13">
        <f>IF(ISNUMBER('Raw Data'!I115),'Raw Data'!I115,IFERROR(VALUE(SUBSTITUTE('Raw Data'!I115,",","")),""))</f>
        <v>655</v>
      </c>
      <c r="J119" s="21">
        <f>IF(AND(ISNUMBER(tblClean[[#This Row],[Start Time]]),ISNUMBER(tblClean[[#This Row],[End Time]])),ROUND(MOD(tblClean[[#This Row],[End Time]]-tblClean[[#This Row],[Start Time]],1)*24,2),"")</f>
        <v>2.5</v>
      </c>
      <c r="K119" s="12">
        <f>IF(AND(ISNUMBER(tblClean[[#This Row],[Duration Hours]]),ISNUMBER(tblClean[[#This Row],[Attributed GMV PHP]])),IF(tblClean[[#This Row],[Duration Hours]]&gt;0,tblClean[[#This Row],[Attributed GMV PHP]]/tblClean[[#This Row],[Duration Hours]],""),"")</f>
        <v>13354.8</v>
      </c>
      <c r="L119" s="22">
        <f>IF(ISNUMBER(tblClean[[#This Row],[Date]]),DATE(YEAR(tblClean[[#This Row],[Date]]),MONTH(tblClean[[#This Row],[Date]]),1),"")</f>
        <v>45809</v>
      </c>
      <c r="M119" s="10">
        <f>IF(ISNUMBER(tblClean[[#This Row],[Date]]),tblClean[[#This Row],[Date]]-WEEKDAY(tblClean[[#This Row],[Date]],2)+1,"")</f>
        <v>45831</v>
      </c>
      <c r="N119" s="23">
        <f>IF(ISNUMBER(tblClean[[#This Row],[Week Start]]),(tblClean[[#This Row],[Week Start]]-MIN(tblClean[Week Start]))/7+1,"")</f>
        <v>4</v>
      </c>
      <c r="O119" s="24" t="str">
        <f>IF(ISNUMBER(tblClean[[#This Row],[Date]]),CHOOSE(WEEKDAY(tblClean[[#This Row],[Date]],2),"Mon","Tue","Wed","Thu","Fri","Sat","Sun"),"")</f>
        <v>Sun</v>
      </c>
      <c r="P119" s="24" t="str">
        <f>IF(ISNUMBER(tblClean[[#This Row],[Date]]),IF(WEEKDAY(tblClean[[#This Row],[Date]],2)&gt;=6,"Weekend","Weekday"),"")</f>
        <v>Weekend</v>
      </c>
      <c r="Q11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19" s="9" t="str">
        <f>IF(ISNUMBER(tblClean[[#This Row],[Duration Hours]]),IF(tblClean[[#This Row],[Duration Hours]]&lt;2,"Short (under 2h)",IF(tblClean[[#This Row],[Duration Hours]]&lt;3,"Standard (2h to under 3h)","Long (3h or more)")),"")</f>
        <v>Standard (2h to under 3h)</v>
      </c>
      <c r="S11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19" s="24">
        <f>IF(COUNTIF(tblClean[Session ID],tblClean[[#This Row],[Session ID]])&gt;1,1,0)</f>
        <v>0</v>
      </c>
      <c r="U119" s="24">
        <f>IF(OR(N(tblClean[[#This Row],[Attributed GMV PHP]])&lt;0,N(tblClean[[#This Row],[Items Sold]])&lt;0,N(tblClean[[#This Row],[Livestream Views]])&lt;0,N(tblClean[[#This Row],[New Followers]])&lt;0),1,0)</f>
        <v>0</v>
      </c>
      <c r="V119" s="24">
        <f>IF(ISNUMBER(tblClean[[#This Row],[Duration Hours]]),IF(OR(tblClean[[#This Row],[Duration Hours]]&lt;=0,tblClean[[#This Row],[Duration Hours]]&gt;12),1,0),1)</f>
        <v>0</v>
      </c>
      <c r="W119" s="24">
        <f>IF(COUNTIF(HostRoster,tblClean[[#This Row],[Host Name]])=0,1,0)</f>
        <v>0</v>
      </c>
      <c r="X119" s="24">
        <f>IF(tblClean[[#This Row],[Missing Flag]]+tblClean[[#This Row],[Duplicate Flag]]+tblClean[[#This Row],[Negative Flag]]+tblClean[[#This Row],[Duration Flag]]+tblClean[[#This Row],[Host Flag]]=0,1,0)</f>
        <v>1</v>
      </c>
    </row>
    <row r="120" spans="1:24" x14ac:dyDescent="0.3">
      <c r="A120" s="9" t="str">
        <f>TRIM('Raw Data'!A116)</f>
        <v>LS-0112</v>
      </c>
      <c r="B120" s="10">
        <f>IF(ISNUMBER('Raw Data'!B116),INT('Raw Data'!B116),IFERROR(DATEVALUE('Raw Data'!B116),""))</f>
        <v>45837</v>
      </c>
      <c r="C120" s="9" t="str">
        <f>PROPER(TRIM('Raw Data'!C116))</f>
        <v>Bianca Reyes</v>
      </c>
      <c r="D120" s="11">
        <f>IF(ISNUMBER('Raw Data'!D116),MOD('Raw Data'!D116,1),IFERROR(TIMEVALUE('Raw Data'!D116),""))</f>
        <v>0.66666666666666663</v>
      </c>
      <c r="E120" s="11">
        <f>IF(ISNUMBER('Raw Data'!E116),MOD('Raw Data'!E116,1),IFERROR(TIMEVALUE('Raw Data'!E116),""))</f>
        <v>0.72916666666666663</v>
      </c>
      <c r="F120" s="12">
        <f>IF(ISNUMBER('Raw Data'!F116),'Raw Data'!F116,IFERROR(VALUE(SUBSTITUTE('Raw Data'!F116,",","")),""))</f>
        <v>15536</v>
      </c>
      <c r="G120" s="13">
        <f>IF(ISNUMBER('Raw Data'!G116),'Raw Data'!G116,IFERROR(VALUE(SUBSTITUTE('Raw Data'!G116,",","")),""))</f>
        <v>39</v>
      </c>
      <c r="H120" s="13">
        <f>IF(ISNUMBER('Raw Data'!H116),'Raw Data'!H116,IFERROR(VALUE(SUBSTITUTE('Raw Data'!H116,",","")),""))</f>
        <v>79075</v>
      </c>
      <c r="I120" s="13">
        <f>IF(ISNUMBER('Raw Data'!I116),'Raw Data'!I116,IFERROR(VALUE(SUBSTITUTE('Raw Data'!I116,",","")),""))</f>
        <v>366</v>
      </c>
      <c r="J120" s="21">
        <f>IF(AND(ISNUMBER(tblClean[[#This Row],[Start Time]]),ISNUMBER(tblClean[[#This Row],[End Time]])),ROUND(MOD(tblClean[[#This Row],[End Time]]-tblClean[[#This Row],[Start Time]],1)*24,2),"")</f>
        <v>1.5</v>
      </c>
      <c r="K120" s="12">
        <f>IF(AND(ISNUMBER(tblClean[[#This Row],[Duration Hours]]),ISNUMBER(tblClean[[#This Row],[Attributed GMV PHP]])),IF(tblClean[[#This Row],[Duration Hours]]&gt;0,tblClean[[#This Row],[Attributed GMV PHP]]/tblClean[[#This Row],[Duration Hours]],""),"")</f>
        <v>10357.333333333334</v>
      </c>
      <c r="L120" s="22">
        <f>IF(ISNUMBER(tblClean[[#This Row],[Date]]),DATE(YEAR(tblClean[[#This Row],[Date]]),MONTH(tblClean[[#This Row],[Date]]),1),"")</f>
        <v>45809</v>
      </c>
      <c r="M120" s="10">
        <f>IF(ISNUMBER(tblClean[[#This Row],[Date]]),tblClean[[#This Row],[Date]]-WEEKDAY(tblClean[[#This Row],[Date]],2)+1,"")</f>
        <v>45831</v>
      </c>
      <c r="N120" s="23">
        <f>IF(ISNUMBER(tblClean[[#This Row],[Week Start]]),(tblClean[[#This Row],[Week Start]]-MIN(tblClean[Week Start]))/7+1,"")</f>
        <v>4</v>
      </c>
      <c r="O120" s="24" t="str">
        <f>IF(ISNUMBER(tblClean[[#This Row],[Date]]),CHOOSE(WEEKDAY(tblClean[[#This Row],[Date]],2),"Mon","Tue","Wed","Thu","Fri","Sat","Sun"),"")</f>
        <v>Sun</v>
      </c>
      <c r="P120" s="24" t="str">
        <f>IF(ISNUMBER(tblClean[[#This Row],[Date]]),IF(WEEKDAY(tblClean[[#This Row],[Date]],2)&gt;=6,"Weekend","Weekday"),"")</f>
        <v>Weekend</v>
      </c>
      <c r="Q12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20" s="9" t="str">
        <f>IF(ISNUMBER(tblClean[[#This Row],[Duration Hours]]),IF(tblClean[[#This Row],[Duration Hours]]&lt;2,"Short (under 2h)",IF(tblClean[[#This Row],[Duration Hours]]&lt;3,"Standard (2h to under 3h)","Long (3h or more)")),"")</f>
        <v>Short (under 2h)</v>
      </c>
      <c r="S12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20" s="24">
        <f>IF(COUNTIF(tblClean[Session ID],tblClean[[#This Row],[Session ID]])&gt;1,1,0)</f>
        <v>0</v>
      </c>
      <c r="U120" s="24">
        <f>IF(OR(N(tblClean[[#This Row],[Attributed GMV PHP]])&lt;0,N(tblClean[[#This Row],[Items Sold]])&lt;0,N(tblClean[[#This Row],[Livestream Views]])&lt;0,N(tblClean[[#This Row],[New Followers]])&lt;0),1,0)</f>
        <v>0</v>
      </c>
      <c r="V120" s="24">
        <f>IF(ISNUMBER(tblClean[[#This Row],[Duration Hours]]),IF(OR(tblClean[[#This Row],[Duration Hours]]&lt;=0,tblClean[[#This Row],[Duration Hours]]&gt;12),1,0),1)</f>
        <v>0</v>
      </c>
      <c r="W120" s="24">
        <f>IF(COUNTIF(HostRoster,tblClean[[#This Row],[Host Name]])=0,1,0)</f>
        <v>0</v>
      </c>
      <c r="X120" s="24">
        <f>IF(tblClean[[#This Row],[Missing Flag]]+tblClean[[#This Row],[Duplicate Flag]]+tblClean[[#This Row],[Negative Flag]]+tblClean[[#This Row],[Duration Flag]]+tblClean[[#This Row],[Host Flag]]=0,1,0)</f>
        <v>1</v>
      </c>
    </row>
    <row r="121" spans="1:24" x14ac:dyDescent="0.3">
      <c r="A121" s="9" t="str">
        <f>TRIM('Raw Data'!A117)</f>
        <v>LS-0113</v>
      </c>
      <c r="B121" s="10">
        <f>IF(ISNUMBER('Raw Data'!B117),INT('Raw Data'!B117),IFERROR(DATEVALUE('Raw Data'!B117),""))</f>
        <v>45837</v>
      </c>
      <c r="C121" s="9" t="str">
        <f>PROPER(TRIM('Raw Data'!C117))</f>
        <v>Bianca Reyes</v>
      </c>
      <c r="D121" s="11">
        <f>IF(ISNUMBER('Raw Data'!D117),MOD('Raw Data'!D117,1),IFERROR(TIMEVALUE('Raw Data'!D117),""))</f>
        <v>0.79166666666666663</v>
      </c>
      <c r="E121" s="11">
        <f>IF(ISNUMBER('Raw Data'!E117),MOD('Raw Data'!E117,1),IFERROR(TIMEVALUE('Raw Data'!E117),""))</f>
        <v>0.875</v>
      </c>
      <c r="F121" s="12">
        <f>IF(ISNUMBER('Raw Data'!F117),'Raw Data'!F117,IFERROR(VALUE(SUBSTITUTE('Raw Data'!F117,",","")),""))</f>
        <v>25262</v>
      </c>
      <c r="G121" s="13">
        <f>IF(ISNUMBER('Raw Data'!G117),'Raw Data'!G117,IFERROR(VALUE(SUBSTITUTE('Raw Data'!G117,",","")),""))</f>
        <v>67</v>
      </c>
      <c r="H121" s="13">
        <f>IF(ISNUMBER('Raw Data'!H117),'Raw Data'!H117,IFERROR(VALUE(SUBSTITUTE('Raw Data'!H117,",","")),""))</f>
        <v>74509</v>
      </c>
      <c r="I121" s="13">
        <f>IF(ISNUMBER('Raw Data'!I117),'Raw Data'!I117,IFERROR(VALUE(SUBSTITUTE('Raw Data'!I117,",","")),""))</f>
        <v>370</v>
      </c>
      <c r="J121" s="21">
        <f>IF(AND(ISNUMBER(tblClean[[#This Row],[Start Time]]),ISNUMBER(tblClean[[#This Row],[End Time]])),ROUND(MOD(tblClean[[#This Row],[End Time]]-tblClean[[#This Row],[Start Time]],1)*24,2),"")</f>
        <v>2</v>
      </c>
      <c r="K121" s="12">
        <f>IF(AND(ISNUMBER(tblClean[[#This Row],[Duration Hours]]),ISNUMBER(tblClean[[#This Row],[Attributed GMV PHP]])),IF(tblClean[[#This Row],[Duration Hours]]&gt;0,tblClean[[#This Row],[Attributed GMV PHP]]/tblClean[[#This Row],[Duration Hours]],""),"")</f>
        <v>12631</v>
      </c>
      <c r="L121" s="22">
        <f>IF(ISNUMBER(tblClean[[#This Row],[Date]]),DATE(YEAR(tblClean[[#This Row],[Date]]),MONTH(tblClean[[#This Row],[Date]]),1),"")</f>
        <v>45809</v>
      </c>
      <c r="M121" s="10">
        <f>IF(ISNUMBER(tblClean[[#This Row],[Date]]),tblClean[[#This Row],[Date]]-WEEKDAY(tblClean[[#This Row],[Date]],2)+1,"")</f>
        <v>45831</v>
      </c>
      <c r="N121" s="23">
        <f>IF(ISNUMBER(tblClean[[#This Row],[Week Start]]),(tblClean[[#This Row],[Week Start]]-MIN(tblClean[Week Start]))/7+1,"")</f>
        <v>4</v>
      </c>
      <c r="O121" s="24" t="str">
        <f>IF(ISNUMBER(tblClean[[#This Row],[Date]]),CHOOSE(WEEKDAY(tblClean[[#This Row],[Date]],2),"Mon","Tue","Wed","Thu","Fri","Sat","Sun"),"")</f>
        <v>Sun</v>
      </c>
      <c r="P121" s="24" t="str">
        <f>IF(ISNUMBER(tblClean[[#This Row],[Date]]),IF(WEEKDAY(tblClean[[#This Row],[Date]],2)&gt;=6,"Weekend","Weekday"),"")</f>
        <v>Weekend</v>
      </c>
      <c r="Q12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21" s="9" t="str">
        <f>IF(ISNUMBER(tblClean[[#This Row],[Duration Hours]]),IF(tblClean[[#This Row],[Duration Hours]]&lt;2,"Short (under 2h)",IF(tblClean[[#This Row],[Duration Hours]]&lt;3,"Standard (2h to under 3h)","Long (3h or more)")),"")</f>
        <v>Standard (2h to under 3h)</v>
      </c>
      <c r="S12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21" s="24">
        <f>IF(COUNTIF(tblClean[Session ID],tblClean[[#This Row],[Session ID]])&gt;1,1,0)</f>
        <v>0</v>
      </c>
      <c r="U121" s="24">
        <f>IF(OR(N(tblClean[[#This Row],[Attributed GMV PHP]])&lt;0,N(tblClean[[#This Row],[Items Sold]])&lt;0,N(tblClean[[#This Row],[Livestream Views]])&lt;0,N(tblClean[[#This Row],[New Followers]])&lt;0),1,0)</f>
        <v>0</v>
      </c>
      <c r="V121" s="24">
        <f>IF(ISNUMBER(tblClean[[#This Row],[Duration Hours]]),IF(OR(tblClean[[#This Row],[Duration Hours]]&lt;=0,tblClean[[#This Row],[Duration Hours]]&gt;12),1,0),1)</f>
        <v>0</v>
      </c>
      <c r="W121" s="24">
        <f>IF(COUNTIF(HostRoster,tblClean[[#This Row],[Host Name]])=0,1,0)</f>
        <v>0</v>
      </c>
      <c r="X121" s="24">
        <f>IF(tblClean[[#This Row],[Missing Flag]]+tblClean[[#This Row],[Duplicate Flag]]+tblClean[[#This Row],[Negative Flag]]+tblClean[[#This Row],[Duration Flag]]+tblClean[[#This Row],[Host Flag]]=0,1,0)</f>
        <v>1</v>
      </c>
    </row>
    <row r="122" spans="1:24" x14ac:dyDescent="0.3">
      <c r="A122" s="9" t="str">
        <f>TRIM('Raw Data'!A118)</f>
        <v>LS-0114</v>
      </c>
      <c r="B122" s="10">
        <f>IF(ISNUMBER('Raw Data'!B118),INT('Raw Data'!B118),IFERROR(DATEVALUE('Raw Data'!B118),""))</f>
        <v>45837</v>
      </c>
      <c r="C122" s="9" t="str">
        <f>PROPER(TRIM('Raw Data'!C118))</f>
        <v>Bianca Reyes</v>
      </c>
      <c r="D122" s="11">
        <f>IF(ISNUMBER('Raw Data'!D118),MOD('Raw Data'!D118,1),IFERROR(TIMEVALUE('Raw Data'!D118),""))</f>
        <v>0.91666666666666663</v>
      </c>
      <c r="E122" s="11">
        <f>IF(ISNUMBER('Raw Data'!E118),MOD('Raw Data'!E118,1),IFERROR(TIMEVALUE('Raw Data'!E118),""))</f>
        <v>0</v>
      </c>
      <c r="F122" s="12">
        <f>IF(ISNUMBER('Raw Data'!F118),'Raw Data'!F118,IFERROR(VALUE(SUBSTITUTE('Raw Data'!F118,",","")),""))</f>
        <v>50597</v>
      </c>
      <c r="G122" s="13">
        <f>IF(ISNUMBER('Raw Data'!G118),'Raw Data'!G118,IFERROR(VALUE(SUBSTITUTE('Raw Data'!G118,",","")),""))</f>
        <v>174</v>
      </c>
      <c r="H122" s="13">
        <f>IF(ISNUMBER('Raw Data'!H118),'Raw Data'!H118,IFERROR(VALUE(SUBSTITUTE('Raw Data'!H118,",","")),""))</f>
        <v>164697</v>
      </c>
      <c r="I122" s="13">
        <f>IF(ISNUMBER('Raw Data'!I118),'Raw Data'!I118,IFERROR(VALUE(SUBSTITUTE('Raw Data'!I118,",","")),""))</f>
        <v>1152</v>
      </c>
      <c r="J122" s="21">
        <f>IF(AND(ISNUMBER(tblClean[[#This Row],[Start Time]]),ISNUMBER(tblClean[[#This Row],[End Time]])),ROUND(MOD(tblClean[[#This Row],[End Time]]-tblClean[[#This Row],[Start Time]],1)*24,2),"")</f>
        <v>2</v>
      </c>
      <c r="K122" s="12">
        <f>IF(AND(ISNUMBER(tblClean[[#This Row],[Duration Hours]]),ISNUMBER(tblClean[[#This Row],[Attributed GMV PHP]])),IF(tblClean[[#This Row],[Duration Hours]]&gt;0,tblClean[[#This Row],[Attributed GMV PHP]]/tblClean[[#This Row],[Duration Hours]],""),"")</f>
        <v>25298.5</v>
      </c>
      <c r="L122" s="22">
        <f>IF(ISNUMBER(tblClean[[#This Row],[Date]]),DATE(YEAR(tblClean[[#This Row],[Date]]),MONTH(tblClean[[#This Row],[Date]]),1),"")</f>
        <v>45809</v>
      </c>
      <c r="M122" s="10">
        <f>IF(ISNUMBER(tblClean[[#This Row],[Date]]),tblClean[[#This Row],[Date]]-WEEKDAY(tblClean[[#This Row],[Date]],2)+1,"")</f>
        <v>45831</v>
      </c>
      <c r="N122" s="23">
        <f>IF(ISNUMBER(tblClean[[#This Row],[Week Start]]),(tblClean[[#This Row],[Week Start]]-MIN(tblClean[Week Start]))/7+1,"")</f>
        <v>4</v>
      </c>
      <c r="O122" s="24" t="str">
        <f>IF(ISNUMBER(tblClean[[#This Row],[Date]]),CHOOSE(WEEKDAY(tblClean[[#This Row],[Date]],2),"Mon","Tue","Wed","Thu","Fri","Sat","Sun"),"")</f>
        <v>Sun</v>
      </c>
      <c r="P122" s="24" t="str">
        <f>IF(ISNUMBER(tblClean[[#This Row],[Date]]),IF(WEEKDAY(tblClean[[#This Row],[Date]],2)&gt;=6,"Weekend","Weekday"),"")</f>
        <v>Weekend</v>
      </c>
      <c r="Q12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22" s="9" t="str">
        <f>IF(ISNUMBER(tblClean[[#This Row],[Duration Hours]]),IF(tblClean[[#This Row],[Duration Hours]]&lt;2,"Short (under 2h)",IF(tblClean[[#This Row],[Duration Hours]]&lt;3,"Standard (2h to under 3h)","Long (3h or more)")),"")</f>
        <v>Standard (2h to under 3h)</v>
      </c>
      <c r="S12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22" s="24">
        <f>IF(COUNTIF(tblClean[Session ID],tblClean[[#This Row],[Session ID]])&gt;1,1,0)</f>
        <v>0</v>
      </c>
      <c r="U122" s="24">
        <f>IF(OR(N(tblClean[[#This Row],[Attributed GMV PHP]])&lt;0,N(tblClean[[#This Row],[Items Sold]])&lt;0,N(tblClean[[#This Row],[Livestream Views]])&lt;0,N(tblClean[[#This Row],[New Followers]])&lt;0),1,0)</f>
        <v>0</v>
      </c>
      <c r="V122" s="24">
        <f>IF(ISNUMBER(tblClean[[#This Row],[Duration Hours]]),IF(OR(tblClean[[#This Row],[Duration Hours]]&lt;=0,tblClean[[#This Row],[Duration Hours]]&gt;12),1,0),1)</f>
        <v>0</v>
      </c>
      <c r="W122" s="24">
        <f>IF(COUNTIF(HostRoster,tblClean[[#This Row],[Host Name]])=0,1,0)</f>
        <v>0</v>
      </c>
      <c r="X122" s="24">
        <f>IF(tblClean[[#This Row],[Missing Flag]]+tblClean[[#This Row],[Duplicate Flag]]+tblClean[[#This Row],[Negative Flag]]+tblClean[[#This Row],[Duration Flag]]+tblClean[[#This Row],[Host Flag]]=0,1,0)</f>
        <v>1</v>
      </c>
    </row>
    <row r="123" spans="1:24" x14ac:dyDescent="0.3">
      <c r="A123" s="9" t="str">
        <f>TRIM('Raw Data'!A119)</f>
        <v>LS-0115</v>
      </c>
      <c r="B123" s="10">
        <f>IF(ISNUMBER('Raw Data'!B119),INT('Raw Data'!B119),IFERROR(DATEVALUE('Raw Data'!B119),""))</f>
        <v>45838</v>
      </c>
      <c r="C123" s="9" t="str">
        <f>PROPER(TRIM('Raw Data'!C119))</f>
        <v>Aira Valdez</v>
      </c>
      <c r="D123" s="11">
        <f>IF(ISNUMBER('Raw Data'!D119),MOD('Raw Data'!D119,1),IFERROR(TIMEVALUE('Raw Data'!D119),""))</f>
        <v>0.66666666666666663</v>
      </c>
      <c r="E123" s="11">
        <f>IF(ISNUMBER('Raw Data'!E119),MOD('Raw Data'!E119,1),IFERROR(TIMEVALUE('Raw Data'!E119),""))</f>
        <v>0.72916666666666663</v>
      </c>
      <c r="F123" s="12">
        <f>IF(ISNUMBER('Raw Data'!F119),'Raw Data'!F119,IFERROR(VALUE(SUBSTITUTE('Raw Data'!F119,",","")),""))</f>
        <v>23284</v>
      </c>
      <c r="G123" s="13">
        <f>IF(ISNUMBER('Raw Data'!G119),'Raw Data'!G119,IFERROR(VALUE(SUBSTITUTE('Raw Data'!G119,",","")),""))</f>
        <v>56</v>
      </c>
      <c r="H123" s="13">
        <f>IF(ISNUMBER('Raw Data'!H119),'Raw Data'!H119,IFERROR(VALUE(SUBSTITUTE('Raw Data'!H119,",","")),""))</f>
        <v>53695</v>
      </c>
      <c r="I123" s="13">
        <f>IF(ISNUMBER('Raw Data'!I119),'Raw Data'!I119,IFERROR(VALUE(SUBSTITUTE('Raw Data'!I119,",","")),""))</f>
        <v>294</v>
      </c>
      <c r="J123" s="21">
        <f>IF(AND(ISNUMBER(tblClean[[#This Row],[Start Time]]),ISNUMBER(tblClean[[#This Row],[End Time]])),ROUND(MOD(tblClean[[#This Row],[End Time]]-tblClean[[#This Row],[Start Time]],1)*24,2),"")</f>
        <v>1.5</v>
      </c>
      <c r="K123" s="12">
        <f>IF(AND(ISNUMBER(tblClean[[#This Row],[Duration Hours]]),ISNUMBER(tblClean[[#This Row],[Attributed GMV PHP]])),IF(tblClean[[#This Row],[Duration Hours]]&gt;0,tblClean[[#This Row],[Attributed GMV PHP]]/tblClean[[#This Row],[Duration Hours]],""),"")</f>
        <v>15522.666666666666</v>
      </c>
      <c r="L123" s="22">
        <f>IF(ISNUMBER(tblClean[[#This Row],[Date]]),DATE(YEAR(tblClean[[#This Row],[Date]]),MONTH(tblClean[[#This Row],[Date]]),1),"")</f>
        <v>45809</v>
      </c>
      <c r="M123" s="10">
        <f>IF(ISNUMBER(tblClean[[#This Row],[Date]]),tblClean[[#This Row],[Date]]-WEEKDAY(tblClean[[#This Row],[Date]],2)+1,"")</f>
        <v>45838</v>
      </c>
      <c r="N123" s="23">
        <f>IF(ISNUMBER(tblClean[[#This Row],[Week Start]]),(tblClean[[#This Row],[Week Start]]-MIN(tblClean[Week Start]))/7+1,"")</f>
        <v>5</v>
      </c>
      <c r="O123" s="24" t="str">
        <f>IF(ISNUMBER(tblClean[[#This Row],[Date]]),CHOOSE(WEEKDAY(tblClean[[#This Row],[Date]],2),"Mon","Tue","Wed","Thu","Fri","Sat","Sun"),"")</f>
        <v>Mon</v>
      </c>
      <c r="P123" s="24" t="str">
        <f>IF(ISNUMBER(tblClean[[#This Row],[Date]]),IF(WEEKDAY(tblClean[[#This Row],[Date]],2)&gt;=6,"Weekend","Weekday"),"")</f>
        <v>Weekday</v>
      </c>
      <c r="Q12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23" s="9" t="str">
        <f>IF(ISNUMBER(tblClean[[#This Row],[Duration Hours]]),IF(tblClean[[#This Row],[Duration Hours]]&lt;2,"Short (under 2h)",IF(tblClean[[#This Row],[Duration Hours]]&lt;3,"Standard (2h to under 3h)","Long (3h or more)")),"")</f>
        <v>Short (under 2h)</v>
      </c>
      <c r="S12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23" s="24">
        <f>IF(COUNTIF(tblClean[Session ID],tblClean[[#This Row],[Session ID]])&gt;1,1,0)</f>
        <v>0</v>
      </c>
      <c r="U123" s="24">
        <f>IF(OR(N(tblClean[[#This Row],[Attributed GMV PHP]])&lt;0,N(tblClean[[#This Row],[Items Sold]])&lt;0,N(tblClean[[#This Row],[Livestream Views]])&lt;0,N(tblClean[[#This Row],[New Followers]])&lt;0),1,0)</f>
        <v>0</v>
      </c>
      <c r="V123" s="24">
        <f>IF(ISNUMBER(tblClean[[#This Row],[Duration Hours]]),IF(OR(tblClean[[#This Row],[Duration Hours]]&lt;=0,tblClean[[#This Row],[Duration Hours]]&gt;12),1,0),1)</f>
        <v>0</v>
      </c>
      <c r="W123" s="24">
        <f>IF(COUNTIF(HostRoster,tblClean[[#This Row],[Host Name]])=0,1,0)</f>
        <v>0</v>
      </c>
      <c r="X123" s="24">
        <f>IF(tblClean[[#This Row],[Missing Flag]]+tblClean[[#This Row],[Duplicate Flag]]+tblClean[[#This Row],[Negative Flag]]+tblClean[[#This Row],[Duration Flag]]+tblClean[[#This Row],[Host Flag]]=0,1,0)</f>
        <v>1</v>
      </c>
    </row>
    <row r="124" spans="1:24" x14ac:dyDescent="0.3">
      <c r="A124" s="9" t="str">
        <f>TRIM('Raw Data'!A120)</f>
        <v>LS-0116</v>
      </c>
      <c r="B124" s="10">
        <f>IF(ISNUMBER('Raw Data'!B120),INT('Raw Data'!B120),IFERROR(DATEVALUE('Raw Data'!B120),""))</f>
        <v>45838</v>
      </c>
      <c r="C124" s="9" t="str">
        <f>PROPER(TRIM('Raw Data'!C120))</f>
        <v>Aira Valdez</v>
      </c>
      <c r="D124" s="11">
        <f>IF(ISNUMBER('Raw Data'!D120),MOD('Raw Data'!D120,1),IFERROR(TIMEVALUE('Raw Data'!D120),""))</f>
        <v>0.79166666666666663</v>
      </c>
      <c r="E124" s="11">
        <f>IF(ISNUMBER('Raw Data'!E120),MOD('Raw Data'!E120,1),IFERROR(TIMEVALUE('Raw Data'!E120),""))</f>
        <v>0.89583333333333337</v>
      </c>
      <c r="F124" s="12">
        <f>IF(ISNUMBER('Raw Data'!F120),'Raw Data'!F120,IFERROR(VALUE(SUBSTITUTE('Raw Data'!F120,",","")),""))</f>
        <v>57532</v>
      </c>
      <c r="G124" s="13">
        <f>IF(ISNUMBER('Raw Data'!G120),'Raw Data'!G120,IFERROR(VALUE(SUBSTITUTE('Raw Data'!G120,",","")),""))</f>
        <v>190</v>
      </c>
      <c r="H124" s="13">
        <f>IF(ISNUMBER('Raw Data'!H120),'Raw Data'!H120,IFERROR(VALUE(SUBSTITUTE('Raw Data'!H120,",","")),""))</f>
        <v>176723</v>
      </c>
      <c r="I124" s="13">
        <f>IF(ISNUMBER('Raw Data'!I120),'Raw Data'!I120,IFERROR(VALUE(SUBSTITUTE('Raw Data'!I120,",","")),""))</f>
        <v>889</v>
      </c>
      <c r="J124" s="21">
        <f>IF(AND(ISNUMBER(tblClean[[#This Row],[Start Time]]),ISNUMBER(tblClean[[#This Row],[End Time]])),ROUND(MOD(tblClean[[#This Row],[End Time]]-tblClean[[#This Row],[Start Time]],1)*24,2),"")</f>
        <v>2.5</v>
      </c>
      <c r="K124" s="12">
        <f>IF(AND(ISNUMBER(tblClean[[#This Row],[Duration Hours]]),ISNUMBER(tblClean[[#This Row],[Attributed GMV PHP]])),IF(tblClean[[#This Row],[Duration Hours]]&gt;0,tblClean[[#This Row],[Attributed GMV PHP]]/tblClean[[#This Row],[Duration Hours]],""),"")</f>
        <v>23012.799999999999</v>
      </c>
      <c r="L124" s="22">
        <f>IF(ISNUMBER(tblClean[[#This Row],[Date]]),DATE(YEAR(tblClean[[#This Row],[Date]]),MONTH(tblClean[[#This Row],[Date]]),1),"")</f>
        <v>45809</v>
      </c>
      <c r="M124" s="10">
        <f>IF(ISNUMBER(tblClean[[#This Row],[Date]]),tblClean[[#This Row],[Date]]-WEEKDAY(tblClean[[#This Row],[Date]],2)+1,"")</f>
        <v>45838</v>
      </c>
      <c r="N124" s="23">
        <f>IF(ISNUMBER(tblClean[[#This Row],[Week Start]]),(tblClean[[#This Row],[Week Start]]-MIN(tblClean[Week Start]))/7+1,"")</f>
        <v>5</v>
      </c>
      <c r="O124" s="24" t="str">
        <f>IF(ISNUMBER(tblClean[[#This Row],[Date]]),CHOOSE(WEEKDAY(tblClean[[#This Row],[Date]],2),"Mon","Tue","Wed","Thu","Fri","Sat","Sun"),"")</f>
        <v>Mon</v>
      </c>
      <c r="P124" s="24" t="str">
        <f>IF(ISNUMBER(tblClean[[#This Row],[Date]]),IF(WEEKDAY(tblClean[[#This Row],[Date]],2)&gt;=6,"Weekend","Weekday"),"")</f>
        <v>Weekday</v>
      </c>
      <c r="Q12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24" s="9" t="str">
        <f>IF(ISNUMBER(tblClean[[#This Row],[Duration Hours]]),IF(tblClean[[#This Row],[Duration Hours]]&lt;2,"Short (under 2h)",IF(tblClean[[#This Row],[Duration Hours]]&lt;3,"Standard (2h to under 3h)","Long (3h or more)")),"")</f>
        <v>Standard (2h to under 3h)</v>
      </c>
      <c r="S12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24" s="24">
        <f>IF(COUNTIF(tblClean[Session ID],tblClean[[#This Row],[Session ID]])&gt;1,1,0)</f>
        <v>0</v>
      </c>
      <c r="U124" s="24">
        <f>IF(OR(N(tblClean[[#This Row],[Attributed GMV PHP]])&lt;0,N(tblClean[[#This Row],[Items Sold]])&lt;0,N(tblClean[[#This Row],[Livestream Views]])&lt;0,N(tblClean[[#This Row],[New Followers]])&lt;0),1,0)</f>
        <v>0</v>
      </c>
      <c r="V124" s="24">
        <f>IF(ISNUMBER(tblClean[[#This Row],[Duration Hours]]),IF(OR(tblClean[[#This Row],[Duration Hours]]&lt;=0,tblClean[[#This Row],[Duration Hours]]&gt;12),1,0),1)</f>
        <v>0</v>
      </c>
      <c r="W124" s="24">
        <f>IF(COUNTIF(HostRoster,tblClean[[#This Row],[Host Name]])=0,1,0)</f>
        <v>0</v>
      </c>
      <c r="X124" s="24">
        <f>IF(tblClean[[#This Row],[Missing Flag]]+tblClean[[#This Row],[Duplicate Flag]]+tblClean[[#This Row],[Negative Flag]]+tblClean[[#This Row],[Duration Flag]]+tblClean[[#This Row],[Host Flag]]=0,1,0)</f>
        <v>1</v>
      </c>
    </row>
    <row r="125" spans="1:24" x14ac:dyDescent="0.3">
      <c r="A125" s="9" t="str">
        <f>TRIM('Raw Data'!A121)</f>
        <v>LS-0117</v>
      </c>
      <c r="B125" s="10">
        <f>IF(ISNUMBER('Raw Data'!B121),INT('Raw Data'!B121),IFERROR(DATEVALUE('Raw Data'!B121),""))</f>
        <v>45838</v>
      </c>
      <c r="C125" s="9" t="str">
        <f>PROPER(TRIM('Raw Data'!C121))</f>
        <v>Bianca Reyes</v>
      </c>
      <c r="D125" s="11">
        <f>IF(ISNUMBER('Raw Data'!D121),MOD('Raw Data'!D121,1),IFERROR(TIMEVALUE('Raw Data'!D121),""))</f>
        <v>0.91666666666666663</v>
      </c>
      <c r="E125" s="11">
        <f>IF(ISNUMBER('Raw Data'!E121),MOD('Raw Data'!E121,1),IFERROR(TIMEVALUE('Raw Data'!E121),""))</f>
        <v>0</v>
      </c>
      <c r="F125" s="12">
        <f>IF(ISNUMBER('Raw Data'!F121),'Raw Data'!F121,IFERROR(VALUE(SUBSTITUTE('Raw Data'!F121,",","")),""))</f>
        <v>28510</v>
      </c>
      <c r="G125" s="13">
        <f>IF(ISNUMBER('Raw Data'!G121),'Raw Data'!G121,IFERROR(VALUE(SUBSTITUTE('Raw Data'!G121,",","")),""))</f>
        <v>82</v>
      </c>
      <c r="H125" s="13">
        <f>IF(ISNUMBER('Raw Data'!H121),'Raw Data'!H121,IFERROR(VALUE(SUBSTITUTE('Raw Data'!H121,",","")),""))</f>
        <v>90159</v>
      </c>
      <c r="I125" s="13">
        <f>IF(ISNUMBER('Raw Data'!I121),'Raw Data'!I121,IFERROR(VALUE(SUBSTITUTE('Raw Data'!I121,",","")),""))</f>
        <v>891</v>
      </c>
      <c r="J125" s="21">
        <f>IF(AND(ISNUMBER(tblClean[[#This Row],[Start Time]]),ISNUMBER(tblClean[[#This Row],[End Time]])),ROUND(MOD(tblClean[[#This Row],[End Time]]-tblClean[[#This Row],[Start Time]],1)*24,2),"")</f>
        <v>2</v>
      </c>
      <c r="K125" s="12">
        <f>IF(AND(ISNUMBER(tblClean[[#This Row],[Duration Hours]]),ISNUMBER(tblClean[[#This Row],[Attributed GMV PHP]])),IF(tblClean[[#This Row],[Duration Hours]]&gt;0,tblClean[[#This Row],[Attributed GMV PHP]]/tblClean[[#This Row],[Duration Hours]],""),"")</f>
        <v>14255</v>
      </c>
      <c r="L125" s="22">
        <f>IF(ISNUMBER(tblClean[[#This Row],[Date]]),DATE(YEAR(tblClean[[#This Row],[Date]]),MONTH(tblClean[[#This Row],[Date]]),1),"")</f>
        <v>45809</v>
      </c>
      <c r="M125" s="10">
        <f>IF(ISNUMBER(tblClean[[#This Row],[Date]]),tblClean[[#This Row],[Date]]-WEEKDAY(tblClean[[#This Row],[Date]],2)+1,"")</f>
        <v>45838</v>
      </c>
      <c r="N125" s="23">
        <f>IF(ISNUMBER(tblClean[[#This Row],[Week Start]]),(tblClean[[#This Row],[Week Start]]-MIN(tblClean[Week Start]))/7+1,"")</f>
        <v>5</v>
      </c>
      <c r="O125" s="24" t="str">
        <f>IF(ISNUMBER(tblClean[[#This Row],[Date]]),CHOOSE(WEEKDAY(tblClean[[#This Row],[Date]],2),"Mon","Tue","Wed","Thu","Fri","Sat","Sun"),"")</f>
        <v>Mon</v>
      </c>
      <c r="P125" s="24" t="str">
        <f>IF(ISNUMBER(tblClean[[#This Row],[Date]]),IF(WEEKDAY(tblClean[[#This Row],[Date]],2)&gt;=6,"Weekend","Weekday"),"")</f>
        <v>Weekday</v>
      </c>
      <c r="Q12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25" s="9" t="str">
        <f>IF(ISNUMBER(tblClean[[#This Row],[Duration Hours]]),IF(tblClean[[#This Row],[Duration Hours]]&lt;2,"Short (under 2h)",IF(tblClean[[#This Row],[Duration Hours]]&lt;3,"Standard (2h to under 3h)","Long (3h or more)")),"")</f>
        <v>Standard (2h to under 3h)</v>
      </c>
      <c r="S12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25" s="24">
        <f>IF(COUNTIF(tblClean[Session ID],tblClean[[#This Row],[Session ID]])&gt;1,1,0)</f>
        <v>0</v>
      </c>
      <c r="U125" s="24">
        <f>IF(OR(N(tblClean[[#This Row],[Attributed GMV PHP]])&lt;0,N(tblClean[[#This Row],[Items Sold]])&lt;0,N(tblClean[[#This Row],[Livestream Views]])&lt;0,N(tblClean[[#This Row],[New Followers]])&lt;0),1,0)</f>
        <v>0</v>
      </c>
      <c r="V125" s="24">
        <f>IF(ISNUMBER(tblClean[[#This Row],[Duration Hours]]),IF(OR(tblClean[[#This Row],[Duration Hours]]&lt;=0,tblClean[[#This Row],[Duration Hours]]&gt;12),1,0),1)</f>
        <v>0</v>
      </c>
      <c r="W125" s="24">
        <f>IF(COUNTIF(HostRoster,tblClean[[#This Row],[Host Name]])=0,1,0)</f>
        <v>0</v>
      </c>
      <c r="X125" s="24">
        <f>IF(tblClean[[#This Row],[Missing Flag]]+tblClean[[#This Row],[Duplicate Flag]]+tblClean[[#This Row],[Negative Flag]]+tblClean[[#This Row],[Duration Flag]]+tblClean[[#This Row],[Host Flag]]=0,1,0)</f>
        <v>1</v>
      </c>
    </row>
    <row r="126" spans="1:24" x14ac:dyDescent="0.3">
      <c r="A126" s="9" t="str">
        <f>TRIM('Raw Data'!A122)</f>
        <v>LS-0118</v>
      </c>
      <c r="B126" s="10">
        <f>IF(ISNUMBER('Raw Data'!B122),INT('Raw Data'!B122),IFERROR(DATEVALUE('Raw Data'!B122),""))</f>
        <v>45839</v>
      </c>
      <c r="C126" s="9" t="str">
        <f>PROPER(TRIM('Raw Data'!C122))</f>
        <v>Bianca Reyes</v>
      </c>
      <c r="D126" s="11">
        <f>IF(ISNUMBER('Raw Data'!D122),MOD('Raw Data'!D122,1),IFERROR(TIMEVALUE('Raw Data'!D122),""))</f>
        <v>0.54166666666666663</v>
      </c>
      <c r="E126" s="11">
        <f>IF(ISNUMBER('Raw Data'!E122),MOD('Raw Data'!E122,1),IFERROR(TIMEVALUE('Raw Data'!E122),""))</f>
        <v>0.625</v>
      </c>
      <c r="F126" s="12">
        <f>IF(ISNUMBER('Raw Data'!F122),'Raw Data'!F122,IFERROR(VALUE(SUBSTITUTE('Raw Data'!F122,",","")),""))</f>
        <v>16222</v>
      </c>
      <c r="G126" s="13">
        <f>IF(ISNUMBER('Raw Data'!G122),'Raw Data'!G122,IFERROR(VALUE(SUBSTITUTE('Raw Data'!G122,",","")),""))</f>
        <v>50</v>
      </c>
      <c r="H126" s="13">
        <f>IF(ISNUMBER('Raw Data'!H122),'Raw Data'!H122,IFERROR(VALUE(SUBSTITUTE('Raw Data'!H122,",","")),""))</f>
        <v>63978</v>
      </c>
      <c r="I126" s="13">
        <f>IF(ISNUMBER('Raw Data'!I122),'Raw Data'!I122,IFERROR(VALUE(SUBSTITUTE('Raw Data'!I122,",","")),""))</f>
        <v>504</v>
      </c>
      <c r="J126" s="21">
        <f>IF(AND(ISNUMBER(tblClean[[#This Row],[Start Time]]),ISNUMBER(tblClean[[#This Row],[End Time]])),ROUND(MOD(tblClean[[#This Row],[End Time]]-tblClean[[#This Row],[Start Time]],1)*24,2),"")</f>
        <v>2</v>
      </c>
      <c r="K126" s="12">
        <f>IF(AND(ISNUMBER(tblClean[[#This Row],[Duration Hours]]),ISNUMBER(tblClean[[#This Row],[Attributed GMV PHP]])),IF(tblClean[[#This Row],[Duration Hours]]&gt;0,tblClean[[#This Row],[Attributed GMV PHP]]/tblClean[[#This Row],[Duration Hours]],""),"")</f>
        <v>8111</v>
      </c>
      <c r="L126" s="22">
        <f>IF(ISNUMBER(tblClean[[#This Row],[Date]]),DATE(YEAR(tblClean[[#This Row],[Date]]),MONTH(tblClean[[#This Row],[Date]]),1),"")</f>
        <v>45839</v>
      </c>
      <c r="M126" s="10">
        <f>IF(ISNUMBER(tblClean[[#This Row],[Date]]),tblClean[[#This Row],[Date]]-WEEKDAY(tblClean[[#This Row],[Date]],2)+1,"")</f>
        <v>45838</v>
      </c>
      <c r="N126" s="23">
        <f>IF(ISNUMBER(tblClean[[#This Row],[Week Start]]),(tblClean[[#This Row],[Week Start]]-MIN(tblClean[Week Start]))/7+1,"")</f>
        <v>5</v>
      </c>
      <c r="O126" s="24" t="str">
        <f>IF(ISNUMBER(tblClean[[#This Row],[Date]]),CHOOSE(WEEKDAY(tblClean[[#This Row],[Date]],2),"Mon","Tue","Wed","Thu","Fri","Sat","Sun"),"")</f>
        <v>Tue</v>
      </c>
      <c r="P126" s="24" t="str">
        <f>IF(ISNUMBER(tblClean[[#This Row],[Date]]),IF(WEEKDAY(tblClean[[#This Row],[Date]],2)&gt;=6,"Weekend","Weekday"),"")</f>
        <v>Weekday</v>
      </c>
      <c r="Q12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26" s="9" t="str">
        <f>IF(ISNUMBER(tblClean[[#This Row],[Duration Hours]]),IF(tblClean[[#This Row],[Duration Hours]]&lt;2,"Short (under 2h)",IF(tblClean[[#This Row],[Duration Hours]]&lt;3,"Standard (2h to under 3h)","Long (3h or more)")),"")</f>
        <v>Standard (2h to under 3h)</v>
      </c>
      <c r="S12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26" s="24">
        <f>IF(COUNTIF(tblClean[Session ID],tblClean[[#This Row],[Session ID]])&gt;1,1,0)</f>
        <v>0</v>
      </c>
      <c r="U126" s="24">
        <f>IF(OR(N(tblClean[[#This Row],[Attributed GMV PHP]])&lt;0,N(tblClean[[#This Row],[Items Sold]])&lt;0,N(tblClean[[#This Row],[Livestream Views]])&lt;0,N(tblClean[[#This Row],[New Followers]])&lt;0),1,0)</f>
        <v>0</v>
      </c>
      <c r="V126" s="24">
        <f>IF(ISNUMBER(tblClean[[#This Row],[Duration Hours]]),IF(OR(tblClean[[#This Row],[Duration Hours]]&lt;=0,tblClean[[#This Row],[Duration Hours]]&gt;12),1,0),1)</f>
        <v>0</v>
      </c>
      <c r="W126" s="24">
        <f>IF(COUNTIF(HostRoster,tblClean[[#This Row],[Host Name]])=0,1,0)</f>
        <v>0</v>
      </c>
      <c r="X126" s="24">
        <f>IF(tblClean[[#This Row],[Missing Flag]]+tblClean[[#This Row],[Duplicate Flag]]+tblClean[[#This Row],[Negative Flag]]+tblClean[[#This Row],[Duration Flag]]+tblClean[[#This Row],[Host Flag]]=0,1,0)</f>
        <v>1</v>
      </c>
    </row>
    <row r="127" spans="1:24" x14ac:dyDescent="0.3">
      <c r="A127" s="9" t="str">
        <f>TRIM('Raw Data'!A123)</f>
        <v>LS-0119</v>
      </c>
      <c r="B127" s="10">
        <f>IF(ISNUMBER('Raw Data'!B123),INT('Raw Data'!B123),IFERROR(DATEVALUE('Raw Data'!B123),""))</f>
        <v>45839</v>
      </c>
      <c r="C127" s="9" t="str">
        <f>PROPER(TRIM('Raw Data'!C123))</f>
        <v>Aira Valdez</v>
      </c>
      <c r="D127" s="11">
        <f>IF(ISNUMBER('Raw Data'!D123),MOD('Raw Data'!D123,1),IFERROR(TIMEVALUE('Raw Data'!D123),""))</f>
        <v>0.66666666666666663</v>
      </c>
      <c r="E127" s="11">
        <f>IF(ISNUMBER('Raw Data'!E123),MOD('Raw Data'!E123,1),IFERROR(TIMEVALUE('Raw Data'!E123),""))</f>
        <v>0.77083333333333337</v>
      </c>
      <c r="F127" s="12">
        <f>IF(ISNUMBER('Raw Data'!F123),'Raw Data'!F123,IFERROR(VALUE(SUBSTITUTE('Raw Data'!F123,",","")),""))</f>
        <v>27374</v>
      </c>
      <c r="G127" s="13">
        <f>IF(ISNUMBER('Raw Data'!G123),'Raw Data'!G123,IFERROR(VALUE(SUBSTITUTE('Raw Data'!G123,",","")),""))</f>
        <v>71</v>
      </c>
      <c r="H127" s="13">
        <f>IF(ISNUMBER('Raw Data'!H123),'Raw Data'!H123,IFERROR(VALUE(SUBSTITUTE('Raw Data'!H123,",","")),""))</f>
        <v>92258</v>
      </c>
      <c r="I127" s="13">
        <f>IF(ISNUMBER('Raw Data'!I123),'Raw Data'!I123,IFERROR(VALUE(SUBSTITUTE('Raw Data'!I123,",","")),""))</f>
        <v>761</v>
      </c>
      <c r="J127" s="21">
        <f>IF(AND(ISNUMBER(tblClean[[#This Row],[Start Time]]),ISNUMBER(tblClean[[#This Row],[End Time]])),ROUND(MOD(tblClean[[#This Row],[End Time]]-tblClean[[#This Row],[Start Time]],1)*24,2),"")</f>
        <v>2.5</v>
      </c>
      <c r="K127" s="12">
        <f>IF(AND(ISNUMBER(tblClean[[#This Row],[Duration Hours]]),ISNUMBER(tblClean[[#This Row],[Attributed GMV PHP]])),IF(tblClean[[#This Row],[Duration Hours]]&gt;0,tblClean[[#This Row],[Attributed GMV PHP]]/tblClean[[#This Row],[Duration Hours]],""),"")</f>
        <v>10949.6</v>
      </c>
      <c r="L127" s="22">
        <f>IF(ISNUMBER(tblClean[[#This Row],[Date]]),DATE(YEAR(tblClean[[#This Row],[Date]]),MONTH(tblClean[[#This Row],[Date]]),1),"")</f>
        <v>45839</v>
      </c>
      <c r="M127" s="10">
        <f>IF(ISNUMBER(tblClean[[#This Row],[Date]]),tblClean[[#This Row],[Date]]-WEEKDAY(tblClean[[#This Row],[Date]],2)+1,"")</f>
        <v>45838</v>
      </c>
      <c r="N127" s="23">
        <f>IF(ISNUMBER(tblClean[[#This Row],[Week Start]]),(tblClean[[#This Row],[Week Start]]-MIN(tblClean[Week Start]))/7+1,"")</f>
        <v>5</v>
      </c>
      <c r="O127" s="24" t="str">
        <f>IF(ISNUMBER(tblClean[[#This Row],[Date]]),CHOOSE(WEEKDAY(tblClean[[#This Row],[Date]],2),"Mon","Tue","Wed","Thu","Fri","Sat","Sun"),"")</f>
        <v>Tue</v>
      </c>
      <c r="P127" s="24" t="str">
        <f>IF(ISNUMBER(tblClean[[#This Row],[Date]]),IF(WEEKDAY(tblClean[[#This Row],[Date]],2)&gt;=6,"Weekend","Weekday"),"")</f>
        <v>Weekday</v>
      </c>
      <c r="Q12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27" s="9" t="str">
        <f>IF(ISNUMBER(tblClean[[#This Row],[Duration Hours]]),IF(tblClean[[#This Row],[Duration Hours]]&lt;2,"Short (under 2h)",IF(tblClean[[#This Row],[Duration Hours]]&lt;3,"Standard (2h to under 3h)","Long (3h or more)")),"")</f>
        <v>Standard (2h to under 3h)</v>
      </c>
      <c r="S12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27" s="24">
        <f>IF(COUNTIF(tblClean[Session ID],tblClean[[#This Row],[Session ID]])&gt;1,1,0)</f>
        <v>0</v>
      </c>
      <c r="U127" s="24">
        <f>IF(OR(N(tblClean[[#This Row],[Attributed GMV PHP]])&lt;0,N(tblClean[[#This Row],[Items Sold]])&lt;0,N(tblClean[[#This Row],[Livestream Views]])&lt;0,N(tblClean[[#This Row],[New Followers]])&lt;0),1,0)</f>
        <v>0</v>
      </c>
      <c r="V127" s="24">
        <f>IF(ISNUMBER(tblClean[[#This Row],[Duration Hours]]),IF(OR(tblClean[[#This Row],[Duration Hours]]&lt;=0,tblClean[[#This Row],[Duration Hours]]&gt;12),1,0),1)</f>
        <v>0</v>
      </c>
      <c r="W127" s="24">
        <f>IF(COUNTIF(HostRoster,tblClean[[#This Row],[Host Name]])=0,1,0)</f>
        <v>0</v>
      </c>
      <c r="X127" s="24">
        <f>IF(tblClean[[#This Row],[Missing Flag]]+tblClean[[#This Row],[Duplicate Flag]]+tblClean[[#This Row],[Negative Flag]]+tblClean[[#This Row],[Duration Flag]]+tblClean[[#This Row],[Host Flag]]=0,1,0)</f>
        <v>1</v>
      </c>
    </row>
    <row r="128" spans="1:24" x14ac:dyDescent="0.3">
      <c r="A128" s="9" t="str">
        <f>TRIM('Raw Data'!A124)</f>
        <v>LS-0120</v>
      </c>
      <c r="B128" s="10">
        <f>IF(ISNUMBER('Raw Data'!B124),INT('Raw Data'!B124),IFERROR(DATEVALUE('Raw Data'!B124),""))</f>
        <v>45839</v>
      </c>
      <c r="C128" s="9" t="str">
        <f>PROPER(TRIM('Raw Data'!C124))</f>
        <v>Aira Valdez</v>
      </c>
      <c r="D128" s="11">
        <f>IF(ISNUMBER('Raw Data'!D124),MOD('Raw Data'!D124,1),IFERROR(TIMEVALUE('Raw Data'!D124),""))</f>
        <v>0.79166666666666663</v>
      </c>
      <c r="E128" s="11">
        <f>IF(ISNUMBER('Raw Data'!E124),MOD('Raw Data'!E124,1),IFERROR(TIMEVALUE('Raw Data'!E124),""))</f>
        <v>0.875</v>
      </c>
      <c r="F128" s="12">
        <f>IF(ISNUMBER('Raw Data'!F124),'Raw Data'!F124,IFERROR(VALUE(SUBSTITUTE('Raw Data'!F124,",","")),""))</f>
        <v>36729</v>
      </c>
      <c r="G128" s="13">
        <f>IF(ISNUMBER('Raw Data'!G124),'Raw Data'!G124,IFERROR(VALUE(SUBSTITUTE('Raw Data'!G124,",","")),""))</f>
        <v>101</v>
      </c>
      <c r="H128" s="13">
        <f>IF(ISNUMBER('Raw Data'!H124),'Raw Data'!H124,IFERROR(VALUE(SUBSTITUTE('Raw Data'!H124,",","")),""))</f>
        <v>121070</v>
      </c>
      <c r="I128" s="13">
        <f>IF(ISNUMBER('Raw Data'!I124),'Raw Data'!I124,IFERROR(VALUE(SUBSTITUTE('Raw Data'!I124,",","")),""))</f>
        <v>1532</v>
      </c>
      <c r="J128" s="21">
        <f>IF(AND(ISNUMBER(tblClean[[#This Row],[Start Time]]),ISNUMBER(tblClean[[#This Row],[End Time]])),ROUND(MOD(tblClean[[#This Row],[End Time]]-tblClean[[#This Row],[Start Time]],1)*24,2),"")</f>
        <v>2</v>
      </c>
      <c r="K128" s="12">
        <f>IF(AND(ISNUMBER(tblClean[[#This Row],[Duration Hours]]),ISNUMBER(tblClean[[#This Row],[Attributed GMV PHP]])),IF(tblClean[[#This Row],[Duration Hours]]&gt;0,tblClean[[#This Row],[Attributed GMV PHP]]/tblClean[[#This Row],[Duration Hours]],""),"")</f>
        <v>18364.5</v>
      </c>
      <c r="L128" s="22">
        <f>IF(ISNUMBER(tblClean[[#This Row],[Date]]),DATE(YEAR(tblClean[[#This Row],[Date]]),MONTH(tblClean[[#This Row],[Date]]),1),"")</f>
        <v>45839</v>
      </c>
      <c r="M128" s="10">
        <f>IF(ISNUMBER(tblClean[[#This Row],[Date]]),tblClean[[#This Row],[Date]]-WEEKDAY(tblClean[[#This Row],[Date]],2)+1,"")</f>
        <v>45838</v>
      </c>
      <c r="N128" s="23">
        <f>IF(ISNUMBER(tblClean[[#This Row],[Week Start]]),(tblClean[[#This Row],[Week Start]]-MIN(tblClean[Week Start]))/7+1,"")</f>
        <v>5</v>
      </c>
      <c r="O128" s="24" t="str">
        <f>IF(ISNUMBER(tblClean[[#This Row],[Date]]),CHOOSE(WEEKDAY(tblClean[[#This Row],[Date]],2),"Mon","Tue","Wed","Thu","Fri","Sat","Sun"),"")</f>
        <v>Tue</v>
      </c>
      <c r="P128" s="24" t="str">
        <f>IF(ISNUMBER(tblClean[[#This Row],[Date]]),IF(WEEKDAY(tblClean[[#This Row],[Date]],2)&gt;=6,"Weekend","Weekday"),"")</f>
        <v>Weekday</v>
      </c>
      <c r="Q12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28" s="9" t="str">
        <f>IF(ISNUMBER(tblClean[[#This Row],[Duration Hours]]),IF(tblClean[[#This Row],[Duration Hours]]&lt;2,"Short (under 2h)",IF(tblClean[[#This Row],[Duration Hours]]&lt;3,"Standard (2h to under 3h)","Long (3h or more)")),"")</f>
        <v>Standard (2h to under 3h)</v>
      </c>
      <c r="S12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28" s="24">
        <f>IF(COUNTIF(tblClean[Session ID],tblClean[[#This Row],[Session ID]])&gt;1,1,0)</f>
        <v>0</v>
      </c>
      <c r="U128" s="24">
        <f>IF(OR(N(tblClean[[#This Row],[Attributed GMV PHP]])&lt;0,N(tblClean[[#This Row],[Items Sold]])&lt;0,N(tblClean[[#This Row],[Livestream Views]])&lt;0,N(tblClean[[#This Row],[New Followers]])&lt;0),1,0)</f>
        <v>0</v>
      </c>
      <c r="V128" s="24">
        <f>IF(ISNUMBER(tblClean[[#This Row],[Duration Hours]]),IF(OR(tblClean[[#This Row],[Duration Hours]]&lt;=0,tblClean[[#This Row],[Duration Hours]]&gt;12),1,0),1)</f>
        <v>0</v>
      </c>
      <c r="W128" s="24">
        <f>IF(COUNTIF(HostRoster,tblClean[[#This Row],[Host Name]])=0,1,0)</f>
        <v>0</v>
      </c>
      <c r="X128" s="24">
        <f>IF(tblClean[[#This Row],[Missing Flag]]+tblClean[[#This Row],[Duplicate Flag]]+tblClean[[#This Row],[Negative Flag]]+tblClean[[#This Row],[Duration Flag]]+tblClean[[#This Row],[Host Flag]]=0,1,0)</f>
        <v>1</v>
      </c>
    </row>
    <row r="129" spans="1:24" x14ac:dyDescent="0.3">
      <c r="A129" s="9" t="str">
        <f>TRIM('Raw Data'!A125)</f>
        <v>LS-0121</v>
      </c>
      <c r="B129" s="10">
        <f>IF(ISNUMBER('Raw Data'!B125),INT('Raw Data'!B125),IFERROR(DATEVALUE('Raw Data'!B125),""))</f>
        <v>45839</v>
      </c>
      <c r="C129" s="9" t="str">
        <f>PROPER(TRIM('Raw Data'!C125))</f>
        <v>Bianca Reyes</v>
      </c>
      <c r="D129" s="11">
        <f>IF(ISNUMBER('Raw Data'!D125),MOD('Raw Data'!D125,1),IFERROR(TIMEVALUE('Raw Data'!D125),""))</f>
        <v>0.91666666666666663</v>
      </c>
      <c r="E129" s="11">
        <f>IF(ISNUMBER('Raw Data'!E125),MOD('Raw Data'!E125,1),IFERROR(TIMEVALUE('Raw Data'!E125),""))</f>
        <v>2.0833333333333329E-2</v>
      </c>
      <c r="F129" s="12">
        <f>IF(ISNUMBER('Raw Data'!F125),'Raw Data'!F125,IFERROR(VALUE(SUBSTITUTE('Raw Data'!F125,",","")),""))</f>
        <v>18537</v>
      </c>
      <c r="G129" s="13">
        <f>IF(ISNUMBER('Raw Data'!G125),'Raw Data'!G125,IFERROR(VALUE(SUBSTITUTE('Raw Data'!G125,",","")),""))</f>
        <v>57</v>
      </c>
      <c r="H129" s="13">
        <f>IF(ISNUMBER('Raw Data'!H125),'Raw Data'!H125,IFERROR(VALUE(SUBSTITUTE('Raw Data'!H125,",","")),""))</f>
        <v>57025</v>
      </c>
      <c r="I129" s="13">
        <f>IF(ISNUMBER('Raw Data'!I125),'Raw Data'!I125,IFERROR(VALUE(SUBSTITUTE('Raw Data'!I125,",","")),""))</f>
        <v>645</v>
      </c>
      <c r="J129" s="21">
        <f>IF(AND(ISNUMBER(tblClean[[#This Row],[Start Time]]),ISNUMBER(tblClean[[#This Row],[End Time]])),ROUND(MOD(tblClean[[#This Row],[End Time]]-tblClean[[#This Row],[Start Time]],1)*24,2),"")</f>
        <v>2.5</v>
      </c>
      <c r="K129" s="12">
        <f>IF(AND(ISNUMBER(tblClean[[#This Row],[Duration Hours]]),ISNUMBER(tblClean[[#This Row],[Attributed GMV PHP]])),IF(tblClean[[#This Row],[Duration Hours]]&gt;0,tblClean[[#This Row],[Attributed GMV PHP]]/tblClean[[#This Row],[Duration Hours]],""),"")</f>
        <v>7414.8</v>
      </c>
      <c r="L129" s="22">
        <f>IF(ISNUMBER(tblClean[[#This Row],[Date]]),DATE(YEAR(tblClean[[#This Row],[Date]]),MONTH(tblClean[[#This Row],[Date]]),1),"")</f>
        <v>45839</v>
      </c>
      <c r="M129" s="10">
        <f>IF(ISNUMBER(tblClean[[#This Row],[Date]]),tblClean[[#This Row],[Date]]-WEEKDAY(tblClean[[#This Row],[Date]],2)+1,"")</f>
        <v>45838</v>
      </c>
      <c r="N129" s="23">
        <f>IF(ISNUMBER(tblClean[[#This Row],[Week Start]]),(tblClean[[#This Row],[Week Start]]-MIN(tblClean[Week Start]))/7+1,"")</f>
        <v>5</v>
      </c>
      <c r="O129" s="24" t="str">
        <f>IF(ISNUMBER(tblClean[[#This Row],[Date]]),CHOOSE(WEEKDAY(tblClean[[#This Row],[Date]],2),"Mon","Tue","Wed","Thu","Fri","Sat","Sun"),"")</f>
        <v>Tue</v>
      </c>
      <c r="P129" s="24" t="str">
        <f>IF(ISNUMBER(tblClean[[#This Row],[Date]]),IF(WEEKDAY(tblClean[[#This Row],[Date]],2)&gt;=6,"Weekend","Weekday"),"")</f>
        <v>Weekday</v>
      </c>
      <c r="Q12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29" s="9" t="str">
        <f>IF(ISNUMBER(tblClean[[#This Row],[Duration Hours]]),IF(tblClean[[#This Row],[Duration Hours]]&lt;2,"Short (under 2h)",IF(tblClean[[#This Row],[Duration Hours]]&lt;3,"Standard (2h to under 3h)","Long (3h or more)")),"")</f>
        <v>Standard (2h to under 3h)</v>
      </c>
      <c r="S12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29" s="24">
        <f>IF(COUNTIF(tblClean[Session ID],tblClean[[#This Row],[Session ID]])&gt;1,1,0)</f>
        <v>0</v>
      </c>
      <c r="U129" s="24">
        <f>IF(OR(N(tblClean[[#This Row],[Attributed GMV PHP]])&lt;0,N(tblClean[[#This Row],[Items Sold]])&lt;0,N(tblClean[[#This Row],[Livestream Views]])&lt;0,N(tblClean[[#This Row],[New Followers]])&lt;0),1,0)</f>
        <v>0</v>
      </c>
      <c r="V129" s="24">
        <f>IF(ISNUMBER(tblClean[[#This Row],[Duration Hours]]),IF(OR(tblClean[[#This Row],[Duration Hours]]&lt;=0,tblClean[[#This Row],[Duration Hours]]&gt;12),1,0),1)</f>
        <v>0</v>
      </c>
      <c r="W129" s="24">
        <f>IF(COUNTIF(HostRoster,tblClean[[#This Row],[Host Name]])=0,1,0)</f>
        <v>0</v>
      </c>
      <c r="X129" s="24">
        <f>IF(tblClean[[#This Row],[Missing Flag]]+tblClean[[#This Row],[Duplicate Flag]]+tblClean[[#This Row],[Negative Flag]]+tblClean[[#This Row],[Duration Flag]]+tblClean[[#This Row],[Host Flag]]=0,1,0)</f>
        <v>1</v>
      </c>
    </row>
    <row r="130" spans="1:24" x14ac:dyDescent="0.3">
      <c r="A130" s="9" t="str">
        <f>TRIM('Raw Data'!A126)</f>
        <v>LS-0122</v>
      </c>
      <c r="B130" s="10">
        <f>IF(ISNUMBER('Raw Data'!B126),INT('Raw Data'!B126),IFERROR(DATEVALUE('Raw Data'!B126),""))</f>
        <v>45840</v>
      </c>
      <c r="C130" s="9" t="str">
        <f>PROPER(TRIM('Raw Data'!C126))</f>
        <v>Bianca Reyes</v>
      </c>
      <c r="D130" s="11">
        <f>IF(ISNUMBER('Raw Data'!D126),MOD('Raw Data'!D126,1),IFERROR(TIMEVALUE('Raw Data'!D126),""))</f>
        <v>0.41666666666666669</v>
      </c>
      <c r="E130" s="11">
        <f>IF(ISNUMBER('Raw Data'!E126),MOD('Raw Data'!E126,1),IFERROR(TIMEVALUE('Raw Data'!E126),""))</f>
        <v>0.52083333333333337</v>
      </c>
      <c r="F130" s="12">
        <f>IF(ISNUMBER('Raw Data'!F126),'Raw Data'!F126,IFERROR(VALUE(SUBSTITUTE('Raw Data'!F126,",","")),""))</f>
        <v>16266</v>
      </c>
      <c r="G130" s="13">
        <f>IF(ISNUMBER('Raw Data'!G126),'Raw Data'!G126,IFERROR(VALUE(SUBSTITUTE('Raw Data'!G126,",","")),""))</f>
        <v>46</v>
      </c>
      <c r="H130" s="13">
        <f>IF(ISNUMBER('Raw Data'!H126),'Raw Data'!H126,IFERROR(VALUE(SUBSTITUTE('Raw Data'!H126,",","")),""))</f>
        <v>92381</v>
      </c>
      <c r="I130" s="13">
        <f>IF(ISNUMBER('Raw Data'!I126),'Raw Data'!I126,IFERROR(VALUE(SUBSTITUTE('Raw Data'!I126,",","")),""))</f>
        <v>643</v>
      </c>
      <c r="J130" s="21">
        <f>IF(AND(ISNUMBER(tblClean[[#This Row],[Start Time]]),ISNUMBER(tblClean[[#This Row],[End Time]])),ROUND(MOD(tblClean[[#This Row],[End Time]]-tblClean[[#This Row],[Start Time]],1)*24,2),"")</f>
        <v>2.5</v>
      </c>
      <c r="K130" s="12">
        <f>IF(AND(ISNUMBER(tblClean[[#This Row],[Duration Hours]]),ISNUMBER(tblClean[[#This Row],[Attributed GMV PHP]])),IF(tblClean[[#This Row],[Duration Hours]]&gt;0,tblClean[[#This Row],[Attributed GMV PHP]]/tblClean[[#This Row],[Duration Hours]],""),"")</f>
        <v>6506.4</v>
      </c>
      <c r="L130" s="22">
        <f>IF(ISNUMBER(tblClean[[#This Row],[Date]]),DATE(YEAR(tblClean[[#This Row],[Date]]),MONTH(tblClean[[#This Row],[Date]]),1),"")</f>
        <v>45839</v>
      </c>
      <c r="M130" s="10">
        <f>IF(ISNUMBER(tblClean[[#This Row],[Date]]),tblClean[[#This Row],[Date]]-WEEKDAY(tblClean[[#This Row],[Date]],2)+1,"")</f>
        <v>45838</v>
      </c>
      <c r="N130" s="23">
        <f>IF(ISNUMBER(tblClean[[#This Row],[Week Start]]),(tblClean[[#This Row],[Week Start]]-MIN(tblClean[Week Start]))/7+1,"")</f>
        <v>5</v>
      </c>
      <c r="O130" s="24" t="str">
        <f>IF(ISNUMBER(tblClean[[#This Row],[Date]]),CHOOSE(WEEKDAY(tblClean[[#This Row],[Date]],2),"Mon","Tue","Wed","Thu","Fri","Sat","Sun"),"")</f>
        <v>Wed</v>
      </c>
      <c r="P130" s="24" t="str">
        <f>IF(ISNUMBER(tblClean[[#This Row],[Date]]),IF(WEEKDAY(tblClean[[#This Row],[Date]],2)&gt;=6,"Weekend","Weekday"),"")</f>
        <v>Weekday</v>
      </c>
      <c r="Q13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30" s="9" t="str">
        <f>IF(ISNUMBER(tblClean[[#This Row],[Duration Hours]]),IF(tblClean[[#This Row],[Duration Hours]]&lt;2,"Short (under 2h)",IF(tblClean[[#This Row],[Duration Hours]]&lt;3,"Standard (2h to under 3h)","Long (3h or more)")),"")</f>
        <v>Standard (2h to under 3h)</v>
      </c>
      <c r="S13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30" s="24">
        <f>IF(COUNTIF(tblClean[Session ID],tblClean[[#This Row],[Session ID]])&gt;1,1,0)</f>
        <v>0</v>
      </c>
      <c r="U130" s="24">
        <f>IF(OR(N(tblClean[[#This Row],[Attributed GMV PHP]])&lt;0,N(tblClean[[#This Row],[Items Sold]])&lt;0,N(tblClean[[#This Row],[Livestream Views]])&lt;0,N(tblClean[[#This Row],[New Followers]])&lt;0),1,0)</f>
        <v>0</v>
      </c>
      <c r="V130" s="24">
        <f>IF(ISNUMBER(tblClean[[#This Row],[Duration Hours]]),IF(OR(tblClean[[#This Row],[Duration Hours]]&lt;=0,tblClean[[#This Row],[Duration Hours]]&gt;12),1,0),1)</f>
        <v>0</v>
      </c>
      <c r="W130" s="24">
        <f>IF(COUNTIF(HostRoster,tblClean[[#This Row],[Host Name]])=0,1,0)</f>
        <v>0</v>
      </c>
      <c r="X130" s="24">
        <f>IF(tblClean[[#This Row],[Missing Flag]]+tblClean[[#This Row],[Duplicate Flag]]+tblClean[[#This Row],[Negative Flag]]+tblClean[[#This Row],[Duration Flag]]+tblClean[[#This Row],[Host Flag]]=0,1,0)</f>
        <v>1</v>
      </c>
    </row>
    <row r="131" spans="1:24" x14ac:dyDescent="0.3">
      <c r="A131" s="9" t="str">
        <f>TRIM('Raw Data'!A127)</f>
        <v>LS-0123</v>
      </c>
      <c r="B131" s="10">
        <f>IF(ISNUMBER('Raw Data'!B127),INT('Raw Data'!B127),IFERROR(DATEVALUE('Raw Data'!B127),""))</f>
        <v>45840</v>
      </c>
      <c r="C131" s="9" t="str">
        <f>PROPER(TRIM('Raw Data'!C127))</f>
        <v>Dani Villanueva</v>
      </c>
      <c r="D131" s="11">
        <f>IF(ISNUMBER('Raw Data'!D127),MOD('Raw Data'!D127,1),IFERROR(TIMEVALUE('Raw Data'!D127),""))</f>
        <v>0.54166666666666663</v>
      </c>
      <c r="E131" s="11">
        <f>IF(ISNUMBER('Raw Data'!E127),MOD('Raw Data'!E127,1),IFERROR(TIMEVALUE('Raw Data'!E127),""))</f>
        <v>0.66666666666666663</v>
      </c>
      <c r="F131" s="12">
        <f>IF(ISNUMBER('Raw Data'!F127),'Raw Data'!F127,IFERROR(VALUE(SUBSTITUTE('Raw Data'!F127,",","")),""))</f>
        <v>12509</v>
      </c>
      <c r="G131" s="13">
        <f>IF(ISNUMBER('Raw Data'!G127),'Raw Data'!G127,IFERROR(VALUE(SUBSTITUTE('Raw Data'!G127,",","")),""))</f>
        <v>37</v>
      </c>
      <c r="H131" s="13">
        <f>IF(ISNUMBER('Raw Data'!H127),'Raw Data'!H127,IFERROR(VALUE(SUBSTITUTE('Raw Data'!H127,",","")),""))</f>
        <v>44024</v>
      </c>
      <c r="I131" s="13">
        <f>IF(ISNUMBER('Raw Data'!I127),'Raw Data'!I127,IFERROR(VALUE(SUBSTITUTE('Raw Data'!I127,",","")),""))</f>
        <v>412</v>
      </c>
      <c r="J131" s="21">
        <f>IF(AND(ISNUMBER(tblClean[[#This Row],[Start Time]]),ISNUMBER(tblClean[[#This Row],[End Time]])),ROUND(MOD(tblClean[[#This Row],[End Time]]-tblClean[[#This Row],[Start Time]],1)*24,2),"")</f>
        <v>3</v>
      </c>
      <c r="K131" s="12">
        <f>IF(AND(ISNUMBER(tblClean[[#This Row],[Duration Hours]]),ISNUMBER(tblClean[[#This Row],[Attributed GMV PHP]])),IF(tblClean[[#This Row],[Duration Hours]]&gt;0,tblClean[[#This Row],[Attributed GMV PHP]]/tblClean[[#This Row],[Duration Hours]],""),"")</f>
        <v>4169.666666666667</v>
      </c>
      <c r="L131" s="22">
        <f>IF(ISNUMBER(tblClean[[#This Row],[Date]]),DATE(YEAR(tblClean[[#This Row],[Date]]),MONTH(tblClean[[#This Row],[Date]]),1),"")</f>
        <v>45839</v>
      </c>
      <c r="M131" s="10">
        <f>IF(ISNUMBER(tblClean[[#This Row],[Date]]),tblClean[[#This Row],[Date]]-WEEKDAY(tblClean[[#This Row],[Date]],2)+1,"")</f>
        <v>45838</v>
      </c>
      <c r="N131" s="23">
        <f>IF(ISNUMBER(tblClean[[#This Row],[Week Start]]),(tblClean[[#This Row],[Week Start]]-MIN(tblClean[Week Start]))/7+1,"")</f>
        <v>5</v>
      </c>
      <c r="O131" s="24" t="str">
        <f>IF(ISNUMBER(tblClean[[#This Row],[Date]]),CHOOSE(WEEKDAY(tblClean[[#This Row],[Date]],2),"Mon","Tue","Wed","Thu","Fri","Sat","Sun"),"")</f>
        <v>Wed</v>
      </c>
      <c r="P131" s="24" t="str">
        <f>IF(ISNUMBER(tblClean[[#This Row],[Date]]),IF(WEEKDAY(tblClean[[#This Row],[Date]],2)&gt;=6,"Weekend","Weekday"),"")</f>
        <v>Weekday</v>
      </c>
      <c r="Q13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31" s="9" t="str">
        <f>IF(ISNUMBER(tblClean[[#This Row],[Duration Hours]]),IF(tblClean[[#This Row],[Duration Hours]]&lt;2,"Short (under 2h)",IF(tblClean[[#This Row],[Duration Hours]]&lt;3,"Standard (2h to under 3h)","Long (3h or more)")),"")</f>
        <v>Long (3h or more)</v>
      </c>
      <c r="S13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31" s="24">
        <f>IF(COUNTIF(tblClean[Session ID],tblClean[[#This Row],[Session ID]])&gt;1,1,0)</f>
        <v>0</v>
      </c>
      <c r="U131" s="24">
        <f>IF(OR(N(tblClean[[#This Row],[Attributed GMV PHP]])&lt;0,N(tblClean[[#This Row],[Items Sold]])&lt;0,N(tblClean[[#This Row],[Livestream Views]])&lt;0,N(tblClean[[#This Row],[New Followers]])&lt;0),1,0)</f>
        <v>0</v>
      </c>
      <c r="V131" s="24">
        <f>IF(ISNUMBER(tblClean[[#This Row],[Duration Hours]]),IF(OR(tblClean[[#This Row],[Duration Hours]]&lt;=0,tblClean[[#This Row],[Duration Hours]]&gt;12),1,0),1)</f>
        <v>0</v>
      </c>
      <c r="W131" s="24">
        <f>IF(COUNTIF(HostRoster,tblClean[[#This Row],[Host Name]])=0,1,0)</f>
        <v>0</v>
      </c>
      <c r="X131" s="24">
        <f>IF(tblClean[[#This Row],[Missing Flag]]+tblClean[[#This Row],[Duplicate Flag]]+tblClean[[#This Row],[Negative Flag]]+tblClean[[#This Row],[Duration Flag]]+tblClean[[#This Row],[Host Flag]]=0,1,0)</f>
        <v>1</v>
      </c>
    </row>
    <row r="132" spans="1:24" x14ac:dyDescent="0.3">
      <c r="A132" s="9" t="str">
        <f>TRIM('Raw Data'!A128)</f>
        <v>LS-0124</v>
      </c>
      <c r="B132" s="10">
        <f>IF(ISNUMBER('Raw Data'!B128),INT('Raw Data'!B128),IFERROR(DATEVALUE('Raw Data'!B128),""))</f>
        <v>45840</v>
      </c>
      <c r="C132" s="9" t="str">
        <f>PROPER(TRIM('Raw Data'!C128))</f>
        <v>Bianca Reyes</v>
      </c>
      <c r="D132" s="11">
        <f>IF(ISNUMBER('Raw Data'!D128),MOD('Raw Data'!D128,1),IFERROR(TIMEVALUE('Raw Data'!D128),""))</f>
        <v>0.66666666666666663</v>
      </c>
      <c r="E132" s="11">
        <f>IF(ISNUMBER('Raw Data'!E128),MOD('Raw Data'!E128,1),IFERROR(TIMEVALUE('Raw Data'!E128),""))</f>
        <v>0.77083333333333337</v>
      </c>
      <c r="F132" s="12">
        <f>IF(ISNUMBER('Raw Data'!F128),'Raw Data'!F128,IFERROR(VALUE(SUBSTITUTE('Raw Data'!F128,",","")),""))</f>
        <v>18768</v>
      </c>
      <c r="G132" s="13">
        <f>IF(ISNUMBER('Raw Data'!G128),'Raw Data'!G128,IFERROR(VALUE(SUBSTITUTE('Raw Data'!G128,",","")),""))</f>
        <v>59</v>
      </c>
      <c r="H132" s="13">
        <f>IF(ISNUMBER('Raw Data'!H128),'Raw Data'!H128,IFERROR(VALUE(SUBSTITUTE('Raw Data'!H128,",","")),""))</f>
        <v>50286</v>
      </c>
      <c r="I132" s="13">
        <f>IF(ISNUMBER('Raw Data'!I128),'Raw Data'!I128,IFERROR(VALUE(SUBSTITUTE('Raw Data'!I128,",","")),""))</f>
        <v>389</v>
      </c>
      <c r="J132" s="21">
        <f>IF(AND(ISNUMBER(tblClean[[#This Row],[Start Time]]),ISNUMBER(tblClean[[#This Row],[End Time]])),ROUND(MOD(tblClean[[#This Row],[End Time]]-tblClean[[#This Row],[Start Time]],1)*24,2),"")</f>
        <v>2.5</v>
      </c>
      <c r="K132" s="12">
        <f>IF(AND(ISNUMBER(tblClean[[#This Row],[Duration Hours]]),ISNUMBER(tblClean[[#This Row],[Attributed GMV PHP]])),IF(tblClean[[#This Row],[Duration Hours]]&gt;0,tblClean[[#This Row],[Attributed GMV PHP]]/tblClean[[#This Row],[Duration Hours]],""),"")</f>
        <v>7507.2</v>
      </c>
      <c r="L132" s="22">
        <f>IF(ISNUMBER(tblClean[[#This Row],[Date]]),DATE(YEAR(tblClean[[#This Row],[Date]]),MONTH(tblClean[[#This Row],[Date]]),1),"")</f>
        <v>45839</v>
      </c>
      <c r="M132" s="10">
        <f>IF(ISNUMBER(tblClean[[#This Row],[Date]]),tblClean[[#This Row],[Date]]-WEEKDAY(tblClean[[#This Row],[Date]],2)+1,"")</f>
        <v>45838</v>
      </c>
      <c r="N132" s="23">
        <f>IF(ISNUMBER(tblClean[[#This Row],[Week Start]]),(tblClean[[#This Row],[Week Start]]-MIN(tblClean[Week Start]))/7+1,"")</f>
        <v>5</v>
      </c>
      <c r="O132" s="24" t="str">
        <f>IF(ISNUMBER(tblClean[[#This Row],[Date]]),CHOOSE(WEEKDAY(tblClean[[#This Row],[Date]],2),"Mon","Tue","Wed","Thu","Fri","Sat","Sun"),"")</f>
        <v>Wed</v>
      </c>
      <c r="P132" s="24" t="str">
        <f>IF(ISNUMBER(tblClean[[#This Row],[Date]]),IF(WEEKDAY(tblClean[[#This Row],[Date]],2)&gt;=6,"Weekend","Weekday"),"")</f>
        <v>Weekday</v>
      </c>
      <c r="Q13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32" s="9" t="str">
        <f>IF(ISNUMBER(tblClean[[#This Row],[Duration Hours]]),IF(tblClean[[#This Row],[Duration Hours]]&lt;2,"Short (under 2h)",IF(tblClean[[#This Row],[Duration Hours]]&lt;3,"Standard (2h to under 3h)","Long (3h or more)")),"")</f>
        <v>Standard (2h to under 3h)</v>
      </c>
      <c r="S13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32" s="24">
        <f>IF(COUNTIF(tblClean[Session ID],tblClean[[#This Row],[Session ID]])&gt;1,1,0)</f>
        <v>0</v>
      </c>
      <c r="U132" s="24">
        <f>IF(OR(N(tblClean[[#This Row],[Attributed GMV PHP]])&lt;0,N(tblClean[[#This Row],[Items Sold]])&lt;0,N(tblClean[[#This Row],[Livestream Views]])&lt;0,N(tblClean[[#This Row],[New Followers]])&lt;0),1,0)</f>
        <v>0</v>
      </c>
      <c r="V132" s="24">
        <f>IF(ISNUMBER(tblClean[[#This Row],[Duration Hours]]),IF(OR(tblClean[[#This Row],[Duration Hours]]&lt;=0,tblClean[[#This Row],[Duration Hours]]&gt;12),1,0),1)</f>
        <v>0</v>
      </c>
      <c r="W132" s="24">
        <f>IF(COUNTIF(HostRoster,tblClean[[#This Row],[Host Name]])=0,1,0)</f>
        <v>0</v>
      </c>
      <c r="X132" s="24">
        <f>IF(tblClean[[#This Row],[Missing Flag]]+tblClean[[#This Row],[Duplicate Flag]]+tblClean[[#This Row],[Negative Flag]]+tblClean[[#This Row],[Duration Flag]]+tblClean[[#This Row],[Host Flag]]=0,1,0)</f>
        <v>1</v>
      </c>
    </row>
    <row r="133" spans="1:24" x14ac:dyDescent="0.3">
      <c r="A133" s="9" t="str">
        <f>TRIM('Raw Data'!A129)</f>
        <v>LS-0125</v>
      </c>
      <c r="B133" s="10">
        <f>IF(ISNUMBER('Raw Data'!B129),INT('Raw Data'!B129),IFERROR(DATEVALUE('Raw Data'!B129),""))</f>
        <v>45840</v>
      </c>
      <c r="C133" s="9" t="str">
        <f>PROPER(TRIM('Raw Data'!C129))</f>
        <v>Aira Valdez</v>
      </c>
      <c r="D133" s="11">
        <f>IF(ISNUMBER('Raw Data'!D129),MOD('Raw Data'!D129,1),IFERROR(TIMEVALUE('Raw Data'!D129),""))</f>
        <v>0.79166666666666663</v>
      </c>
      <c r="E133" s="11">
        <f>IF(ISNUMBER('Raw Data'!E129),MOD('Raw Data'!E129,1),IFERROR(TIMEVALUE('Raw Data'!E129),""))</f>
        <v>0.875</v>
      </c>
      <c r="F133" s="12">
        <f>IF(ISNUMBER('Raw Data'!F129),'Raw Data'!F129,IFERROR(VALUE(SUBSTITUTE('Raw Data'!F129,",","")),""))</f>
        <v>119802</v>
      </c>
      <c r="G133" s="13">
        <f>IF(ISNUMBER('Raw Data'!G129),'Raw Data'!G129,IFERROR(VALUE(SUBSTITUTE('Raw Data'!G129,",","")),""))</f>
        <v>406</v>
      </c>
      <c r="H133" s="13">
        <f>IF(ISNUMBER('Raw Data'!H129),'Raw Data'!H129,IFERROR(VALUE(SUBSTITUTE('Raw Data'!H129,",","")),""))</f>
        <v>544775</v>
      </c>
      <c r="I133" s="13">
        <f>IF(ISNUMBER('Raw Data'!I129),'Raw Data'!I129,IFERROR(VALUE(SUBSTITUTE('Raw Data'!I129,",","")),""))</f>
        <v>6277</v>
      </c>
      <c r="J133" s="21">
        <f>IF(AND(ISNUMBER(tblClean[[#This Row],[Start Time]]),ISNUMBER(tblClean[[#This Row],[End Time]])),ROUND(MOD(tblClean[[#This Row],[End Time]]-tblClean[[#This Row],[Start Time]],1)*24,2),"")</f>
        <v>2</v>
      </c>
      <c r="K133" s="12">
        <f>IF(AND(ISNUMBER(tblClean[[#This Row],[Duration Hours]]),ISNUMBER(tblClean[[#This Row],[Attributed GMV PHP]])),IF(tblClean[[#This Row],[Duration Hours]]&gt;0,tblClean[[#This Row],[Attributed GMV PHP]]/tblClean[[#This Row],[Duration Hours]],""),"")</f>
        <v>59901</v>
      </c>
      <c r="L133" s="22">
        <f>IF(ISNUMBER(tblClean[[#This Row],[Date]]),DATE(YEAR(tblClean[[#This Row],[Date]]),MONTH(tblClean[[#This Row],[Date]]),1),"")</f>
        <v>45839</v>
      </c>
      <c r="M133" s="10">
        <f>IF(ISNUMBER(tblClean[[#This Row],[Date]]),tblClean[[#This Row],[Date]]-WEEKDAY(tblClean[[#This Row],[Date]],2)+1,"")</f>
        <v>45838</v>
      </c>
      <c r="N133" s="23">
        <f>IF(ISNUMBER(tblClean[[#This Row],[Week Start]]),(tblClean[[#This Row],[Week Start]]-MIN(tblClean[Week Start]))/7+1,"")</f>
        <v>5</v>
      </c>
      <c r="O133" s="24" t="str">
        <f>IF(ISNUMBER(tblClean[[#This Row],[Date]]),CHOOSE(WEEKDAY(tblClean[[#This Row],[Date]],2),"Mon","Tue","Wed","Thu","Fri","Sat","Sun"),"")</f>
        <v>Wed</v>
      </c>
      <c r="P133" s="24" t="str">
        <f>IF(ISNUMBER(tblClean[[#This Row],[Date]]),IF(WEEKDAY(tblClean[[#This Row],[Date]],2)&gt;=6,"Weekend","Weekday"),"")</f>
        <v>Weekday</v>
      </c>
      <c r="Q13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33" s="9" t="str">
        <f>IF(ISNUMBER(tblClean[[#This Row],[Duration Hours]]),IF(tblClean[[#This Row],[Duration Hours]]&lt;2,"Short (under 2h)",IF(tblClean[[#This Row],[Duration Hours]]&lt;3,"Standard (2h to under 3h)","Long (3h or more)")),"")</f>
        <v>Standard (2h to under 3h)</v>
      </c>
      <c r="S13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33" s="24">
        <f>IF(COUNTIF(tblClean[Session ID],tblClean[[#This Row],[Session ID]])&gt;1,1,0)</f>
        <v>0</v>
      </c>
      <c r="U133" s="24">
        <f>IF(OR(N(tblClean[[#This Row],[Attributed GMV PHP]])&lt;0,N(tblClean[[#This Row],[Items Sold]])&lt;0,N(tblClean[[#This Row],[Livestream Views]])&lt;0,N(tblClean[[#This Row],[New Followers]])&lt;0),1,0)</f>
        <v>0</v>
      </c>
      <c r="V133" s="24">
        <f>IF(ISNUMBER(tblClean[[#This Row],[Duration Hours]]),IF(OR(tblClean[[#This Row],[Duration Hours]]&lt;=0,tblClean[[#This Row],[Duration Hours]]&gt;12),1,0),1)</f>
        <v>0</v>
      </c>
      <c r="W133" s="24">
        <f>IF(COUNTIF(HostRoster,tblClean[[#This Row],[Host Name]])=0,1,0)</f>
        <v>0</v>
      </c>
      <c r="X133" s="24">
        <f>IF(tblClean[[#This Row],[Missing Flag]]+tblClean[[#This Row],[Duplicate Flag]]+tblClean[[#This Row],[Negative Flag]]+tblClean[[#This Row],[Duration Flag]]+tblClean[[#This Row],[Host Flag]]=0,1,0)</f>
        <v>1</v>
      </c>
    </row>
    <row r="134" spans="1:24" x14ac:dyDescent="0.3">
      <c r="A134" s="9" t="str">
        <f>TRIM('Raw Data'!A130)</f>
        <v>LS-0126</v>
      </c>
      <c r="B134" s="10">
        <f>IF(ISNUMBER('Raw Data'!B130),INT('Raw Data'!B130),IFERROR(DATEVALUE('Raw Data'!B130),""))</f>
        <v>45840</v>
      </c>
      <c r="C134" s="9" t="str">
        <f>PROPER(TRIM('Raw Data'!C130))</f>
        <v>Bianca Reyes</v>
      </c>
      <c r="D134" s="11">
        <f>IF(ISNUMBER('Raw Data'!D130),MOD('Raw Data'!D130,1),IFERROR(TIMEVALUE('Raw Data'!D130),""))</f>
        <v>0.91666666666666663</v>
      </c>
      <c r="E134" s="11">
        <f>IF(ISNUMBER('Raw Data'!E130),MOD('Raw Data'!E130,1),IFERROR(TIMEVALUE('Raw Data'!E130),""))</f>
        <v>0.97916666666666663</v>
      </c>
      <c r="F134" s="12">
        <f>IF(ISNUMBER('Raw Data'!F130),'Raw Data'!F130,IFERROR(VALUE(SUBSTITUTE('Raw Data'!F130,",","")),""))</f>
        <v>16745</v>
      </c>
      <c r="G134" s="13">
        <f>IF(ISNUMBER('Raw Data'!G130),'Raw Data'!G130,IFERROR(VALUE(SUBSTITUTE('Raw Data'!G130,",","")),""))</f>
        <v>48</v>
      </c>
      <c r="H134" s="13">
        <f>IF(ISNUMBER('Raw Data'!H130),'Raw Data'!H130,IFERROR(VALUE(SUBSTITUTE('Raw Data'!H130,",","")),""))</f>
        <v>67932</v>
      </c>
      <c r="I134" s="13">
        <f>IF(ISNUMBER('Raw Data'!I130),'Raw Data'!I130,IFERROR(VALUE(SUBSTITUTE('Raw Data'!I130,",","")),""))</f>
        <v>702</v>
      </c>
      <c r="J134" s="21">
        <f>IF(AND(ISNUMBER(tblClean[[#This Row],[Start Time]]),ISNUMBER(tblClean[[#This Row],[End Time]])),ROUND(MOD(tblClean[[#This Row],[End Time]]-tblClean[[#This Row],[Start Time]],1)*24,2),"")</f>
        <v>1.5</v>
      </c>
      <c r="K134" s="12">
        <f>IF(AND(ISNUMBER(tblClean[[#This Row],[Duration Hours]]),ISNUMBER(tblClean[[#This Row],[Attributed GMV PHP]])),IF(tblClean[[#This Row],[Duration Hours]]&gt;0,tblClean[[#This Row],[Attributed GMV PHP]]/tblClean[[#This Row],[Duration Hours]],""),"")</f>
        <v>11163.333333333334</v>
      </c>
      <c r="L134" s="22">
        <f>IF(ISNUMBER(tblClean[[#This Row],[Date]]),DATE(YEAR(tblClean[[#This Row],[Date]]),MONTH(tblClean[[#This Row],[Date]]),1),"")</f>
        <v>45839</v>
      </c>
      <c r="M134" s="10">
        <f>IF(ISNUMBER(tblClean[[#This Row],[Date]]),tblClean[[#This Row],[Date]]-WEEKDAY(tblClean[[#This Row],[Date]],2)+1,"")</f>
        <v>45838</v>
      </c>
      <c r="N134" s="23">
        <f>IF(ISNUMBER(tblClean[[#This Row],[Week Start]]),(tblClean[[#This Row],[Week Start]]-MIN(tblClean[Week Start]))/7+1,"")</f>
        <v>5</v>
      </c>
      <c r="O134" s="24" t="str">
        <f>IF(ISNUMBER(tblClean[[#This Row],[Date]]),CHOOSE(WEEKDAY(tblClean[[#This Row],[Date]],2),"Mon","Tue","Wed","Thu","Fri","Sat","Sun"),"")</f>
        <v>Wed</v>
      </c>
      <c r="P134" s="24" t="str">
        <f>IF(ISNUMBER(tblClean[[#This Row],[Date]]),IF(WEEKDAY(tblClean[[#This Row],[Date]],2)&gt;=6,"Weekend","Weekday"),"")</f>
        <v>Weekday</v>
      </c>
      <c r="Q13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34" s="9" t="str">
        <f>IF(ISNUMBER(tblClean[[#This Row],[Duration Hours]]),IF(tblClean[[#This Row],[Duration Hours]]&lt;2,"Short (under 2h)",IF(tblClean[[#This Row],[Duration Hours]]&lt;3,"Standard (2h to under 3h)","Long (3h or more)")),"")</f>
        <v>Short (under 2h)</v>
      </c>
      <c r="S13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34" s="24">
        <f>IF(COUNTIF(tblClean[Session ID],tblClean[[#This Row],[Session ID]])&gt;1,1,0)</f>
        <v>0</v>
      </c>
      <c r="U134" s="24">
        <f>IF(OR(N(tblClean[[#This Row],[Attributed GMV PHP]])&lt;0,N(tblClean[[#This Row],[Items Sold]])&lt;0,N(tblClean[[#This Row],[Livestream Views]])&lt;0,N(tblClean[[#This Row],[New Followers]])&lt;0),1,0)</f>
        <v>0</v>
      </c>
      <c r="V134" s="24">
        <f>IF(ISNUMBER(tblClean[[#This Row],[Duration Hours]]),IF(OR(tblClean[[#This Row],[Duration Hours]]&lt;=0,tblClean[[#This Row],[Duration Hours]]&gt;12),1,0),1)</f>
        <v>0</v>
      </c>
      <c r="W134" s="24">
        <f>IF(COUNTIF(HostRoster,tblClean[[#This Row],[Host Name]])=0,1,0)</f>
        <v>0</v>
      </c>
      <c r="X134" s="24">
        <f>IF(tblClean[[#This Row],[Missing Flag]]+tblClean[[#This Row],[Duplicate Flag]]+tblClean[[#This Row],[Negative Flag]]+tblClean[[#This Row],[Duration Flag]]+tblClean[[#This Row],[Host Flag]]=0,1,0)</f>
        <v>1</v>
      </c>
    </row>
    <row r="135" spans="1:24" x14ac:dyDescent="0.3">
      <c r="A135" s="9" t="str">
        <f>TRIM('Raw Data'!A131)</f>
        <v>LS-0127</v>
      </c>
      <c r="B135" s="10">
        <f>IF(ISNUMBER('Raw Data'!B131),INT('Raw Data'!B131),IFERROR(DATEVALUE('Raw Data'!B131),""))</f>
        <v>45841</v>
      </c>
      <c r="C135" s="9" t="str">
        <f>PROPER(TRIM('Raw Data'!C131))</f>
        <v>Carlo Mendoza</v>
      </c>
      <c r="D135" s="11">
        <f>IF(ISNUMBER('Raw Data'!D131),MOD('Raw Data'!D131,1),IFERROR(TIMEVALUE('Raw Data'!D131),""))</f>
        <v>0.66666666666666663</v>
      </c>
      <c r="E135" s="11">
        <f>IF(ISNUMBER('Raw Data'!E131),MOD('Raw Data'!E131,1),IFERROR(TIMEVALUE('Raw Data'!E131),""))</f>
        <v>0.77083333333333337</v>
      </c>
      <c r="F135" s="12">
        <f>IF(ISNUMBER('Raw Data'!F131),'Raw Data'!F131,IFERROR(VALUE(SUBSTITUTE('Raw Data'!F131,",","")),""))</f>
        <v>13117</v>
      </c>
      <c r="G135" s="13">
        <f>IF(ISNUMBER('Raw Data'!G131),'Raw Data'!G131,IFERROR(VALUE(SUBSTITUTE('Raw Data'!G131,",","")),""))</f>
        <v>42</v>
      </c>
      <c r="H135" s="13">
        <f>IF(ISNUMBER('Raw Data'!H131),'Raw Data'!H131,IFERROR(VALUE(SUBSTITUTE('Raw Data'!H131,",","")),""))</f>
        <v>42476</v>
      </c>
      <c r="I135" s="13">
        <f>IF(ISNUMBER('Raw Data'!I131),'Raw Data'!I131,IFERROR(VALUE(SUBSTITUTE('Raw Data'!I131,",","")),""))</f>
        <v>473</v>
      </c>
      <c r="J135" s="21">
        <f>IF(AND(ISNUMBER(tblClean[[#This Row],[Start Time]]),ISNUMBER(tblClean[[#This Row],[End Time]])),ROUND(MOD(tblClean[[#This Row],[End Time]]-tblClean[[#This Row],[Start Time]],1)*24,2),"")</f>
        <v>2.5</v>
      </c>
      <c r="K135" s="12">
        <f>IF(AND(ISNUMBER(tblClean[[#This Row],[Duration Hours]]),ISNUMBER(tblClean[[#This Row],[Attributed GMV PHP]])),IF(tblClean[[#This Row],[Duration Hours]]&gt;0,tblClean[[#This Row],[Attributed GMV PHP]]/tblClean[[#This Row],[Duration Hours]],""),"")</f>
        <v>5246.8</v>
      </c>
      <c r="L135" s="22">
        <f>IF(ISNUMBER(tblClean[[#This Row],[Date]]),DATE(YEAR(tblClean[[#This Row],[Date]]),MONTH(tblClean[[#This Row],[Date]]),1),"")</f>
        <v>45839</v>
      </c>
      <c r="M135" s="10">
        <f>IF(ISNUMBER(tblClean[[#This Row],[Date]]),tblClean[[#This Row],[Date]]-WEEKDAY(tblClean[[#This Row],[Date]],2)+1,"")</f>
        <v>45838</v>
      </c>
      <c r="N135" s="23">
        <f>IF(ISNUMBER(tblClean[[#This Row],[Week Start]]),(tblClean[[#This Row],[Week Start]]-MIN(tblClean[Week Start]))/7+1,"")</f>
        <v>5</v>
      </c>
      <c r="O135" s="24" t="str">
        <f>IF(ISNUMBER(tblClean[[#This Row],[Date]]),CHOOSE(WEEKDAY(tblClean[[#This Row],[Date]],2),"Mon","Tue","Wed","Thu","Fri","Sat","Sun"),"")</f>
        <v>Thu</v>
      </c>
      <c r="P135" s="24" t="str">
        <f>IF(ISNUMBER(tblClean[[#This Row],[Date]]),IF(WEEKDAY(tblClean[[#This Row],[Date]],2)&gt;=6,"Weekend","Weekday"),"")</f>
        <v>Weekday</v>
      </c>
      <c r="Q13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35" s="9" t="str">
        <f>IF(ISNUMBER(tblClean[[#This Row],[Duration Hours]]),IF(tblClean[[#This Row],[Duration Hours]]&lt;2,"Short (under 2h)",IF(tblClean[[#This Row],[Duration Hours]]&lt;3,"Standard (2h to under 3h)","Long (3h or more)")),"")</f>
        <v>Standard (2h to under 3h)</v>
      </c>
      <c r="S13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35" s="24">
        <f>IF(COUNTIF(tblClean[Session ID],tblClean[[#This Row],[Session ID]])&gt;1,1,0)</f>
        <v>0</v>
      </c>
      <c r="U135" s="24">
        <f>IF(OR(N(tblClean[[#This Row],[Attributed GMV PHP]])&lt;0,N(tblClean[[#This Row],[Items Sold]])&lt;0,N(tblClean[[#This Row],[Livestream Views]])&lt;0,N(tblClean[[#This Row],[New Followers]])&lt;0),1,0)</f>
        <v>0</v>
      </c>
      <c r="V135" s="24">
        <f>IF(ISNUMBER(tblClean[[#This Row],[Duration Hours]]),IF(OR(tblClean[[#This Row],[Duration Hours]]&lt;=0,tblClean[[#This Row],[Duration Hours]]&gt;12),1,0),1)</f>
        <v>0</v>
      </c>
      <c r="W135" s="24">
        <f>IF(COUNTIF(HostRoster,tblClean[[#This Row],[Host Name]])=0,1,0)</f>
        <v>0</v>
      </c>
      <c r="X135" s="24">
        <f>IF(tblClean[[#This Row],[Missing Flag]]+tblClean[[#This Row],[Duplicate Flag]]+tblClean[[#This Row],[Negative Flag]]+tblClean[[#This Row],[Duration Flag]]+tblClean[[#This Row],[Host Flag]]=0,1,0)</f>
        <v>1</v>
      </c>
    </row>
    <row r="136" spans="1:24" x14ac:dyDescent="0.3">
      <c r="A136" s="9" t="str">
        <f>TRIM('Raw Data'!A132)</f>
        <v>LS-0128</v>
      </c>
      <c r="B136" s="10">
        <f>IF(ISNUMBER('Raw Data'!B132),INT('Raw Data'!B132),IFERROR(DATEVALUE('Raw Data'!B132),""))</f>
        <v>45841</v>
      </c>
      <c r="C136" s="9" t="str">
        <f>PROPER(TRIM('Raw Data'!C132))</f>
        <v>Aira Valdez</v>
      </c>
      <c r="D136" s="11">
        <f>IF(ISNUMBER('Raw Data'!D132),MOD('Raw Data'!D132,1),IFERROR(TIMEVALUE('Raw Data'!D132),""))</f>
        <v>0.79166666666666663</v>
      </c>
      <c r="E136" s="11">
        <f>IF(ISNUMBER('Raw Data'!E132),MOD('Raw Data'!E132,1),IFERROR(TIMEVALUE('Raw Data'!E132),""))</f>
        <v>0.875</v>
      </c>
      <c r="F136" s="12">
        <f>IF(ISNUMBER('Raw Data'!F132),'Raw Data'!F132,IFERROR(VALUE(SUBSTITUTE('Raw Data'!F132,",","")),""))</f>
        <v>20619</v>
      </c>
      <c r="G136" s="13">
        <f>IF(ISNUMBER('Raw Data'!G132),'Raw Data'!G132,IFERROR(VALUE(SUBSTITUTE('Raw Data'!G132,",","")),""))</f>
        <v>61</v>
      </c>
      <c r="H136" s="13">
        <f>IF(ISNUMBER('Raw Data'!H132),'Raw Data'!H132,IFERROR(VALUE(SUBSTITUTE('Raw Data'!H132,",","")),""))</f>
        <v>101576</v>
      </c>
      <c r="I136" s="13">
        <f>IF(ISNUMBER('Raw Data'!I132),'Raw Data'!I132,IFERROR(VALUE(SUBSTITUTE('Raw Data'!I132,",","")),""))</f>
        <v>1070</v>
      </c>
      <c r="J136" s="21">
        <f>IF(AND(ISNUMBER(tblClean[[#This Row],[Start Time]]),ISNUMBER(tblClean[[#This Row],[End Time]])),ROUND(MOD(tblClean[[#This Row],[End Time]]-tblClean[[#This Row],[Start Time]],1)*24,2),"")</f>
        <v>2</v>
      </c>
      <c r="K136" s="12">
        <f>IF(AND(ISNUMBER(tblClean[[#This Row],[Duration Hours]]),ISNUMBER(tblClean[[#This Row],[Attributed GMV PHP]])),IF(tblClean[[#This Row],[Duration Hours]]&gt;0,tblClean[[#This Row],[Attributed GMV PHP]]/tblClean[[#This Row],[Duration Hours]],""),"")</f>
        <v>10309.5</v>
      </c>
      <c r="L136" s="22">
        <f>IF(ISNUMBER(tblClean[[#This Row],[Date]]),DATE(YEAR(tblClean[[#This Row],[Date]]),MONTH(tblClean[[#This Row],[Date]]),1),"")</f>
        <v>45839</v>
      </c>
      <c r="M136" s="10">
        <f>IF(ISNUMBER(tblClean[[#This Row],[Date]]),tblClean[[#This Row],[Date]]-WEEKDAY(tblClean[[#This Row],[Date]],2)+1,"")</f>
        <v>45838</v>
      </c>
      <c r="N136" s="23">
        <f>IF(ISNUMBER(tblClean[[#This Row],[Week Start]]),(tblClean[[#This Row],[Week Start]]-MIN(tblClean[Week Start]))/7+1,"")</f>
        <v>5</v>
      </c>
      <c r="O136" s="24" t="str">
        <f>IF(ISNUMBER(tblClean[[#This Row],[Date]]),CHOOSE(WEEKDAY(tblClean[[#This Row],[Date]],2),"Mon","Tue","Wed","Thu","Fri","Sat","Sun"),"")</f>
        <v>Thu</v>
      </c>
      <c r="P136" s="24" t="str">
        <f>IF(ISNUMBER(tblClean[[#This Row],[Date]]),IF(WEEKDAY(tblClean[[#This Row],[Date]],2)&gt;=6,"Weekend","Weekday"),"")</f>
        <v>Weekday</v>
      </c>
      <c r="Q13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36" s="9" t="str">
        <f>IF(ISNUMBER(tblClean[[#This Row],[Duration Hours]]),IF(tblClean[[#This Row],[Duration Hours]]&lt;2,"Short (under 2h)",IF(tblClean[[#This Row],[Duration Hours]]&lt;3,"Standard (2h to under 3h)","Long (3h or more)")),"")</f>
        <v>Standard (2h to under 3h)</v>
      </c>
      <c r="S13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36" s="24">
        <f>IF(COUNTIF(tblClean[Session ID],tblClean[[#This Row],[Session ID]])&gt;1,1,0)</f>
        <v>0</v>
      </c>
      <c r="U136" s="24">
        <f>IF(OR(N(tblClean[[#This Row],[Attributed GMV PHP]])&lt;0,N(tblClean[[#This Row],[Items Sold]])&lt;0,N(tblClean[[#This Row],[Livestream Views]])&lt;0,N(tblClean[[#This Row],[New Followers]])&lt;0),1,0)</f>
        <v>0</v>
      </c>
      <c r="V136" s="24">
        <f>IF(ISNUMBER(tblClean[[#This Row],[Duration Hours]]),IF(OR(tblClean[[#This Row],[Duration Hours]]&lt;=0,tblClean[[#This Row],[Duration Hours]]&gt;12),1,0),1)</f>
        <v>0</v>
      </c>
      <c r="W136" s="24">
        <f>IF(COUNTIF(HostRoster,tblClean[[#This Row],[Host Name]])=0,1,0)</f>
        <v>0</v>
      </c>
      <c r="X136" s="24">
        <f>IF(tblClean[[#This Row],[Missing Flag]]+tblClean[[#This Row],[Duplicate Flag]]+tblClean[[#This Row],[Negative Flag]]+tblClean[[#This Row],[Duration Flag]]+tblClean[[#This Row],[Host Flag]]=0,1,0)</f>
        <v>1</v>
      </c>
    </row>
    <row r="137" spans="1:24" x14ac:dyDescent="0.3">
      <c r="A137" s="9" t="str">
        <f>TRIM('Raw Data'!A133)</f>
        <v>LS-0129</v>
      </c>
      <c r="B137" s="10">
        <f>IF(ISNUMBER('Raw Data'!B133),INT('Raw Data'!B133),IFERROR(DATEVALUE('Raw Data'!B133),""))</f>
        <v>45841</v>
      </c>
      <c r="C137" s="9" t="str">
        <f>PROPER(TRIM('Raw Data'!C133))</f>
        <v>Aira Valdez</v>
      </c>
      <c r="D137" s="11">
        <f>IF(ISNUMBER('Raw Data'!D133),MOD('Raw Data'!D133,1),IFERROR(TIMEVALUE('Raw Data'!D133),""))</f>
        <v>0.91666666666666663</v>
      </c>
      <c r="E137" s="11">
        <f>IF(ISNUMBER('Raw Data'!E133),MOD('Raw Data'!E133,1),IFERROR(TIMEVALUE('Raw Data'!E133),""))</f>
        <v>0</v>
      </c>
      <c r="F137" s="12">
        <f>IF(ISNUMBER('Raw Data'!F133),'Raw Data'!F133,IFERROR(VALUE(SUBSTITUTE('Raw Data'!F133,",","")),""))</f>
        <v>46943</v>
      </c>
      <c r="G137" s="13">
        <f>IF(ISNUMBER('Raw Data'!G133),'Raw Data'!G133,IFERROR(VALUE(SUBSTITUTE('Raw Data'!G133,",","")),""))</f>
        <v>131</v>
      </c>
      <c r="H137" s="13">
        <f>IF(ISNUMBER('Raw Data'!H133),'Raw Data'!H133,IFERROR(VALUE(SUBSTITUTE('Raw Data'!H133,",","")),""))</f>
        <v>101173</v>
      </c>
      <c r="I137" s="13">
        <f>IF(ISNUMBER('Raw Data'!I133),'Raw Data'!I133,IFERROR(VALUE(SUBSTITUTE('Raw Data'!I133,",","")),""))</f>
        <v>1221</v>
      </c>
      <c r="J137" s="21">
        <f>IF(AND(ISNUMBER(tblClean[[#This Row],[Start Time]]),ISNUMBER(tblClean[[#This Row],[End Time]])),ROUND(MOD(tblClean[[#This Row],[End Time]]-tblClean[[#This Row],[Start Time]],1)*24,2),"")</f>
        <v>2</v>
      </c>
      <c r="K137" s="12">
        <f>IF(AND(ISNUMBER(tblClean[[#This Row],[Duration Hours]]),ISNUMBER(tblClean[[#This Row],[Attributed GMV PHP]])),IF(tblClean[[#This Row],[Duration Hours]]&gt;0,tblClean[[#This Row],[Attributed GMV PHP]]/tblClean[[#This Row],[Duration Hours]],""),"")</f>
        <v>23471.5</v>
      </c>
      <c r="L137" s="22">
        <f>IF(ISNUMBER(tblClean[[#This Row],[Date]]),DATE(YEAR(tblClean[[#This Row],[Date]]),MONTH(tblClean[[#This Row],[Date]]),1),"")</f>
        <v>45839</v>
      </c>
      <c r="M137" s="10">
        <f>IF(ISNUMBER(tblClean[[#This Row],[Date]]),tblClean[[#This Row],[Date]]-WEEKDAY(tblClean[[#This Row],[Date]],2)+1,"")</f>
        <v>45838</v>
      </c>
      <c r="N137" s="23">
        <f>IF(ISNUMBER(tblClean[[#This Row],[Week Start]]),(tblClean[[#This Row],[Week Start]]-MIN(tblClean[Week Start]))/7+1,"")</f>
        <v>5</v>
      </c>
      <c r="O137" s="24" t="str">
        <f>IF(ISNUMBER(tblClean[[#This Row],[Date]]),CHOOSE(WEEKDAY(tblClean[[#This Row],[Date]],2),"Mon","Tue","Wed","Thu","Fri","Sat","Sun"),"")</f>
        <v>Thu</v>
      </c>
      <c r="P137" s="24" t="str">
        <f>IF(ISNUMBER(tblClean[[#This Row],[Date]]),IF(WEEKDAY(tblClean[[#This Row],[Date]],2)&gt;=6,"Weekend","Weekday"),"")</f>
        <v>Weekday</v>
      </c>
      <c r="Q13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37" s="9" t="str">
        <f>IF(ISNUMBER(tblClean[[#This Row],[Duration Hours]]),IF(tblClean[[#This Row],[Duration Hours]]&lt;2,"Short (under 2h)",IF(tblClean[[#This Row],[Duration Hours]]&lt;3,"Standard (2h to under 3h)","Long (3h or more)")),"")</f>
        <v>Standard (2h to under 3h)</v>
      </c>
      <c r="S13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37" s="24">
        <f>IF(COUNTIF(tblClean[Session ID],tblClean[[#This Row],[Session ID]])&gt;1,1,0)</f>
        <v>0</v>
      </c>
      <c r="U137" s="24">
        <f>IF(OR(N(tblClean[[#This Row],[Attributed GMV PHP]])&lt;0,N(tblClean[[#This Row],[Items Sold]])&lt;0,N(tblClean[[#This Row],[Livestream Views]])&lt;0,N(tblClean[[#This Row],[New Followers]])&lt;0),1,0)</f>
        <v>0</v>
      </c>
      <c r="V137" s="24">
        <f>IF(ISNUMBER(tblClean[[#This Row],[Duration Hours]]),IF(OR(tblClean[[#This Row],[Duration Hours]]&lt;=0,tblClean[[#This Row],[Duration Hours]]&gt;12),1,0),1)</f>
        <v>0</v>
      </c>
      <c r="W137" s="24">
        <f>IF(COUNTIF(HostRoster,tblClean[[#This Row],[Host Name]])=0,1,0)</f>
        <v>0</v>
      </c>
      <c r="X137" s="24">
        <f>IF(tblClean[[#This Row],[Missing Flag]]+tblClean[[#This Row],[Duplicate Flag]]+tblClean[[#This Row],[Negative Flag]]+tblClean[[#This Row],[Duration Flag]]+tblClean[[#This Row],[Host Flag]]=0,1,0)</f>
        <v>1</v>
      </c>
    </row>
    <row r="138" spans="1:24" x14ac:dyDescent="0.3">
      <c r="A138" s="9" t="str">
        <f>TRIM('Raw Data'!A134)</f>
        <v>LS-0130</v>
      </c>
      <c r="B138" s="10">
        <f>IF(ISNUMBER('Raw Data'!B134),INT('Raw Data'!B134),IFERROR(DATEVALUE('Raw Data'!B134),""))</f>
        <v>45842</v>
      </c>
      <c r="C138" s="9" t="str">
        <f>PROPER(TRIM('Raw Data'!C134))</f>
        <v>Dani Villanueva</v>
      </c>
      <c r="D138" s="11">
        <f>IF(ISNUMBER('Raw Data'!D134),MOD('Raw Data'!D134,1),IFERROR(TIMEVALUE('Raw Data'!D134),""))</f>
        <v>0.41666666666666669</v>
      </c>
      <c r="E138" s="11">
        <f>IF(ISNUMBER('Raw Data'!E134),MOD('Raw Data'!E134,1),IFERROR(TIMEVALUE('Raw Data'!E134),""))</f>
        <v>0.5</v>
      </c>
      <c r="F138" s="12">
        <f>IF(ISNUMBER('Raw Data'!F134),'Raw Data'!F134,IFERROR(VALUE(SUBSTITUTE('Raw Data'!F134,",","")),""))</f>
        <v>10322</v>
      </c>
      <c r="G138" s="13">
        <f>IF(ISNUMBER('Raw Data'!G134),'Raw Data'!G134,IFERROR(VALUE(SUBSTITUTE('Raw Data'!G134,",","")),""))</f>
        <v>26</v>
      </c>
      <c r="H138" s="13">
        <f>IF(ISNUMBER('Raw Data'!H134),'Raw Data'!H134,IFERROR(VALUE(SUBSTITUTE('Raw Data'!H134,",","")),""))</f>
        <v>43008</v>
      </c>
      <c r="I138" s="13">
        <f>IF(ISNUMBER('Raw Data'!I134),'Raw Data'!I134,IFERROR(VALUE(SUBSTITUTE('Raw Data'!I134,",","")),""))</f>
        <v>298</v>
      </c>
      <c r="J138" s="21">
        <f>IF(AND(ISNUMBER(tblClean[[#This Row],[Start Time]]),ISNUMBER(tblClean[[#This Row],[End Time]])),ROUND(MOD(tblClean[[#This Row],[End Time]]-tblClean[[#This Row],[Start Time]],1)*24,2),"")</f>
        <v>2</v>
      </c>
      <c r="K138" s="12">
        <f>IF(AND(ISNUMBER(tblClean[[#This Row],[Duration Hours]]),ISNUMBER(tblClean[[#This Row],[Attributed GMV PHP]])),IF(tblClean[[#This Row],[Duration Hours]]&gt;0,tblClean[[#This Row],[Attributed GMV PHP]]/tblClean[[#This Row],[Duration Hours]],""),"")</f>
        <v>5161</v>
      </c>
      <c r="L138" s="22">
        <f>IF(ISNUMBER(tblClean[[#This Row],[Date]]),DATE(YEAR(tblClean[[#This Row],[Date]]),MONTH(tblClean[[#This Row],[Date]]),1),"")</f>
        <v>45839</v>
      </c>
      <c r="M138" s="10">
        <f>IF(ISNUMBER(tblClean[[#This Row],[Date]]),tblClean[[#This Row],[Date]]-WEEKDAY(tblClean[[#This Row],[Date]],2)+1,"")</f>
        <v>45838</v>
      </c>
      <c r="N138" s="23">
        <f>IF(ISNUMBER(tblClean[[#This Row],[Week Start]]),(tblClean[[#This Row],[Week Start]]-MIN(tblClean[Week Start]))/7+1,"")</f>
        <v>5</v>
      </c>
      <c r="O138" s="24" t="str">
        <f>IF(ISNUMBER(tblClean[[#This Row],[Date]]),CHOOSE(WEEKDAY(tblClean[[#This Row],[Date]],2),"Mon","Tue","Wed","Thu","Fri","Sat","Sun"),"")</f>
        <v>Fri</v>
      </c>
      <c r="P138" s="24" t="str">
        <f>IF(ISNUMBER(tblClean[[#This Row],[Date]]),IF(WEEKDAY(tblClean[[#This Row],[Date]],2)&gt;=6,"Weekend","Weekday"),"")</f>
        <v>Weekday</v>
      </c>
      <c r="Q13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38" s="9" t="str">
        <f>IF(ISNUMBER(tblClean[[#This Row],[Duration Hours]]),IF(tblClean[[#This Row],[Duration Hours]]&lt;2,"Short (under 2h)",IF(tblClean[[#This Row],[Duration Hours]]&lt;3,"Standard (2h to under 3h)","Long (3h or more)")),"")</f>
        <v>Standard (2h to under 3h)</v>
      </c>
      <c r="S13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38" s="24">
        <f>IF(COUNTIF(tblClean[Session ID],tblClean[[#This Row],[Session ID]])&gt;1,1,0)</f>
        <v>0</v>
      </c>
      <c r="U138" s="24">
        <f>IF(OR(N(tblClean[[#This Row],[Attributed GMV PHP]])&lt;0,N(tblClean[[#This Row],[Items Sold]])&lt;0,N(tblClean[[#This Row],[Livestream Views]])&lt;0,N(tblClean[[#This Row],[New Followers]])&lt;0),1,0)</f>
        <v>0</v>
      </c>
      <c r="V138" s="24">
        <f>IF(ISNUMBER(tblClean[[#This Row],[Duration Hours]]),IF(OR(tblClean[[#This Row],[Duration Hours]]&lt;=0,tblClean[[#This Row],[Duration Hours]]&gt;12),1,0),1)</f>
        <v>0</v>
      </c>
      <c r="W138" s="24">
        <f>IF(COUNTIF(HostRoster,tblClean[[#This Row],[Host Name]])=0,1,0)</f>
        <v>0</v>
      </c>
      <c r="X138" s="24">
        <f>IF(tblClean[[#This Row],[Missing Flag]]+tblClean[[#This Row],[Duplicate Flag]]+tblClean[[#This Row],[Negative Flag]]+tblClean[[#This Row],[Duration Flag]]+tblClean[[#This Row],[Host Flag]]=0,1,0)</f>
        <v>1</v>
      </c>
    </row>
    <row r="139" spans="1:24" x14ac:dyDescent="0.3">
      <c r="A139" s="9" t="str">
        <f>TRIM('Raw Data'!A135)</f>
        <v>LS-0131</v>
      </c>
      <c r="B139" s="10">
        <f>IF(ISNUMBER('Raw Data'!B135),INT('Raw Data'!B135),IFERROR(DATEVALUE('Raw Data'!B135),""))</f>
        <v>45842</v>
      </c>
      <c r="C139" s="9" t="str">
        <f>PROPER(TRIM('Raw Data'!C135))</f>
        <v>Aira Valdez</v>
      </c>
      <c r="D139" s="11">
        <f>IF(ISNUMBER('Raw Data'!D135),MOD('Raw Data'!D135,1),IFERROR(TIMEVALUE('Raw Data'!D135),""))</f>
        <v>0.54166666666666663</v>
      </c>
      <c r="E139" s="11">
        <f>IF(ISNUMBER('Raw Data'!E135),MOD('Raw Data'!E135,1),IFERROR(TIMEVALUE('Raw Data'!E135),""))</f>
        <v>0.64583333333333337</v>
      </c>
      <c r="F139" s="12">
        <f>IF(ISNUMBER('Raw Data'!F135),'Raw Data'!F135,IFERROR(VALUE(SUBSTITUTE('Raw Data'!F135,",","")),""))</f>
        <v>36385</v>
      </c>
      <c r="G139" s="13">
        <f>IF(ISNUMBER('Raw Data'!G135),'Raw Data'!G135,IFERROR(VALUE(SUBSTITUTE('Raw Data'!G135,",","")),""))</f>
        <v>93</v>
      </c>
      <c r="H139" s="13">
        <f>IF(ISNUMBER('Raw Data'!H135),'Raw Data'!H135,IFERROR(VALUE(SUBSTITUTE('Raw Data'!H135,",","")),""))</f>
        <v>81708</v>
      </c>
      <c r="I139" s="13">
        <f>IF(ISNUMBER('Raw Data'!I135),'Raw Data'!I135,IFERROR(VALUE(SUBSTITUTE('Raw Data'!I135,",","")),""))</f>
        <v>404</v>
      </c>
      <c r="J139" s="21">
        <f>IF(AND(ISNUMBER(tblClean[[#This Row],[Start Time]]),ISNUMBER(tblClean[[#This Row],[End Time]])),ROUND(MOD(tblClean[[#This Row],[End Time]]-tblClean[[#This Row],[Start Time]],1)*24,2),"")</f>
        <v>2.5</v>
      </c>
      <c r="K139" s="12">
        <f>IF(AND(ISNUMBER(tblClean[[#This Row],[Duration Hours]]),ISNUMBER(tblClean[[#This Row],[Attributed GMV PHP]])),IF(tblClean[[#This Row],[Duration Hours]]&gt;0,tblClean[[#This Row],[Attributed GMV PHP]]/tblClean[[#This Row],[Duration Hours]],""),"")</f>
        <v>14554</v>
      </c>
      <c r="L139" s="22">
        <f>IF(ISNUMBER(tblClean[[#This Row],[Date]]),DATE(YEAR(tblClean[[#This Row],[Date]]),MONTH(tblClean[[#This Row],[Date]]),1),"")</f>
        <v>45839</v>
      </c>
      <c r="M139" s="10">
        <f>IF(ISNUMBER(tblClean[[#This Row],[Date]]),tblClean[[#This Row],[Date]]-WEEKDAY(tblClean[[#This Row],[Date]],2)+1,"")</f>
        <v>45838</v>
      </c>
      <c r="N139" s="23">
        <f>IF(ISNUMBER(tblClean[[#This Row],[Week Start]]),(tblClean[[#This Row],[Week Start]]-MIN(tblClean[Week Start]))/7+1,"")</f>
        <v>5</v>
      </c>
      <c r="O139" s="24" t="str">
        <f>IF(ISNUMBER(tblClean[[#This Row],[Date]]),CHOOSE(WEEKDAY(tblClean[[#This Row],[Date]],2),"Mon","Tue","Wed","Thu","Fri","Sat","Sun"),"")</f>
        <v>Fri</v>
      </c>
      <c r="P139" s="24" t="str">
        <f>IF(ISNUMBER(tblClean[[#This Row],[Date]]),IF(WEEKDAY(tblClean[[#This Row],[Date]],2)&gt;=6,"Weekend","Weekday"),"")</f>
        <v>Weekday</v>
      </c>
      <c r="Q13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39" s="9" t="str">
        <f>IF(ISNUMBER(tblClean[[#This Row],[Duration Hours]]),IF(tblClean[[#This Row],[Duration Hours]]&lt;2,"Short (under 2h)",IF(tblClean[[#This Row],[Duration Hours]]&lt;3,"Standard (2h to under 3h)","Long (3h or more)")),"")</f>
        <v>Standard (2h to under 3h)</v>
      </c>
      <c r="S13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39" s="24">
        <f>IF(COUNTIF(tblClean[Session ID],tblClean[[#This Row],[Session ID]])&gt;1,1,0)</f>
        <v>0</v>
      </c>
      <c r="U139" s="24">
        <f>IF(OR(N(tblClean[[#This Row],[Attributed GMV PHP]])&lt;0,N(tblClean[[#This Row],[Items Sold]])&lt;0,N(tblClean[[#This Row],[Livestream Views]])&lt;0,N(tblClean[[#This Row],[New Followers]])&lt;0),1,0)</f>
        <v>0</v>
      </c>
      <c r="V139" s="24">
        <f>IF(ISNUMBER(tblClean[[#This Row],[Duration Hours]]),IF(OR(tblClean[[#This Row],[Duration Hours]]&lt;=0,tblClean[[#This Row],[Duration Hours]]&gt;12),1,0),1)</f>
        <v>0</v>
      </c>
      <c r="W139" s="24">
        <f>IF(COUNTIF(HostRoster,tblClean[[#This Row],[Host Name]])=0,1,0)</f>
        <v>0</v>
      </c>
      <c r="X139" s="24">
        <f>IF(tblClean[[#This Row],[Missing Flag]]+tblClean[[#This Row],[Duplicate Flag]]+tblClean[[#This Row],[Negative Flag]]+tblClean[[#This Row],[Duration Flag]]+tblClean[[#This Row],[Host Flag]]=0,1,0)</f>
        <v>1</v>
      </c>
    </row>
    <row r="140" spans="1:24" x14ac:dyDescent="0.3">
      <c r="A140" s="9" t="str">
        <f>TRIM('Raw Data'!A136)</f>
        <v>LS-0132</v>
      </c>
      <c r="B140" s="10">
        <f>IF(ISNUMBER('Raw Data'!B136),INT('Raw Data'!B136),IFERROR(DATEVALUE('Raw Data'!B136),""))</f>
        <v>45842</v>
      </c>
      <c r="C140" s="9" t="str">
        <f>PROPER(TRIM('Raw Data'!C136))</f>
        <v>Aira Valdez</v>
      </c>
      <c r="D140" s="11">
        <f>IF(ISNUMBER('Raw Data'!D136),MOD('Raw Data'!D136,1),IFERROR(TIMEVALUE('Raw Data'!D136),""))</f>
        <v>0.66666666666666663</v>
      </c>
      <c r="E140" s="11">
        <f>IF(ISNUMBER('Raw Data'!E136),MOD('Raw Data'!E136,1),IFERROR(TIMEVALUE('Raw Data'!E136),""))</f>
        <v>0.75</v>
      </c>
      <c r="F140" s="12">
        <f>IF(ISNUMBER('Raw Data'!F136),'Raw Data'!F136,IFERROR(VALUE(SUBSTITUTE('Raw Data'!F136,",","")),""))</f>
        <v>46801</v>
      </c>
      <c r="G140" s="13">
        <f>IF(ISNUMBER('Raw Data'!G136),'Raw Data'!G136,IFERROR(VALUE(SUBSTITUTE('Raw Data'!G136,",","")),""))</f>
        <v>152</v>
      </c>
      <c r="H140" s="13">
        <f>IF(ISNUMBER('Raw Data'!H136),'Raw Data'!H136,IFERROR(VALUE(SUBSTITUTE('Raw Data'!H136,",","")),""))</f>
        <v>123454</v>
      </c>
      <c r="I140" s="13">
        <f>IF(ISNUMBER('Raw Data'!I136),'Raw Data'!I136,IFERROR(VALUE(SUBSTITUTE('Raw Data'!I136,",","")),""))</f>
        <v>1390</v>
      </c>
      <c r="J140" s="21">
        <f>IF(AND(ISNUMBER(tblClean[[#This Row],[Start Time]]),ISNUMBER(tblClean[[#This Row],[End Time]])),ROUND(MOD(tblClean[[#This Row],[End Time]]-tblClean[[#This Row],[Start Time]],1)*24,2),"")</f>
        <v>2</v>
      </c>
      <c r="K140" s="12">
        <f>IF(AND(ISNUMBER(tblClean[[#This Row],[Duration Hours]]),ISNUMBER(tblClean[[#This Row],[Attributed GMV PHP]])),IF(tblClean[[#This Row],[Duration Hours]]&gt;0,tblClean[[#This Row],[Attributed GMV PHP]]/tblClean[[#This Row],[Duration Hours]],""),"")</f>
        <v>23400.5</v>
      </c>
      <c r="L140" s="22">
        <f>IF(ISNUMBER(tblClean[[#This Row],[Date]]),DATE(YEAR(tblClean[[#This Row],[Date]]),MONTH(tblClean[[#This Row],[Date]]),1),"")</f>
        <v>45839</v>
      </c>
      <c r="M140" s="10">
        <f>IF(ISNUMBER(tblClean[[#This Row],[Date]]),tblClean[[#This Row],[Date]]-WEEKDAY(tblClean[[#This Row],[Date]],2)+1,"")</f>
        <v>45838</v>
      </c>
      <c r="N140" s="23">
        <f>IF(ISNUMBER(tblClean[[#This Row],[Week Start]]),(tblClean[[#This Row],[Week Start]]-MIN(tblClean[Week Start]))/7+1,"")</f>
        <v>5</v>
      </c>
      <c r="O140" s="24" t="str">
        <f>IF(ISNUMBER(tblClean[[#This Row],[Date]]),CHOOSE(WEEKDAY(tblClean[[#This Row],[Date]],2),"Mon","Tue","Wed","Thu","Fri","Sat","Sun"),"")</f>
        <v>Fri</v>
      </c>
      <c r="P140" s="24" t="str">
        <f>IF(ISNUMBER(tblClean[[#This Row],[Date]]),IF(WEEKDAY(tblClean[[#This Row],[Date]],2)&gt;=6,"Weekend","Weekday"),"")</f>
        <v>Weekday</v>
      </c>
      <c r="Q14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40" s="9" t="str">
        <f>IF(ISNUMBER(tblClean[[#This Row],[Duration Hours]]),IF(tblClean[[#This Row],[Duration Hours]]&lt;2,"Short (under 2h)",IF(tblClean[[#This Row],[Duration Hours]]&lt;3,"Standard (2h to under 3h)","Long (3h or more)")),"")</f>
        <v>Standard (2h to under 3h)</v>
      </c>
      <c r="S14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40" s="24">
        <f>IF(COUNTIF(tblClean[Session ID],tblClean[[#This Row],[Session ID]])&gt;1,1,0)</f>
        <v>0</v>
      </c>
      <c r="U140" s="24">
        <f>IF(OR(N(tblClean[[#This Row],[Attributed GMV PHP]])&lt;0,N(tblClean[[#This Row],[Items Sold]])&lt;0,N(tblClean[[#This Row],[Livestream Views]])&lt;0,N(tblClean[[#This Row],[New Followers]])&lt;0),1,0)</f>
        <v>0</v>
      </c>
      <c r="V140" s="24">
        <f>IF(ISNUMBER(tblClean[[#This Row],[Duration Hours]]),IF(OR(tblClean[[#This Row],[Duration Hours]]&lt;=0,tblClean[[#This Row],[Duration Hours]]&gt;12),1,0),1)</f>
        <v>0</v>
      </c>
      <c r="W140" s="24">
        <f>IF(COUNTIF(HostRoster,tblClean[[#This Row],[Host Name]])=0,1,0)</f>
        <v>0</v>
      </c>
      <c r="X140" s="24">
        <f>IF(tblClean[[#This Row],[Missing Flag]]+tblClean[[#This Row],[Duplicate Flag]]+tblClean[[#This Row],[Negative Flag]]+tblClean[[#This Row],[Duration Flag]]+tblClean[[#This Row],[Host Flag]]=0,1,0)</f>
        <v>1</v>
      </c>
    </row>
    <row r="141" spans="1:24" x14ac:dyDescent="0.3">
      <c r="A141" s="9" t="str">
        <f>TRIM('Raw Data'!A137)</f>
        <v>LS-0133</v>
      </c>
      <c r="B141" s="10">
        <f>IF(ISNUMBER('Raw Data'!B137),INT('Raw Data'!B137),IFERROR(DATEVALUE('Raw Data'!B137),""))</f>
        <v>45842</v>
      </c>
      <c r="C141" s="9" t="str">
        <f>PROPER(TRIM('Raw Data'!C137))</f>
        <v>Bianca Reyes</v>
      </c>
      <c r="D141" s="11">
        <f>IF(ISNUMBER('Raw Data'!D137),MOD('Raw Data'!D137,1),IFERROR(TIMEVALUE('Raw Data'!D137),""))</f>
        <v>0.79166666666666663</v>
      </c>
      <c r="E141" s="11">
        <f>IF(ISNUMBER('Raw Data'!E137),MOD('Raw Data'!E137,1),IFERROR(TIMEVALUE('Raw Data'!E137),""))</f>
        <v>0.91666666666666663</v>
      </c>
      <c r="F141" s="12">
        <f>IF(ISNUMBER('Raw Data'!F137),'Raw Data'!F137,IFERROR(VALUE(SUBSTITUTE('Raw Data'!F137,",","")),""))</f>
        <v>46623</v>
      </c>
      <c r="G141" s="13">
        <f>IF(ISNUMBER('Raw Data'!G137),'Raw Data'!G137,IFERROR(VALUE(SUBSTITUTE('Raw Data'!G137,",","")),""))</f>
        <v>113</v>
      </c>
      <c r="H141" s="13">
        <f>IF(ISNUMBER('Raw Data'!H137),'Raw Data'!H137,IFERROR(VALUE(SUBSTITUTE('Raw Data'!H137,",","")),""))</f>
        <v>215414</v>
      </c>
      <c r="I141" s="13">
        <f>IF(ISNUMBER('Raw Data'!I137),'Raw Data'!I137,IFERROR(VALUE(SUBSTITUTE('Raw Data'!I137,",","")),""))</f>
        <v>2127</v>
      </c>
      <c r="J141" s="21">
        <f>IF(AND(ISNUMBER(tblClean[[#This Row],[Start Time]]),ISNUMBER(tblClean[[#This Row],[End Time]])),ROUND(MOD(tblClean[[#This Row],[End Time]]-tblClean[[#This Row],[Start Time]],1)*24,2),"")</f>
        <v>3</v>
      </c>
      <c r="K141" s="12">
        <f>IF(AND(ISNUMBER(tblClean[[#This Row],[Duration Hours]]),ISNUMBER(tblClean[[#This Row],[Attributed GMV PHP]])),IF(tblClean[[#This Row],[Duration Hours]]&gt;0,tblClean[[#This Row],[Attributed GMV PHP]]/tblClean[[#This Row],[Duration Hours]],""),"")</f>
        <v>15541</v>
      </c>
      <c r="L141" s="22">
        <f>IF(ISNUMBER(tblClean[[#This Row],[Date]]),DATE(YEAR(tblClean[[#This Row],[Date]]),MONTH(tblClean[[#This Row],[Date]]),1),"")</f>
        <v>45839</v>
      </c>
      <c r="M141" s="10">
        <f>IF(ISNUMBER(tblClean[[#This Row],[Date]]),tblClean[[#This Row],[Date]]-WEEKDAY(tblClean[[#This Row],[Date]],2)+1,"")</f>
        <v>45838</v>
      </c>
      <c r="N141" s="23">
        <f>IF(ISNUMBER(tblClean[[#This Row],[Week Start]]),(tblClean[[#This Row],[Week Start]]-MIN(tblClean[Week Start]))/7+1,"")</f>
        <v>5</v>
      </c>
      <c r="O141" s="24" t="str">
        <f>IF(ISNUMBER(tblClean[[#This Row],[Date]]),CHOOSE(WEEKDAY(tblClean[[#This Row],[Date]],2),"Mon","Tue","Wed","Thu","Fri","Sat","Sun"),"")</f>
        <v>Fri</v>
      </c>
      <c r="P141" s="24" t="str">
        <f>IF(ISNUMBER(tblClean[[#This Row],[Date]]),IF(WEEKDAY(tblClean[[#This Row],[Date]],2)&gt;=6,"Weekend","Weekday"),"")</f>
        <v>Weekday</v>
      </c>
      <c r="Q14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41" s="9" t="str">
        <f>IF(ISNUMBER(tblClean[[#This Row],[Duration Hours]]),IF(tblClean[[#This Row],[Duration Hours]]&lt;2,"Short (under 2h)",IF(tblClean[[#This Row],[Duration Hours]]&lt;3,"Standard (2h to under 3h)","Long (3h or more)")),"")</f>
        <v>Long (3h or more)</v>
      </c>
      <c r="S14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41" s="24">
        <f>IF(COUNTIF(tblClean[Session ID],tblClean[[#This Row],[Session ID]])&gt;1,1,0)</f>
        <v>0</v>
      </c>
      <c r="U141" s="24">
        <f>IF(OR(N(tblClean[[#This Row],[Attributed GMV PHP]])&lt;0,N(tblClean[[#This Row],[Items Sold]])&lt;0,N(tblClean[[#This Row],[Livestream Views]])&lt;0,N(tblClean[[#This Row],[New Followers]])&lt;0),1,0)</f>
        <v>0</v>
      </c>
      <c r="V141" s="24">
        <f>IF(ISNUMBER(tblClean[[#This Row],[Duration Hours]]),IF(OR(tblClean[[#This Row],[Duration Hours]]&lt;=0,tblClean[[#This Row],[Duration Hours]]&gt;12),1,0),1)</f>
        <v>0</v>
      </c>
      <c r="W141" s="24">
        <f>IF(COUNTIF(HostRoster,tblClean[[#This Row],[Host Name]])=0,1,0)</f>
        <v>0</v>
      </c>
      <c r="X141" s="24">
        <f>IF(tblClean[[#This Row],[Missing Flag]]+tblClean[[#This Row],[Duplicate Flag]]+tblClean[[#This Row],[Negative Flag]]+tblClean[[#This Row],[Duration Flag]]+tblClean[[#This Row],[Host Flag]]=0,1,0)</f>
        <v>1</v>
      </c>
    </row>
    <row r="142" spans="1:24" x14ac:dyDescent="0.3">
      <c r="A142" s="9" t="str">
        <f>TRIM('Raw Data'!A138)</f>
        <v>LS-0134</v>
      </c>
      <c r="B142" s="10">
        <f>IF(ISNUMBER('Raw Data'!B138),INT('Raw Data'!B138),IFERROR(DATEVALUE('Raw Data'!B138),""))</f>
        <v>45842</v>
      </c>
      <c r="C142" s="9" t="str">
        <f>PROPER(TRIM('Raw Data'!C138))</f>
        <v>Carlo Mendoza</v>
      </c>
      <c r="D142" s="11">
        <f>IF(ISNUMBER('Raw Data'!D138),MOD('Raw Data'!D138,1),IFERROR(TIMEVALUE('Raw Data'!D138),""))</f>
        <v>0.91666666666666663</v>
      </c>
      <c r="E142" s="11">
        <f>IF(ISNUMBER('Raw Data'!E138),MOD('Raw Data'!E138,1),IFERROR(TIMEVALUE('Raw Data'!E138),""))</f>
        <v>4.1666666666666657E-2</v>
      </c>
      <c r="F142" s="12">
        <f>IF(ISNUMBER('Raw Data'!F138),'Raw Data'!F138,IFERROR(VALUE(SUBSTITUTE('Raw Data'!F138,",","")),""))</f>
        <v>38994</v>
      </c>
      <c r="G142" s="13">
        <f>IF(ISNUMBER('Raw Data'!G138),'Raw Data'!G138,IFERROR(VALUE(SUBSTITUTE('Raw Data'!G138,",","")),""))</f>
        <v>115</v>
      </c>
      <c r="H142" s="13">
        <f>IF(ISNUMBER('Raw Data'!H138),'Raw Data'!H138,IFERROR(VALUE(SUBSTITUTE('Raw Data'!H138,",","")),""))</f>
        <v>120484</v>
      </c>
      <c r="I142" s="13">
        <f>IF(ISNUMBER('Raw Data'!I138),'Raw Data'!I138,IFERROR(VALUE(SUBSTITUTE('Raw Data'!I138,",","")),""))</f>
        <v>642</v>
      </c>
      <c r="J142" s="21">
        <f>IF(AND(ISNUMBER(tblClean[[#This Row],[Start Time]]),ISNUMBER(tblClean[[#This Row],[End Time]])),ROUND(MOD(tblClean[[#This Row],[End Time]]-tblClean[[#This Row],[Start Time]],1)*24,2),"")</f>
        <v>3</v>
      </c>
      <c r="K142" s="12">
        <f>IF(AND(ISNUMBER(tblClean[[#This Row],[Duration Hours]]),ISNUMBER(tblClean[[#This Row],[Attributed GMV PHP]])),IF(tblClean[[#This Row],[Duration Hours]]&gt;0,tblClean[[#This Row],[Attributed GMV PHP]]/tblClean[[#This Row],[Duration Hours]],""),"")</f>
        <v>12998</v>
      </c>
      <c r="L142" s="22">
        <f>IF(ISNUMBER(tblClean[[#This Row],[Date]]),DATE(YEAR(tblClean[[#This Row],[Date]]),MONTH(tblClean[[#This Row],[Date]]),1),"")</f>
        <v>45839</v>
      </c>
      <c r="M142" s="10">
        <f>IF(ISNUMBER(tblClean[[#This Row],[Date]]),tblClean[[#This Row],[Date]]-WEEKDAY(tblClean[[#This Row],[Date]],2)+1,"")</f>
        <v>45838</v>
      </c>
      <c r="N142" s="23">
        <f>IF(ISNUMBER(tblClean[[#This Row],[Week Start]]),(tblClean[[#This Row],[Week Start]]-MIN(tblClean[Week Start]))/7+1,"")</f>
        <v>5</v>
      </c>
      <c r="O142" s="24" t="str">
        <f>IF(ISNUMBER(tblClean[[#This Row],[Date]]),CHOOSE(WEEKDAY(tblClean[[#This Row],[Date]],2),"Mon","Tue","Wed","Thu","Fri","Sat","Sun"),"")</f>
        <v>Fri</v>
      </c>
      <c r="P142" s="24" t="str">
        <f>IF(ISNUMBER(tblClean[[#This Row],[Date]]),IF(WEEKDAY(tblClean[[#This Row],[Date]],2)&gt;=6,"Weekend","Weekday"),"")</f>
        <v>Weekday</v>
      </c>
      <c r="Q14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42" s="9" t="str">
        <f>IF(ISNUMBER(tblClean[[#This Row],[Duration Hours]]),IF(tblClean[[#This Row],[Duration Hours]]&lt;2,"Short (under 2h)",IF(tblClean[[#This Row],[Duration Hours]]&lt;3,"Standard (2h to under 3h)","Long (3h or more)")),"")</f>
        <v>Long (3h or more)</v>
      </c>
      <c r="S14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42" s="24">
        <f>IF(COUNTIF(tblClean[Session ID],tblClean[[#This Row],[Session ID]])&gt;1,1,0)</f>
        <v>0</v>
      </c>
      <c r="U142" s="24">
        <f>IF(OR(N(tblClean[[#This Row],[Attributed GMV PHP]])&lt;0,N(tblClean[[#This Row],[Items Sold]])&lt;0,N(tblClean[[#This Row],[Livestream Views]])&lt;0,N(tblClean[[#This Row],[New Followers]])&lt;0),1,0)</f>
        <v>0</v>
      </c>
      <c r="V142" s="24">
        <f>IF(ISNUMBER(tblClean[[#This Row],[Duration Hours]]),IF(OR(tblClean[[#This Row],[Duration Hours]]&lt;=0,tblClean[[#This Row],[Duration Hours]]&gt;12),1,0),1)</f>
        <v>0</v>
      </c>
      <c r="W142" s="24">
        <f>IF(COUNTIF(HostRoster,tblClean[[#This Row],[Host Name]])=0,1,0)</f>
        <v>0</v>
      </c>
      <c r="X142" s="24">
        <f>IF(tblClean[[#This Row],[Missing Flag]]+tblClean[[#This Row],[Duplicate Flag]]+tblClean[[#This Row],[Negative Flag]]+tblClean[[#This Row],[Duration Flag]]+tblClean[[#This Row],[Host Flag]]=0,1,0)</f>
        <v>1</v>
      </c>
    </row>
    <row r="143" spans="1:24" x14ac:dyDescent="0.3">
      <c r="A143" s="9" t="str">
        <f>TRIM('Raw Data'!A139)</f>
        <v>LS-0135</v>
      </c>
      <c r="B143" s="10">
        <f>IF(ISNUMBER('Raw Data'!B139),INT('Raw Data'!B139),IFERROR(DATEVALUE('Raw Data'!B139),""))</f>
        <v>45843</v>
      </c>
      <c r="C143" s="9" t="str">
        <f>PROPER(TRIM('Raw Data'!C139))</f>
        <v>Carlo Mendoza</v>
      </c>
      <c r="D143" s="11">
        <f>IF(ISNUMBER('Raw Data'!D139),MOD('Raw Data'!D139,1),IFERROR(TIMEVALUE('Raw Data'!D139),""))</f>
        <v>0.54166666666666663</v>
      </c>
      <c r="E143" s="11">
        <f>IF(ISNUMBER('Raw Data'!E139),MOD('Raw Data'!E139,1),IFERROR(TIMEVALUE('Raw Data'!E139),""))</f>
        <v>0.64583333333333337</v>
      </c>
      <c r="F143" s="12">
        <f>IF(ISNUMBER('Raw Data'!F139),'Raw Data'!F139,IFERROR(VALUE(SUBSTITUTE('Raw Data'!F139,",","")),""))</f>
        <v>26527</v>
      </c>
      <c r="G143" s="13">
        <f>IF(ISNUMBER('Raw Data'!G139),'Raw Data'!G139,IFERROR(VALUE(SUBSTITUTE('Raw Data'!G139,",","")),""))</f>
        <v>83</v>
      </c>
      <c r="H143" s="13">
        <f>IF(ISNUMBER('Raw Data'!H139),'Raw Data'!H139,IFERROR(VALUE(SUBSTITUTE('Raw Data'!H139,",","")),""))</f>
        <v>69504</v>
      </c>
      <c r="I143" s="13">
        <f>IF(ISNUMBER('Raw Data'!I139),'Raw Data'!I139,IFERROR(VALUE(SUBSTITUTE('Raw Data'!I139,",","")),""))</f>
        <v>607</v>
      </c>
      <c r="J143" s="21">
        <f>IF(AND(ISNUMBER(tblClean[[#This Row],[Start Time]]),ISNUMBER(tblClean[[#This Row],[End Time]])),ROUND(MOD(tblClean[[#This Row],[End Time]]-tblClean[[#This Row],[Start Time]],1)*24,2),"")</f>
        <v>2.5</v>
      </c>
      <c r="K143" s="12">
        <f>IF(AND(ISNUMBER(tblClean[[#This Row],[Duration Hours]]),ISNUMBER(tblClean[[#This Row],[Attributed GMV PHP]])),IF(tblClean[[#This Row],[Duration Hours]]&gt;0,tblClean[[#This Row],[Attributed GMV PHP]]/tblClean[[#This Row],[Duration Hours]],""),"")</f>
        <v>10610.8</v>
      </c>
      <c r="L143" s="22">
        <f>IF(ISNUMBER(tblClean[[#This Row],[Date]]),DATE(YEAR(tblClean[[#This Row],[Date]]),MONTH(tblClean[[#This Row],[Date]]),1),"")</f>
        <v>45839</v>
      </c>
      <c r="M143" s="10">
        <f>IF(ISNUMBER(tblClean[[#This Row],[Date]]),tblClean[[#This Row],[Date]]-WEEKDAY(tblClean[[#This Row],[Date]],2)+1,"")</f>
        <v>45838</v>
      </c>
      <c r="N143" s="23">
        <f>IF(ISNUMBER(tblClean[[#This Row],[Week Start]]),(tblClean[[#This Row],[Week Start]]-MIN(tblClean[Week Start]))/7+1,"")</f>
        <v>5</v>
      </c>
      <c r="O143" s="24" t="str">
        <f>IF(ISNUMBER(tblClean[[#This Row],[Date]]),CHOOSE(WEEKDAY(tblClean[[#This Row],[Date]],2),"Mon","Tue","Wed","Thu","Fri","Sat","Sun"),"")</f>
        <v>Sat</v>
      </c>
      <c r="P143" s="24" t="str">
        <f>IF(ISNUMBER(tblClean[[#This Row],[Date]]),IF(WEEKDAY(tblClean[[#This Row],[Date]],2)&gt;=6,"Weekend","Weekday"),"")</f>
        <v>Weekend</v>
      </c>
      <c r="Q14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43" s="9" t="str">
        <f>IF(ISNUMBER(tblClean[[#This Row],[Duration Hours]]),IF(tblClean[[#This Row],[Duration Hours]]&lt;2,"Short (under 2h)",IF(tblClean[[#This Row],[Duration Hours]]&lt;3,"Standard (2h to under 3h)","Long (3h or more)")),"")</f>
        <v>Standard (2h to under 3h)</v>
      </c>
      <c r="S14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43" s="24">
        <f>IF(COUNTIF(tblClean[Session ID],tblClean[[#This Row],[Session ID]])&gt;1,1,0)</f>
        <v>0</v>
      </c>
      <c r="U143" s="24">
        <f>IF(OR(N(tblClean[[#This Row],[Attributed GMV PHP]])&lt;0,N(tblClean[[#This Row],[Items Sold]])&lt;0,N(tblClean[[#This Row],[Livestream Views]])&lt;0,N(tblClean[[#This Row],[New Followers]])&lt;0),1,0)</f>
        <v>0</v>
      </c>
      <c r="V143" s="24">
        <f>IF(ISNUMBER(tblClean[[#This Row],[Duration Hours]]),IF(OR(tblClean[[#This Row],[Duration Hours]]&lt;=0,tblClean[[#This Row],[Duration Hours]]&gt;12),1,0),1)</f>
        <v>0</v>
      </c>
      <c r="W143" s="24">
        <f>IF(COUNTIF(HostRoster,tblClean[[#This Row],[Host Name]])=0,1,0)</f>
        <v>0</v>
      </c>
      <c r="X143" s="24">
        <f>IF(tblClean[[#This Row],[Missing Flag]]+tblClean[[#This Row],[Duplicate Flag]]+tblClean[[#This Row],[Negative Flag]]+tblClean[[#This Row],[Duration Flag]]+tblClean[[#This Row],[Host Flag]]=0,1,0)</f>
        <v>1</v>
      </c>
    </row>
    <row r="144" spans="1:24" x14ac:dyDescent="0.3">
      <c r="A144" s="9" t="str">
        <f>TRIM('Raw Data'!A140)</f>
        <v>LS-0136</v>
      </c>
      <c r="B144" s="10">
        <f>IF(ISNUMBER('Raw Data'!B140),INT('Raw Data'!B140),IFERROR(DATEVALUE('Raw Data'!B140),""))</f>
        <v>45843</v>
      </c>
      <c r="C144" s="9" t="str">
        <f>PROPER(TRIM('Raw Data'!C140))</f>
        <v>Carlo Mendoza</v>
      </c>
      <c r="D144" s="11">
        <f>IF(ISNUMBER('Raw Data'!D140),MOD('Raw Data'!D140,1),IFERROR(TIMEVALUE('Raw Data'!D140),""))</f>
        <v>0.66666666666666663</v>
      </c>
      <c r="E144" s="11">
        <f>IF(ISNUMBER('Raw Data'!E140),MOD('Raw Data'!E140,1),IFERROR(TIMEVALUE('Raw Data'!E140),""))</f>
        <v>0.77083333333333337</v>
      </c>
      <c r="F144" s="12">
        <f>IF(ISNUMBER('Raw Data'!F140),'Raw Data'!F140,IFERROR(VALUE(SUBSTITUTE('Raw Data'!F140,",","")),""))</f>
        <v>36948</v>
      </c>
      <c r="G144" s="13">
        <f>IF(ISNUMBER('Raw Data'!G140),'Raw Data'!G140,IFERROR(VALUE(SUBSTITUTE('Raw Data'!G140,",","")),""))</f>
        <v>110</v>
      </c>
      <c r="H144" s="13">
        <f>IF(ISNUMBER('Raw Data'!H140),'Raw Data'!H140,IFERROR(VALUE(SUBSTITUTE('Raw Data'!H140,",","")),""))</f>
        <v>137111</v>
      </c>
      <c r="I144" s="13">
        <f>IF(ISNUMBER('Raw Data'!I140),'Raw Data'!I140,IFERROR(VALUE(SUBSTITUTE('Raw Data'!I140,",","")),""))</f>
        <v>566</v>
      </c>
      <c r="J144" s="21">
        <f>IF(AND(ISNUMBER(tblClean[[#This Row],[Start Time]]),ISNUMBER(tblClean[[#This Row],[End Time]])),ROUND(MOD(tblClean[[#This Row],[End Time]]-tblClean[[#This Row],[Start Time]],1)*24,2),"")</f>
        <v>2.5</v>
      </c>
      <c r="K144" s="12">
        <f>IF(AND(ISNUMBER(tblClean[[#This Row],[Duration Hours]]),ISNUMBER(tblClean[[#This Row],[Attributed GMV PHP]])),IF(tblClean[[#This Row],[Duration Hours]]&gt;0,tblClean[[#This Row],[Attributed GMV PHP]]/tblClean[[#This Row],[Duration Hours]],""),"")</f>
        <v>14779.2</v>
      </c>
      <c r="L144" s="22">
        <f>IF(ISNUMBER(tblClean[[#This Row],[Date]]),DATE(YEAR(tblClean[[#This Row],[Date]]),MONTH(tblClean[[#This Row],[Date]]),1),"")</f>
        <v>45839</v>
      </c>
      <c r="M144" s="10">
        <f>IF(ISNUMBER(tblClean[[#This Row],[Date]]),tblClean[[#This Row],[Date]]-WEEKDAY(tblClean[[#This Row],[Date]],2)+1,"")</f>
        <v>45838</v>
      </c>
      <c r="N144" s="23">
        <f>IF(ISNUMBER(tblClean[[#This Row],[Week Start]]),(tblClean[[#This Row],[Week Start]]-MIN(tblClean[Week Start]))/7+1,"")</f>
        <v>5</v>
      </c>
      <c r="O144" s="24" t="str">
        <f>IF(ISNUMBER(tblClean[[#This Row],[Date]]),CHOOSE(WEEKDAY(tblClean[[#This Row],[Date]],2),"Mon","Tue","Wed","Thu","Fri","Sat","Sun"),"")</f>
        <v>Sat</v>
      </c>
      <c r="P144" s="24" t="str">
        <f>IF(ISNUMBER(tblClean[[#This Row],[Date]]),IF(WEEKDAY(tblClean[[#This Row],[Date]],2)&gt;=6,"Weekend","Weekday"),"")</f>
        <v>Weekend</v>
      </c>
      <c r="Q14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44" s="9" t="str">
        <f>IF(ISNUMBER(tblClean[[#This Row],[Duration Hours]]),IF(tblClean[[#This Row],[Duration Hours]]&lt;2,"Short (under 2h)",IF(tblClean[[#This Row],[Duration Hours]]&lt;3,"Standard (2h to under 3h)","Long (3h or more)")),"")</f>
        <v>Standard (2h to under 3h)</v>
      </c>
      <c r="S14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44" s="24">
        <f>IF(COUNTIF(tblClean[Session ID],tblClean[[#This Row],[Session ID]])&gt;1,1,0)</f>
        <v>0</v>
      </c>
      <c r="U144" s="24">
        <f>IF(OR(N(tblClean[[#This Row],[Attributed GMV PHP]])&lt;0,N(tblClean[[#This Row],[Items Sold]])&lt;0,N(tblClean[[#This Row],[Livestream Views]])&lt;0,N(tblClean[[#This Row],[New Followers]])&lt;0),1,0)</f>
        <v>0</v>
      </c>
      <c r="V144" s="24">
        <f>IF(ISNUMBER(tblClean[[#This Row],[Duration Hours]]),IF(OR(tblClean[[#This Row],[Duration Hours]]&lt;=0,tblClean[[#This Row],[Duration Hours]]&gt;12),1,0),1)</f>
        <v>0</v>
      </c>
      <c r="W144" s="24">
        <f>IF(COUNTIF(HostRoster,tblClean[[#This Row],[Host Name]])=0,1,0)</f>
        <v>0</v>
      </c>
      <c r="X144" s="24">
        <f>IF(tblClean[[#This Row],[Missing Flag]]+tblClean[[#This Row],[Duplicate Flag]]+tblClean[[#This Row],[Negative Flag]]+tblClean[[#This Row],[Duration Flag]]+tblClean[[#This Row],[Host Flag]]=0,1,0)</f>
        <v>1</v>
      </c>
    </row>
    <row r="145" spans="1:24" x14ac:dyDescent="0.3">
      <c r="A145" s="9" t="str">
        <f>TRIM('Raw Data'!A141)</f>
        <v>LS-0137</v>
      </c>
      <c r="B145" s="10">
        <f>IF(ISNUMBER('Raw Data'!B141),INT('Raw Data'!B141),IFERROR(DATEVALUE('Raw Data'!B141),""))</f>
        <v>45843</v>
      </c>
      <c r="C145" s="9" t="str">
        <f>PROPER(TRIM('Raw Data'!C141))</f>
        <v>Carlo Mendoza</v>
      </c>
      <c r="D145" s="11">
        <f>IF(ISNUMBER('Raw Data'!D141),MOD('Raw Data'!D141,1),IFERROR(TIMEVALUE('Raw Data'!D141),""))</f>
        <v>0.79166666666666663</v>
      </c>
      <c r="E145" s="11">
        <f>IF(ISNUMBER('Raw Data'!E141),MOD('Raw Data'!E141,1),IFERROR(TIMEVALUE('Raw Data'!E141),""))</f>
        <v>0.875</v>
      </c>
      <c r="F145" s="12">
        <f>IF(ISNUMBER('Raw Data'!F141),'Raw Data'!F141,IFERROR(VALUE(SUBSTITUTE('Raw Data'!F141,",","")),""))</f>
        <v>9542</v>
      </c>
      <c r="G145" s="13">
        <f>IF(ISNUMBER('Raw Data'!G141),'Raw Data'!G141,IFERROR(VALUE(SUBSTITUTE('Raw Data'!G141,",","")),""))</f>
        <v>29</v>
      </c>
      <c r="H145" s="13">
        <f>IF(ISNUMBER('Raw Data'!H141),'Raw Data'!H141,IFERROR(VALUE(SUBSTITUTE('Raw Data'!H141,",","")),""))</f>
        <v>35966</v>
      </c>
      <c r="I145" s="13">
        <f>IF(ISNUMBER('Raw Data'!I141),'Raw Data'!I141,IFERROR(VALUE(SUBSTITUTE('Raw Data'!I141,",","")),""))</f>
        <v>455</v>
      </c>
      <c r="J145" s="21">
        <f>IF(AND(ISNUMBER(tblClean[[#This Row],[Start Time]]),ISNUMBER(tblClean[[#This Row],[End Time]])),ROUND(MOD(tblClean[[#This Row],[End Time]]-tblClean[[#This Row],[Start Time]],1)*24,2),"")</f>
        <v>2</v>
      </c>
      <c r="K145" s="12">
        <f>IF(AND(ISNUMBER(tblClean[[#This Row],[Duration Hours]]),ISNUMBER(tblClean[[#This Row],[Attributed GMV PHP]])),IF(tblClean[[#This Row],[Duration Hours]]&gt;0,tblClean[[#This Row],[Attributed GMV PHP]]/tblClean[[#This Row],[Duration Hours]],""),"")</f>
        <v>4771</v>
      </c>
      <c r="L145" s="22">
        <f>IF(ISNUMBER(tblClean[[#This Row],[Date]]),DATE(YEAR(tblClean[[#This Row],[Date]]),MONTH(tblClean[[#This Row],[Date]]),1),"")</f>
        <v>45839</v>
      </c>
      <c r="M145" s="10">
        <f>IF(ISNUMBER(tblClean[[#This Row],[Date]]),tblClean[[#This Row],[Date]]-WEEKDAY(tblClean[[#This Row],[Date]],2)+1,"")</f>
        <v>45838</v>
      </c>
      <c r="N145" s="23">
        <f>IF(ISNUMBER(tblClean[[#This Row],[Week Start]]),(tblClean[[#This Row],[Week Start]]-MIN(tblClean[Week Start]))/7+1,"")</f>
        <v>5</v>
      </c>
      <c r="O145" s="24" t="str">
        <f>IF(ISNUMBER(tblClean[[#This Row],[Date]]),CHOOSE(WEEKDAY(tblClean[[#This Row],[Date]],2),"Mon","Tue","Wed","Thu","Fri","Sat","Sun"),"")</f>
        <v>Sat</v>
      </c>
      <c r="P145" s="24" t="str">
        <f>IF(ISNUMBER(tblClean[[#This Row],[Date]]),IF(WEEKDAY(tblClean[[#This Row],[Date]],2)&gt;=6,"Weekend","Weekday"),"")</f>
        <v>Weekend</v>
      </c>
      <c r="Q14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45" s="9" t="str">
        <f>IF(ISNUMBER(tblClean[[#This Row],[Duration Hours]]),IF(tblClean[[#This Row],[Duration Hours]]&lt;2,"Short (under 2h)",IF(tblClean[[#This Row],[Duration Hours]]&lt;3,"Standard (2h to under 3h)","Long (3h or more)")),"")</f>
        <v>Standard (2h to under 3h)</v>
      </c>
      <c r="S14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45" s="24">
        <f>IF(COUNTIF(tblClean[Session ID],tblClean[[#This Row],[Session ID]])&gt;1,1,0)</f>
        <v>0</v>
      </c>
      <c r="U145" s="24">
        <f>IF(OR(N(tblClean[[#This Row],[Attributed GMV PHP]])&lt;0,N(tblClean[[#This Row],[Items Sold]])&lt;0,N(tblClean[[#This Row],[Livestream Views]])&lt;0,N(tblClean[[#This Row],[New Followers]])&lt;0),1,0)</f>
        <v>0</v>
      </c>
      <c r="V145" s="24">
        <f>IF(ISNUMBER(tblClean[[#This Row],[Duration Hours]]),IF(OR(tblClean[[#This Row],[Duration Hours]]&lt;=0,tblClean[[#This Row],[Duration Hours]]&gt;12),1,0),1)</f>
        <v>0</v>
      </c>
      <c r="W145" s="24">
        <f>IF(COUNTIF(HostRoster,tblClean[[#This Row],[Host Name]])=0,1,0)</f>
        <v>0</v>
      </c>
      <c r="X145" s="24">
        <f>IF(tblClean[[#This Row],[Missing Flag]]+tblClean[[#This Row],[Duplicate Flag]]+tblClean[[#This Row],[Negative Flag]]+tblClean[[#This Row],[Duration Flag]]+tblClean[[#This Row],[Host Flag]]=0,1,0)</f>
        <v>1</v>
      </c>
    </row>
    <row r="146" spans="1:24" x14ac:dyDescent="0.3">
      <c r="A146" s="9" t="str">
        <f>TRIM('Raw Data'!A142)</f>
        <v>LS-0138</v>
      </c>
      <c r="B146" s="10">
        <f>IF(ISNUMBER('Raw Data'!B142),INT('Raw Data'!B142),IFERROR(DATEVALUE('Raw Data'!B142),""))</f>
        <v>45843</v>
      </c>
      <c r="C146" s="9" t="str">
        <f>PROPER(TRIM('Raw Data'!C142))</f>
        <v>Dani Villanueva</v>
      </c>
      <c r="D146" s="11">
        <f>IF(ISNUMBER('Raw Data'!D142),MOD('Raw Data'!D142,1),IFERROR(TIMEVALUE('Raw Data'!D142),""))</f>
        <v>0.91666666666666663</v>
      </c>
      <c r="E146" s="11">
        <f>IF(ISNUMBER('Raw Data'!E142),MOD('Raw Data'!E142,1),IFERROR(TIMEVALUE('Raw Data'!E142),""))</f>
        <v>0</v>
      </c>
      <c r="F146" s="12">
        <f>IF(ISNUMBER('Raw Data'!F142),'Raw Data'!F142,IFERROR(VALUE(SUBSTITUTE('Raw Data'!F142,",","")),""))</f>
        <v>18785</v>
      </c>
      <c r="G146" s="13">
        <f>IF(ISNUMBER('Raw Data'!G142),'Raw Data'!G142,IFERROR(VALUE(SUBSTITUTE('Raw Data'!G142,",","")),""))</f>
        <v>51</v>
      </c>
      <c r="H146" s="13">
        <f>IF(ISNUMBER('Raw Data'!H142),'Raw Data'!H142,IFERROR(VALUE(SUBSTITUTE('Raw Data'!H142,",","")),""))</f>
        <v>56924</v>
      </c>
      <c r="I146" s="13">
        <f>IF(ISNUMBER('Raw Data'!I142),'Raw Data'!I142,IFERROR(VALUE(SUBSTITUTE('Raw Data'!I142,",","")),""))</f>
        <v>539</v>
      </c>
      <c r="J146" s="21">
        <f>IF(AND(ISNUMBER(tblClean[[#This Row],[Start Time]]),ISNUMBER(tblClean[[#This Row],[End Time]])),ROUND(MOD(tblClean[[#This Row],[End Time]]-tblClean[[#This Row],[Start Time]],1)*24,2),"")</f>
        <v>2</v>
      </c>
      <c r="K146" s="12">
        <f>IF(AND(ISNUMBER(tblClean[[#This Row],[Duration Hours]]),ISNUMBER(tblClean[[#This Row],[Attributed GMV PHP]])),IF(tblClean[[#This Row],[Duration Hours]]&gt;0,tblClean[[#This Row],[Attributed GMV PHP]]/tblClean[[#This Row],[Duration Hours]],""),"")</f>
        <v>9392.5</v>
      </c>
      <c r="L146" s="22">
        <f>IF(ISNUMBER(tblClean[[#This Row],[Date]]),DATE(YEAR(tblClean[[#This Row],[Date]]),MONTH(tblClean[[#This Row],[Date]]),1),"")</f>
        <v>45839</v>
      </c>
      <c r="M146" s="10">
        <f>IF(ISNUMBER(tblClean[[#This Row],[Date]]),tblClean[[#This Row],[Date]]-WEEKDAY(tblClean[[#This Row],[Date]],2)+1,"")</f>
        <v>45838</v>
      </c>
      <c r="N146" s="23">
        <f>IF(ISNUMBER(tblClean[[#This Row],[Week Start]]),(tblClean[[#This Row],[Week Start]]-MIN(tblClean[Week Start]))/7+1,"")</f>
        <v>5</v>
      </c>
      <c r="O146" s="24" t="str">
        <f>IF(ISNUMBER(tblClean[[#This Row],[Date]]),CHOOSE(WEEKDAY(tblClean[[#This Row],[Date]],2),"Mon","Tue","Wed","Thu","Fri","Sat","Sun"),"")</f>
        <v>Sat</v>
      </c>
      <c r="P146" s="24" t="str">
        <f>IF(ISNUMBER(tblClean[[#This Row],[Date]]),IF(WEEKDAY(tblClean[[#This Row],[Date]],2)&gt;=6,"Weekend","Weekday"),"")</f>
        <v>Weekend</v>
      </c>
      <c r="Q14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46" s="9" t="str">
        <f>IF(ISNUMBER(tblClean[[#This Row],[Duration Hours]]),IF(tblClean[[#This Row],[Duration Hours]]&lt;2,"Short (under 2h)",IF(tblClean[[#This Row],[Duration Hours]]&lt;3,"Standard (2h to under 3h)","Long (3h or more)")),"")</f>
        <v>Standard (2h to under 3h)</v>
      </c>
      <c r="S14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46" s="24">
        <f>IF(COUNTIF(tblClean[Session ID],tblClean[[#This Row],[Session ID]])&gt;1,1,0)</f>
        <v>0</v>
      </c>
      <c r="U146" s="24">
        <f>IF(OR(N(tblClean[[#This Row],[Attributed GMV PHP]])&lt;0,N(tblClean[[#This Row],[Items Sold]])&lt;0,N(tblClean[[#This Row],[Livestream Views]])&lt;0,N(tblClean[[#This Row],[New Followers]])&lt;0),1,0)</f>
        <v>0</v>
      </c>
      <c r="V146" s="24">
        <f>IF(ISNUMBER(tblClean[[#This Row],[Duration Hours]]),IF(OR(tblClean[[#This Row],[Duration Hours]]&lt;=0,tblClean[[#This Row],[Duration Hours]]&gt;12),1,0),1)</f>
        <v>0</v>
      </c>
      <c r="W146" s="24">
        <f>IF(COUNTIF(HostRoster,tblClean[[#This Row],[Host Name]])=0,1,0)</f>
        <v>0</v>
      </c>
      <c r="X146" s="24">
        <f>IF(tblClean[[#This Row],[Missing Flag]]+tblClean[[#This Row],[Duplicate Flag]]+tblClean[[#This Row],[Negative Flag]]+tblClean[[#This Row],[Duration Flag]]+tblClean[[#This Row],[Host Flag]]=0,1,0)</f>
        <v>1</v>
      </c>
    </row>
    <row r="147" spans="1:24" x14ac:dyDescent="0.3">
      <c r="A147" s="9" t="str">
        <f>TRIM('Raw Data'!A143)</f>
        <v>LS-0139</v>
      </c>
      <c r="B147" s="10">
        <f>IF(ISNUMBER('Raw Data'!B143),INT('Raw Data'!B143),IFERROR(DATEVALUE('Raw Data'!B143),""))</f>
        <v>45844</v>
      </c>
      <c r="C147" s="9" t="str">
        <f>PROPER(TRIM('Raw Data'!C143))</f>
        <v>Dani Villanueva</v>
      </c>
      <c r="D147" s="11">
        <f>IF(ISNUMBER('Raw Data'!D143),MOD('Raw Data'!D143,1),IFERROR(TIMEVALUE('Raw Data'!D143),""))</f>
        <v>0.41666666666666669</v>
      </c>
      <c r="E147" s="11">
        <f>IF(ISNUMBER('Raw Data'!E143),MOD('Raw Data'!E143,1),IFERROR(TIMEVALUE('Raw Data'!E143),""))</f>
        <v>0.54166666666666663</v>
      </c>
      <c r="F147" s="12">
        <f>IF(ISNUMBER('Raw Data'!F143),'Raw Data'!F143,IFERROR(VALUE(SUBSTITUTE('Raw Data'!F143,",","")),""))</f>
        <v>24551</v>
      </c>
      <c r="G147" s="13">
        <f>IF(ISNUMBER('Raw Data'!G143),'Raw Data'!G143,IFERROR(VALUE(SUBSTITUTE('Raw Data'!G143,",","")),""))</f>
        <v>87</v>
      </c>
      <c r="H147" s="13">
        <f>IF(ISNUMBER('Raw Data'!H143),'Raw Data'!H143,IFERROR(VALUE(SUBSTITUTE('Raw Data'!H143,",","")),""))</f>
        <v>66280</v>
      </c>
      <c r="I147" s="13">
        <f>IF(ISNUMBER('Raw Data'!I143),'Raw Data'!I143,IFERROR(VALUE(SUBSTITUTE('Raw Data'!I143,",","")),""))</f>
        <v>509</v>
      </c>
      <c r="J147" s="21">
        <f>IF(AND(ISNUMBER(tblClean[[#This Row],[Start Time]]),ISNUMBER(tblClean[[#This Row],[End Time]])),ROUND(MOD(tblClean[[#This Row],[End Time]]-tblClean[[#This Row],[Start Time]],1)*24,2),"")</f>
        <v>3</v>
      </c>
      <c r="K147" s="12">
        <f>IF(AND(ISNUMBER(tblClean[[#This Row],[Duration Hours]]),ISNUMBER(tblClean[[#This Row],[Attributed GMV PHP]])),IF(tblClean[[#This Row],[Duration Hours]]&gt;0,tblClean[[#This Row],[Attributed GMV PHP]]/tblClean[[#This Row],[Duration Hours]],""),"")</f>
        <v>8183.666666666667</v>
      </c>
      <c r="L147" s="22">
        <f>IF(ISNUMBER(tblClean[[#This Row],[Date]]),DATE(YEAR(tblClean[[#This Row],[Date]]),MONTH(tblClean[[#This Row],[Date]]),1),"")</f>
        <v>45839</v>
      </c>
      <c r="M147" s="10">
        <f>IF(ISNUMBER(tblClean[[#This Row],[Date]]),tblClean[[#This Row],[Date]]-WEEKDAY(tblClean[[#This Row],[Date]],2)+1,"")</f>
        <v>45838</v>
      </c>
      <c r="N147" s="23">
        <f>IF(ISNUMBER(tblClean[[#This Row],[Week Start]]),(tblClean[[#This Row],[Week Start]]-MIN(tblClean[Week Start]))/7+1,"")</f>
        <v>5</v>
      </c>
      <c r="O147" s="24" t="str">
        <f>IF(ISNUMBER(tblClean[[#This Row],[Date]]),CHOOSE(WEEKDAY(tblClean[[#This Row],[Date]],2),"Mon","Tue","Wed","Thu","Fri","Sat","Sun"),"")</f>
        <v>Sun</v>
      </c>
      <c r="P147" s="24" t="str">
        <f>IF(ISNUMBER(tblClean[[#This Row],[Date]]),IF(WEEKDAY(tblClean[[#This Row],[Date]],2)&gt;=6,"Weekend","Weekday"),"")</f>
        <v>Weekend</v>
      </c>
      <c r="Q14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47" s="9" t="str">
        <f>IF(ISNUMBER(tblClean[[#This Row],[Duration Hours]]),IF(tblClean[[#This Row],[Duration Hours]]&lt;2,"Short (under 2h)",IF(tblClean[[#This Row],[Duration Hours]]&lt;3,"Standard (2h to under 3h)","Long (3h or more)")),"")</f>
        <v>Long (3h or more)</v>
      </c>
      <c r="S14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47" s="24">
        <f>IF(COUNTIF(tblClean[Session ID],tblClean[[#This Row],[Session ID]])&gt;1,1,0)</f>
        <v>0</v>
      </c>
      <c r="U147" s="24">
        <f>IF(OR(N(tblClean[[#This Row],[Attributed GMV PHP]])&lt;0,N(tblClean[[#This Row],[Items Sold]])&lt;0,N(tblClean[[#This Row],[Livestream Views]])&lt;0,N(tblClean[[#This Row],[New Followers]])&lt;0),1,0)</f>
        <v>0</v>
      </c>
      <c r="V147" s="24">
        <f>IF(ISNUMBER(tblClean[[#This Row],[Duration Hours]]),IF(OR(tblClean[[#This Row],[Duration Hours]]&lt;=0,tblClean[[#This Row],[Duration Hours]]&gt;12),1,0),1)</f>
        <v>0</v>
      </c>
      <c r="W147" s="24">
        <f>IF(COUNTIF(HostRoster,tblClean[[#This Row],[Host Name]])=0,1,0)</f>
        <v>0</v>
      </c>
      <c r="X147" s="24">
        <f>IF(tblClean[[#This Row],[Missing Flag]]+tblClean[[#This Row],[Duplicate Flag]]+tblClean[[#This Row],[Negative Flag]]+tblClean[[#This Row],[Duration Flag]]+tblClean[[#This Row],[Host Flag]]=0,1,0)</f>
        <v>1</v>
      </c>
    </row>
    <row r="148" spans="1:24" x14ac:dyDescent="0.3">
      <c r="A148" s="9" t="str">
        <f>TRIM('Raw Data'!A144)</f>
        <v>LS-0140</v>
      </c>
      <c r="B148" s="10">
        <f>IF(ISNUMBER('Raw Data'!B144),INT('Raw Data'!B144),IFERROR(DATEVALUE('Raw Data'!B144),""))</f>
        <v>45844</v>
      </c>
      <c r="C148" s="9" t="str">
        <f>PROPER(TRIM('Raw Data'!C144))</f>
        <v>Bianca Reyes</v>
      </c>
      <c r="D148" s="11">
        <f>IF(ISNUMBER('Raw Data'!D144),MOD('Raw Data'!D144,1),IFERROR(TIMEVALUE('Raw Data'!D144),""))</f>
        <v>0.54166666666666663</v>
      </c>
      <c r="E148" s="11">
        <f>IF(ISNUMBER('Raw Data'!E144),MOD('Raw Data'!E144,1),IFERROR(TIMEVALUE('Raw Data'!E144),""))</f>
        <v>0.625</v>
      </c>
      <c r="F148" s="12">
        <f>IF(ISNUMBER('Raw Data'!F144),'Raw Data'!F144,IFERROR(VALUE(SUBSTITUTE('Raw Data'!F144,",","")),""))</f>
        <v>43010</v>
      </c>
      <c r="G148" s="13">
        <f>IF(ISNUMBER('Raw Data'!G144),'Raw Data'!G144,IFERROR(VALUE(SUBSTITUTE('Raw Data'!G144,",","")),""))</f>
        <v>152</v>
      </c>
      <c r="H148" s="13">
        <f>IF(ISNUMBER('Raw Data'!H144),'Raw Data'!H144,IFERROR(VALUE(SUBSTITUTE('Raw Data'!H144,",","")),""))</f>
        <v>127883</v>
      </c>
      <c r="I148" s="13">
        <f>IF(ISNUMBER('Raw Data'!I144),'Raw Data'!I144,IFERROR(VALUE(SUBSTITUTE('Raw Data'!I144,",","")),""))</f>
        <v>784</v>
      </c>
      <c r="J148" s="21">
        <f>IF(AND(ISNUMBER(tblClean[[#This Row],[Start Time]]),ISNUMBER(tblClean[[#This Row],[End Time]])),ROUND(MOD(tblClean[[#This Row],[End Time]]-tblClean[[#This Row],[Start Time]],1)*24,2),"")</f>
        <v>2</v>
      </c>
      <c r="K148" s="12">
        <f>IF(AND(ISNUMBER(tblClean[[#This Row],[Duration Hours]]),ISNUMBER(tblClean[[#This Row],[Attributed GMV PHP]])),IF(tblClean[[#This Row],[Duration Hours]]&gt;0,tblClean[[#This Row],[Attributed GMV PHP]]/tblClean[[#This Row],[Duration Hours]],""),"")</f>
        <v>21505</v>
      </c>
      <c r="L148" s="22">
        <f>IF(ISNUMBER(tblClean[[#This Row],[Date]]),DATE(YEAR(tblClean[[#This Row],[Date]]),MONTH(tblClean[[#This Row],[Date]]),1),"")</f>
        <v>45839</v>
      </c>
      <c r="M148" s="10">
        <f>IF(ISNUMBER(tblClean[[#This Row],[Date]]),tblClean[[#This Row],[Date]]-WEEKDAY(tblClean[[#This Row],[Date]],2)+1,"")</f>
        <v>45838</v>
      </c>
      <c r="N148" s="23">
        <f>IF(ISNUMBER(tblClean[[#This Row],[Week Start]]),(tblClean[[#This Row],[Week Start]]-MIN(tblClean[Week Start]))/7+1,"")</f>
        <v>5</v>
      </c>
      <c r="O148" s="24" t="str">
        <f>IF(ISNUMBER(tblClean[[#This Row],[Date]]),CHOOSE(WEEKDAY(tblClean[[#This Row],[Date]],2),"Mon","Tue","Wed","Thu","Fri","Sat","Sun"),"")</f>
        <v>Sun</v>
      </c>
      <c r="P148" s="24" t="str">
        <f>IF(ISNUMBER(tblClean[[#This Row],[Date]]),IF(WEEKDAY(tblClean[[#This Row],[Date]],2)&gt;=6,"Weekend","Weekday"),"")</f>
        <v>Weekend</v>
      </c>
      <c r="Q14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48" s="9" t="str">
        <f>IF(ISNUMBER(tblClean[[#This Row],[Duration Hours]]),IF(tblClean[[#This Row],[Duration Hours]]&lt;2,"Short (under 2h)",IF(tblClean[[#This Row],[Duration Hours]]&lt;3,"Standard (2h to under 3h)","Long (3h or more)")),"")</f>
        <v>Standard (2h to under 3h)</v>
      </c>
      <c r="S14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48" s="24">
        <f>IF(COUNTIF(tblClean[Session ID],tblClean[[#This Row],[Session ID]])&gt;1,1,0)</f>
        <v>0</v>
      </c>
      <c r="U148" s="24">
        <f>IF(OR(N(tblClean[[#This Row],[Attributed GMV PHP]])&lt;0,N(tblClean[[#This Row],[Items Sold]])&lt;0,N(tblClean[[#This Row],[Livestream Views]])&lt;0,N(tblClean[[#This Row],[New Followers]])&lt;0),1,0)</f>
        <v>0</v>
      </c>
      <c r="V148" s="24">
        <f>IF(ISNUMBER(tblClean[[#This Row],[Duration Hours]]),IF(OR(tblClean[[#This Row],[Duration Hours]]&lt;=0,tblClean[[#This Row],[Duration Hours]]&gt;12),1,0),1)</f>
        <v>0</v>
      </c>
      <c r="W148" s="24">
        <f>IF(COUNTIF(HostRoster,tblClean[[#This Row],[Host Name]])=0,1,0)</f>
        <v>0</v>
      </c>
      <c r="X148" s="24">
        <f>IF(tblClean[[#This Row],[Missing Flag]]+tblClean[[#This Row],[Duplicate Flag]]+tblClean[[#This Row],[Negative Flag]]+tblClean[[#This Row],[Duration Flag]]+tblClean[[#This Row],[Host Flag]]=0,1,0)</f>
        <v>1</v>
      </c>
    </row>
    <row r="149" spans="1:24" x14ac:dyDescent="0.3">
      <c r="A149" s="9" t="str">
        <f>TRIM('Raw Data'!A145)</f>
        <v>LS-0141</v>
      </c>
      <c r="B149" s="10">
        <f>IF(ISNUMBER('Raw Data'!B145),INT('Raw Data'!B145),IFERROR(DATEVALUE('Raw Data'!B145),""))</f>
        <v>45844</v>
      </c>
      <c r="C149" s="9" t="str">
        <f>PROPER(TRIM('Raw Data'!C145))</f>
        <v>Carlo Mendoza</v>
      </c>
      <c r="D149" s="11">
        <f>IF(ISNUMBER('Raw Data'!D145),MOD('Raw Data'!D145,1),IFERROR(TIMEVALUE('Raw Data'!D145),""))</f>
        <v>0.66666666666666663</v>
      </c>
      <c r="E149" s="11">
        <f>IF(ISNUMBER('Raw Data'!E145),MOD('Raw Data'!E145,1),IFERROR(TIMEVALUE('Raw Data'!E145),""))</f>
        <v>0.79166666666666663</v>
      </c>
      <c r="F149" s="12">
        <f>IF(ISNUMBER('Raw Data'!F145),'Raw Data'!F145,IFERROR(VALUE(SUBSTITUTE('Raw Data'!F145,",","")),""))</f>
        <v>58219</v>
      </c>
      <c r="G149" s="13">
        <f>IF(ISNUMBER('Raw Data'!G145),'Raw Data'!G145,IFERROR(VALUE(SUBSTITUTE('Raw Data'!G145,",","")),""))</f>
        <v>163</v>
      </c>
      <c r="H149" s="13">
        <f>IF(ISNUMBER('Raw Data'!H145),'Raw Data'!H145,IFERROR(VALUE(SUBSTITUTE('Raw Data'!H145,",","")),""))</f>
        <v>212009</v>
      </c>
      <c r="I149" s="13">
        <f>IF(ISNUMBER('Raw Data'!I145),'Raw Data'!I145,IFERROR(VALUE(SUBSTITUTE('Raw Data'!I145,",","")),""))</f>
        <v>2299</v>
      </c>
      <c r="J149" s="21">
        <f>IF(AND(ISNUMBER(tblClean[[#This Row],[Start Time]]),ISNUMBER(tblClean[[#This Row],[End Time]])),ROUND(MOD(tblClean[[#This Row],[End Time]]-tblClean[[#This Row],[Start Time]],1)*24,2),"")</f>
        <v>3</v>
      </c>
      <c r="K149" s="12">
        <f>IF(AND(ISNUMBER(tblClean[[#This Row],[Duration Hours]]),ISNUMBER(tblClean[[#This Row],[Attributed GMV PHP]])),IF(tblClean[[#This Row],[Duration Hours]]&gt;0,tblClean[[#This Row],[Attributed GMV PHP]]/tblClean[[#This Row],[Duration Hours]],""),"")</f>
        <v>19406.333333333332</v>
      </c>
      <c r="L149" s="22">
        <f>IF(ISNUMBER(tblClean[[#This Row],[Date]]),DATE(YEAR(tblClean[[#This Row],[Date]]),MONTH(tblClean[[#This Row],[Date]]),1),"")</f>
        <v>45839</v>
      </c>
      <c r="M149" s="10">
        <f>IF(ISNUMBER(tblClean[[#This Row],[Date]]),tblClean[[#This Row],[Date]]-WEEKDAY(tblClean[[#This Row],[Date]],2)+1,"")</f>
        <v>45838</v>
      </c>
      <c r="N149" s="23">
        <f>IF(ISNUMBER(tblClean[[#This Row],[Week Start]]),(tblClean[[#This Row],[Week Start]]-MIN(tblClean[Week Start]))/7+1,"")</f>
        <v>5</v>
      </c>
      <c r="O149" s="24" t="str">
        <f>IF(ISNUMBER(tblClean[[#This Row],[Date]]),CHOOSE(WEEKDAY(tblClean[[#This Row],[Date]],2),"Mon","Tue","Wed","Thu","Fri","Sat","Sun"),"")</f>
        <v>Sun</v>
      </c>
      <c r="P149" s="24" t="str">
        <f>IF(ISNUMBER(tblClean[[#This Row],[Date]]),IF(WEEKDAY(tblClean[[#This Row],[Date]],2)&gt;=6,"Weekend","Weekday"),"")</f>
        <v>Weekend</v>
      </c>
      <c r="Q14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49" s="9" t="str">
        <f>IF(ISNUMBER(tblClean[[#This Row],[Duration Hours]]),IF(tblClean[[#This Row],[Duration Hours]]&lt;2,"Short (under 2h)",IF(tblClean[[#This Row],[Duration Hours]]&lt;3,"Standard (2h to under 3h)","Long (3h or more)")),"")</f>
        <v>Long (3h or more)</v>
      </c>
      <c r="S14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49" s="24">
        <f>IF(COUNTIF(tblClean[Session ID],tblClean[[#This Row],[Session ID]])&gt;1,1,0)</f>
        <v>0</v>
      </c>
      <c r="U149" s="24">
        <f>IF(OR(N(tblClean[[#This Row],[Attributed GMV PHP]])&lt;0,N(tblClean[[#This Row],[Items Sold]])&lt;0,N(tblClean[[#This Row],[Livestream Views]])&lt;0,N(tblClean[[#This Row],[New Followers]])&lt;0),1,0)</f>
        <v>0</v>
      </c>
      <c r="V149" s="24">
        <f>IF(ISNUMBER(tblClean[[#This Row],[Duration Hours]]),IF(OR(tblClean[[#This Row],[Duration Hours]]&lt;=0,tblClean[[#This Row],[Duration Hours]]&gt;12),1,0),1)</f>
        <v>0</v>
      </c>
      <c r="W149" s="24">
        <f>IF(COUNTIF(HostRoster,tblClean[[#This Row],[Host Name]])=0,1,0)</f>
        <v>0</v>
      </c>
      <c r="X149" s="24">
        <f>IF(tblClean[[#This Row],[Missing Flag]]+tblClean[[#This Row],[Duplicate Flag]]+tblClean[[#This Row],[Negative Flag]]+tblClean[[#This Row],[Duration Flag]]+tblClean[[#This Row],[Host Flag]]=0,1,0)</f>
        <v>1</v>
      </c>
    </row>
    <row r="150" spans="1:24" x14ac:dyDescent="0.3">
      <c r="A150" s="9" t="str">
        <f>TRIM('Raw Data'!A146)</f>
        <v>LS-0142</v>
      </c>
      <c r="B150" s="10">
        <f>IF(ISNUMBER('Raw Data'!B146),INT('Raw Data'!B146),IFERROR(DATEVALUE('Raw Data'!B146),""))</f>
        <v>45844</v>
      </c>
      <c r="C150" s="9" t="str">
        <f>PROPER(TRIM('Raw Data'!C146))</f>
        <v>Bianca Reyes</v>
      </c>
      <c r="D150" s="11">
        <f>IF(ISNUMBER('Raw Data'!D146),MOD('Raw Data'!D146,1),IFERROR(TIMEVALUE('Raw Data'!D146),""))</f>
        <v>0.79166666666666663</v>
      </c>
      <c r="E150" s="11">
        <f>IF(ISNUMBER('Raw Data'!E146),MOD('Raw Data'!E146,1),IFERROR(TIMEVALUE('Raw Data'!E146),""))</f>
        <v>0.89583333333333337</v>
      </c>
      <c r="F150" s="12">
        <f>IF(ISNUMBER('Raw Data'!F146),'Raw Data'!F146,IFERROR(VALUE(SUBSTITUTE('Raw Data'!F146,",","")),""))</f>
        <v>38486</v>
      </c>
      <c r="G150" s="13">
        <f>IF(ISNUMBER('Raw Data'!G146),'Raw Data'!G146,IFERROR(VALUE(SUBSTITUTE('Raw Data'!G146,",","")),""))</f>
        <v>139</v>
      </c>
      <c r="H150" s="13">
        <f>IF(ISNUMBER('Raw Data'!H146),'Raw Data'!H146,IFERROR(VALUE(SUBSTITUTE('Raw Data'!H146,",","")),""))</f>
        <v>158447</v>
      </c>
      <c r="I150" s="13">
        <f>IF(ISNUMBER('Raw Data'!I146),'Raw Data'!I146,IFERROR(VALUE(SUBSTITUTE('Raw Data'!I146,",","")),""))</f>
        <v>1943</v>
      </c>
      <c r="J150" s="21">
        <f>IF(AND(ISNUMBER(tblClean[[#This Row],[Start Time]]),ISNUMBER(tblClean[[#This Row],[End Time]])),ROUND(MOD(tblClean[[#This Row],[End Time]]-tblClean[[#This Row],[Start Time]],1)*24,2),"")</f>
        <v>2.5</v>
      </c>
      <c r="K150" s="12">
        <f>IF(AND(ISNUMBER(tblClean[[#This Row],[Duration Hours]]),ISNUMBER(tblClean[[#This Row],[Attributed GMV PHP]])),IF(tblClean[[#This Row],[Duration Hours]]&gt;0,tblClean[[#This Row],[Attributed GMV PHP]]/tblClean[[#This Row],[Duration Hours]],""),"")</f>
        <v>15394.4</v>
      </c>
      <c r="L150" s="22">
        <f>IF(ISNUMBER(tblClean[[#This Row],[Date]]),DATE(YEAR(tblClean[[#This Row],[Date]]),MONTH(tblClean[[#This Row],[Date]]),1),"")</f>
        <v>45839</v>
      </c>
      <c r="M150" s="10">
        <f>IF(ISNUMBER(tblClean[[#This Row],[Date]]),tblClean[[#This Row],[Date]]-WEEKDAY(tblClean[[#This Row],[Date]],2)+1,"")</f>
        <v>45838</v>
      </c>
      <c r="N150" s="23">
        <f>IF(ISNUMBER(tblClean[[#This Row],[Week Start]]),(tblClean[[#This Row],[Week Start]]-MIN(tblClean[Week Start]))/7+1,"")</f>
        <v>5</v>
      </c>
      <c r="O150" s="24" t="str">
        <f>IF(ISNUMBER(tblClean[[#This Row],[Date]]),CHOOSE(WEEKDAY(tblClean[[#This Row],[Date]],2),"Mon","Tue","Wed","Thu","Fri","Sat","Sun"),"")</f>
        <v>Sun</v>
      </c>
      <c r="P150" s="24" t="str">
        <f>IF(ISNUMBER(tblClean[[#This Row],[Date]]),IF(WEEKDAY(tblClean[[#This Row],[Date]],2)&gt;=6,"Weekend","Weekday"),"")</f>
        <v>Weekend</v>
      </c>
      <c r="Q15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50" s="9" t="str">
        <f>IF(ISNUMBER(tblClean[[#This Row],[Duration Hours]]),IF(tblClean[[#This Row],[Duration Hours]]&lt;2,"Short (under 2h)",IF(tblClean[[#This Row],[Duration Hours]]&lt;3,"Standard (2h to under 3h)","Long (3h or more)")),"")</f>
        <v>Standard (2h to under 3h)</v>
      </c>
      <c r="S15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50" s="24">
        <f>IF(COUNTIF(tblClean[Session ID],tblClean[[#This Row],[Session ID]])&gt;1,1,0)</f>
        <v>0</v>
      </c>
      <c r="U150" s="24">
        <f>IF(OR(N(tblClean[[#This Row],[Attributed GMV PHP]])&lt;0,N(tblClean[[#This Row],[Items Sold]])&lt;0,N(tblClean[[#This Row],[Livestream Views]])&lt;0,N(tblClean[[#This Row],[New Followers]])&lt;0),1,0)</f>
        <v>0</v>
      </c>
      <c r="V150" s="24">
        <f>IF(ISNUMBER(tblClean[[#This Row],[Duration Hours]]),IF(OR(tblClean[[#This Row],[Duration Hours]]&lt;=0,tblClean[[#This Row],[Duration Hours]]&gt;12),1,0),1)</f>
        <v>0</v>
      </c>
      <c r="W150" s="24">
        <f>IF(COUNTIF(HostRoster,tblClean[[#This Row],[Host Name]])=0,1,0)</f>
        <v>0</v>
      </c>
      <c r="X150" s="24">
        <f>IF(tblClean[[#This Row],[Missing Flag]]+tblClean[[#This Row],[Duplicate Flag]]+tblClean[[#This Row],[Negative Flag]]+tblClean[[#This Row],[Duration Flag]]+tblClean[[#This Row],[Host Flag]]=0,1,0)</f>
        <v>1</v>
      </c>
    </row>
    <row r="151" spans="1:24" x14ac:dyDescent="0.3">
      <c r="A151" s="9" t="str">
        <f>TRIM('Raw Data'!A147)</f>
        <v>LS-0143</v>
      </c>
      <c r="B151" s="10">
        <f>IF(ISNUMBER('Raw Data'!B147),INT('Raw Data'!B147),IFERROR(DATEVALUE('Raw Data'!B147),""))</f>
        <v>45845</v>
      </c>
      <c r="C151" s="9" t="str">
        <f>PROPER(TRIM('Raw Data'!C147))</f>
        <v>Bianca Reyes</v>
      </c>
      <c r="D151" s="11">
        <f>IF(ISNUMBER('Raw Data'!D147),MOD('Raw Data'!D147,1),IFERROR(TIMEVALUE('Raw Data'!D147),""))</f>
        <v>0.54166666666666663</v>
      </c>
      <c r="E151" s="11">
        <f>IF(ISNUMBER('Raw Data'!E147),MOD('Raw Data'!E147,1),IFERROR(TIMEVALUE('Raw Data'!E147),""))</f>
        <v>0.625</v>
      </c>
      <c r="F151" s="12">
        <f>IF(ISNUMBER('Raw Data'!F147),'Raw Data'!F147,IFERROR(VALUE(SUBSTITUTE('Raw Data'!F147,",","")),""))</f>
        <v>20249</v>
      </c>
      <c r="G151" s="13">
        <f>IF(ISNUMBER('Raw Data'!G147),'Raw Data'!G147,IFERROR(VALUE(SUBSTITUTE('Raw Data'!G147,",","")),""))</f>
        <v>60</v>
      </c>
      <c r="H151" s="13">
        <f>IF(ISNUMBER('Raw Data'!H147),'Raw Data'!H147,IFERROR(VALUE(SUBSTITUTE('Raw Data'!H147,",","")),""))</f>
        <v>89747</v>
      </c>
      <c r="I151" s="13">
        <f>IF(ISNUMBER('Raw Data'!I147),'Raw Data'!I147,IFERROR(VALUE(SUBSTITUTE('Raw Data'!I147,",","")),""))</f>
        <v>813</v>
      </c>
      <c r="J151" s="21">
        <f>IF(AND(ISNUMBER(tblClean[[#This Row],[Start Time]]),ISNUMBER(tblClean[[#This Row],[End Time]])),ROUND(MOD(tblClean[[#This Row],[End Time]]-tblClean[[#This Row],[Start Time]],1)*24,2),"")</f>
        <v>2</v>
      </c>
      <c r="K151" s="12">
        <f>IF(AND(ISNUMBER(tblClean[[#This Row],[Duration Hours]]),ISNUMBER(tblClean[[#This Row],[Attributed GMV PHP]])),IF(tblClean[[#This Row],[Duration Hours]]&gt;0,tblClean[[#This Row],[Attributed GMV PHP]]/tblClean[[#This Row],[Duration Hours]],""),"")</f>
        <v>10124.5</v>
      </c>
      <c r="L151" s="22">
        <f>IF(ISNUMBER(tblClean[[#This Row],[Date]]),DATE(YEAR(tblClean[[#This Row],[Date]]),MONTH(tblClean[[#This Row],[Date]]),1),"")</f>
        <v>45839</v>
      </c>
      <c r="M151" s="10">
        <f>IF(ISNUMBER(tblClean[[#This Row],[Date]]),tblClean[[#This Row],[Date]]-WEEKDAY(tblClean[[#This Row],[Date]],2)+1,"")</f>
        <v>45845</v>
      </c>
      <c r="N151" s="23">
        <f>IF(ISNUMBER(tblClean[[#This Row],[Week Start]]),(tblClean[[#This Row],[Week Start]]-MIN(tblClean[Week Start]))/7+1,"")</f>
        <v>6</v>
      </c>
      <c r="O151" s="24" t="str">
        <f>IF(ISNUMBER(tblClean[[#This Row],[Date]]),CHOOSE(WEEKDAY(tblClean[[#This Row],[Date]],2),"Mon","Tue","Wed","Thu","Fri","Sat","Sun"),"")</f>
        <v>Mon</v>
      </c>
      <c r="P151" s="24" t="str">
        <f>IF(ISNUMBER(tblClean[[#This Row],[Date]]),IF(WEEKDAY(tblClean[[#This Row],[Date]],2)&gt;=6,"Weekend","Weekday"),"")</f>
        <v>Weekday</v>
      </c>
      <c r="Q15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51" s="9" t="str">
        <f>IF(ISNUMBER(tblClean[[#This Row],[Duration Hours]]),IF(tblClean[[#This Row],[Duration Hours]]&lt;2,"Short (under 2h)",IF(tblClean[[#This Row],[Duration Hours]]&lt;3,"Standard (2h to under 3h)","Long (3h or more)")),"")</f>
        <v>Standard (2h to under 3h)</v>
      </c>
      <c r="S15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51" s="24">
        <f>IF(COUNTIF(tblClean[Session ID],tblClean[[#This Row],[Session ID]])&gt;1,1,0)</f>
        <v>0</v>
      </c>
      <c r="U151" s="24">
        <f>IF(OR(N(tblClean[[#This Row],[Attributed GMV PHP]])&lt;0,N(tblClean[[#This Row],[Items Sold]])&lt;0,N(tblClean[[#This Row],[Livestream Views]])&lt;0,N(tblClean[[#This Row],[New Followers]])&lt;0),1,0)</f>
        <v>0</v>
      </c>
      <c r="V151" s="24">
        <f>IF(ISNUMBER(tblClean[[#This Row],[Duration Hours]]),IF(OR(tblClean[[#This Row],[Duration Hours]]&lt;=0,tblClean[[#This Row],[Duration Hours]]&gt;12),1,0),1)</f>
        <v>0</v>
      </c>
      <c r="W151" s="24">
        <f>IF(COUNTIF(HostRoster,tblClean[[#This Row],[Host Name]])=0,1,0)</f>
        <v>0</v>
      </c>
      <c r="X151" s="24">
        <f>IF(tblClean[[#This Row],[Missing Flag]]+tblClean[[#This Row],[Duplicate Flag]]+tblClean[[#This Row],[Negative Flag]]+tblClean[[#This Row],[Duration Flag]]+tblClean[[#This Row],[Host Flag]]=0,1,0)</f>
        <v>1</v>
      </c>
    </row>
    <row r="152" spans="1:24" x14ac:dyDescent="0.3">
      <c r="A152" s="9" t="str">
        <f>TRIM('Raw Data'!A148)</f>
        <v>LS-0144</v>
      </c>
      <c r="B152" s="10">
        <f>IF(ISNUMBER('Raw Data'!B148),INT('Raw Data'!B148),IFERROR(DATEVALUE('Raw Data'!B148),""))</f>
        <v>45845</v>
      </c>
      <c r="C152" s="9" t="str">
        <f>PROPER(TRIM('Raw Data'!C148))</f>
        <v>Bianca Reyes</v>
      </c>
      <c r="D152" s="11">
        <f>IF(ISNUMBER('Raw Data'!D148),MOD('Raw Data'!D148,1),IFERROR(TIMEVALUE('Raw Data'!D148),""))</f>
        <v>0.66666666666666663</v>
      </c>
      <c r="E152" s="11">
        <f>IF(ISNUMBER('Raw Data'!E148),MOD('Raw Data'!E148,1),IFERROR(TIMEVALUE('Raw Data'!E148),""))</f>
        <v>0.79166666666666663</v>
      </c>
      <c r="F152" s="12">
        <f>IF(ISNUMBER('Raw Data'!F148),'Raw Data'!F148,IFERROR(VALUE(SUBSTITUTE('Raw Data'!F148,",","")),""))</f>
        <v>18780</v>
      </c>
      <c r="G152" s="13">
        <f>IF(ISNUMBER('Raw Data'!G148),'Raw Data'!G148,IFERROR(VALUE(SUBSTITUTE('Raw Data'!G148,",","")),""))</f>
        <v>46</v>
      </c>
      <c r="H152" s="13">
        <f>IF(ISNUMBER('Raw Data'!H148),'Raw Data'!H148,IFERROR(VALUE(SUBSTITUTE('Raw Data'!H148,",","")),""))</f>
        <v>59389</v>
      </c>
      <c r="I152" s="13">
        <f>IF(ISNUMBER('Raw Data'!I148),'Raw Data'!I148,IFERROR(VALUE(SUBSTITUTE('Raw Data'!I148,",","")),""))</f>
        <v>656</v>
      </c>
      <c r="J152" s="21">
        <f>IF(AND(ISNUMBER(tblClean[[#This Row],[Start Time]]),ISNUMBER(tblClean[[#This Row],[End Time]])),ROUND(MOD(tblClean[[#This Row],[End Time]]-tblClean[[#This Row],[Start Time]],1)*24,2),"")</f>
        <v>3</v>
      </c>
      <c r="K152" s="12">
        <f>IF(AND(ISNUMBER(tblClean[[#This Row],[Duration Hours]]),ISNUMBER(tblClean[[#This Row],[Attributed GMV PHP]])),IF(tblClean[[#This Row],[Duration Hours]]&gt;0,tblClean[[#This Row],[Attributed GMV PHP]]/tblClean[[#This Row],[Duration Hours]],""),"")</f>
        <v>6260</v>
      </c>
      <c r="L152" s="22">
        <f>IF(ISNUMBER(tblClean[[#This Row],[Date]]),DATE(YEAR(tblClean[[#This Row],[Date]]),MONTH(tblClean[[#This Row],[Date]]),1),"")</f>
        <v>45839</v>
      </c>
      <c r="M152" s="10">
        <f>IF(ISNUMBER(tblClean[[#This Row],[Date]]),tblClean[[#This Row],[Date]]-WEEKDAY(tblClean[[#This Row],[Date]],2)+1,"")</f>
        <v>45845</v>
      </c>
      <c r="N152" s="23">
        <f>IF(ISNUMBER(tblClean[[#This Row],[Week Start]]),(tblClean[[#This Row],[Week Start]]-MIN(tblClean[Week Start]))/7+1,"")</f>
        <v>6</v>
      </c>
      <c r="O152" s="24" t="str">
        <f>IF(ISNUMBER(tblClean[[#This Row],[Date]]),CHOOSE(WEEKDAY(tblClean[[#This Row],[Date]],2),"Mon","Tue","Wed","Thu","Fri","Sat","Sun"),"")</f>
        <v>Mon</v>
      </c>
      <c r="P152" s="24" t="str">
        <f>IF(ISNUMBER(tblClean[[#This Row],[Date]]),IF(WEEKDAY(tblClean[[#This Row],[Date]],2)&gt;=6,"Weekend","Weekday"),"")</f>
        <v>Weekday</v>
      </c>
      <c r="Q15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52" s="9" t="str">
        <f>IF(ISNUMBER(tblClean[[#This Row],[Duration Hours]]),IF(tblClean[[#This Row],[Duration Hours]]&lt;2,"Short (under 2h)",IF(tblClean[[#This Row],[Duration Hours]]&lt;3,"Standard (2h to under 3h)","Long (3h or more)")),"")</f>
        <v>Long (3h or more)</v>
      </c>
      <c r="S15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52" s="24">
        <f>IF(COUNTIF(tblClean[Session ID],tblClean[[#This Row],[Session ID]])&gt;1,1,0)</f>
        <v>0</v>
      </c>
      <c r="U152" s="24">
        <f>IF(OR(N(tblClean[[#This Row],[Attributed GMV PHP]])&lt;0,N(tblClean[[#This Row],[Items Sold]])&lt;0,N(tblClean[[#This Row],[Livestream Views]])&lt;0,N(tblClean[[#This Row],[New Followers]])&lt;0),1,0)</f>
        <v>0</v>
      </c>
      <c r="V152" s="24">
        <f>IF(ISNUMBER(tblClean[[#This Row],[Duration Hours]]),IF(OR(tblClean[[#This Row],[Duration Hours]]&lt;=0,tblClean[[#This Row],[Duration Hours]]&gt;12),1,0),1)</f>
        <v>0</v>
      </c>
      <c r="W152" s="24">
        <f>IF(COUNTIF(HostRoster,tblClean[[#This Row],[Host Name]])=0,1,0)</f>
        <v>0</v>
      </c>
      <c r="X152" s="24">
        <f>IF(tblClean[[#This Row],[Missing Flag]]+tblClean[[#This Row],[Duplicate Flag]]+tblClean[[#This Row],[Negative Flag]]+tblClean[[#This Row],[Duration Flag]]+tblClean[[#This Row],[Host Flag]]=0,1,0)</f>
        <v>1</v>
      </c>
    </row>
    <row r="153" spans="1:24" x14ac:dyDescent="0.3">
      <c r="A153" s="9" t="str">
        <f>TRIM('Raw Data'!A149)</f>
        <v>LS-0145</v>
      </c>
      <c r="B153" s="10">
        <f>IF(ISNUMBER('Raw Data'!B149),INT('Raw Data'!B149),IFERROR(DATEVALUE('Raw Data'!B149),""))</f>
        <v>45845</v>
      </c>
      <c r="C153" s="9" t="str">
        <f>PROPER(TRIM('Raw Data'!C149))</f>
        <v>Carlo Mendoza</v>
      </c>
      <c r="D153" s="11">
        <f>IF(ISNUMBER('Raw Data'!D149),MOD('Raw Data'!D149,1),IFERROR(TIMEVALUE('Raw Data'!D149),""))</f>
        <v>0.79166666666666663</v>
      </c>
      <c r="E153" s="11">
        <f>IF(ISNUMBER('Raw Data'!E149),MOD('Raw Data'!E149,1),IFERROR(TIMEVALUE('Raw Data'!E149),""))</f>
        <v>0.85416666666666663</v>
      </c>
      <c r="F153" s="12">
        <f>IF(ISNUMBER('Raw Data'!F149),'Raw Data'!F149,IFERROR(VALUE(SUBSTITUTE('Raw Data'!F149,",","")),""))</f>
        <v>22044</v>
      </c>
      <c r="G153" s="13">
        <f>IF(ISNUMBER('Raw Data'!G149),'Raw Data'!G149,IFERROR(VALUE(SUBSTITUTE('Raw Data'!G149,",","")),""))</f>
        <v>56</v>
      </c>
      <c r="H153" s="13">
        <f>IF(ISNUMBER('Raw Data'!H149),'Raw Data'!H149,IFERROR(VALUE(SUBSTITUTE('Raw Data'!H149,",","")),""))</f>
        <v>79439</v>
      </c>
      <c r="I153" s="13">
        <f>IF(ISNUMBER('Raw Data'!I149),'Raw Data'!I149,IFERROR(VALUE(SUBSTITUTE('Raw Data'!I149,",","")),""))</f>
        <v>998</v>
      </c>
      <c r="J153" s="21">
        <f>IF(AND(ISNUMBER(tblClean[[#This Row],[Start Time]]),ISNUMBER(tblClean[[#This Row],[End Time]])),ROUND(MOD(tblClean[[#This Row],[End Time]]-tblClean[[#This Row],[Start Time]],1)*24,2),"")</f>
        <v>1.5</v>
      </c>
      <c r="K153" s="12">
        <f>IF(AND(ISNUMBER(tblClean[[#This Row],[Duration Hours]]),ISNUMBER(tblClean[[#This Row],[Attributed GMV PHP]])),IF(tblClean[[#This Row],[Duration Hours]]&gt;0,tblClean[[#This Row],[Attributed GMV PHP]]/tblClean[[#This Row],[Duration Hours]],""),"")</f>
        <v>14696</v>
      </c>
      <c r="L153" s="22">
        <f>IF(ISNUMBER(tblClean[[#This Row],[Date]]),DATE(YEAR(tblClean[[#This Row],[Date]]),MONTH(tblClean[[#This Row],[Date]]),1),"")</f>
        <v>45839</v>
      </c>
      <c r="M153" s="10">
        <f>IF(ISNUMBER(tblClean[[#This Row],[Date]]),tblClean[[#This Row],[Date]]-WEEKDAY(tblClean[[#This Row],[Date]],2)+1,"")</f>
        <v>45845</v>
      </c>
      <c r="N153" s="23">
        <f>IF(ISNUMBER(tblClean[[#This Row],[Week Start]]),(tblClean[[#This Row],[Week Start]]-MIN(tblClean[Week Start]))/7+1,"")</f>
        <v>6</v>
      </c>
      <c r="O153" s="24" t="str">
        <f>IF(ISNUMBER(tblClean[[#This Row],[Date]]),CHOOSE(WEEKDAY(tblClean[[#This Row],[Date]],2),"Mon","Tue","Wed","Thu","Fri","Sat","Sun"),"")</f>
        <v>Mon</v>
      </c>
      <c r="P153" s="24" t="str">
        <f>IF(ISNUMBER(tblClean[[#This Row],[Date]]),IF(WEEKDAY(tblClean[[#This Row],[Date]],2)&gt;=6,"Weekend","Weekday"),"")</f>
        <v>Weekday</v>
      </c>
      <c r="Q15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53" s="9" t="str">
        <f>IF(ISNUMBER(tblClean[[#This Row],[Duration Hours]]),IF(tblClean[[#This Row],[Duration Hours]]&lt;2,"Short (under 2h)",IF(tblClean[[#This Row],[Duration Hours]]&lt;3,"Standard (2h to under 3h)","Long (3h or more)")),"")</f>
        <v>Short (under 2h)</v>
      </c>
      <c r="S15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53" s="24">
        <f>IF(COUNTIF(tblClean[Session ID],tblClean[[#This Row],[Session ID]])&gt;1,1,0)</f>
        <v>0</v>
      </c>
      <c r="U153" s="24">
        <f>IF(OR(N(tblClean[[#This Row],[Attributed GMV PHP]])&lt;0,N(tblClean[[#This Row],[Items Sold]])&lt;0,N(tblClean[[#This Row],[Livestream Views]])&lt;0,N(tblClean[[#This Row],[New Followers]])&lt;0),1,0)</f>
        <v>0</v>
      </c>
      <c r="V153" s="24">
        <f>IF(ISNUMBER(tblClean[[#This Row],[Duration Hours]]),IF(OR(tblClean[[#This Row],[Duration Hours]]&lt;=0,tblClean[[#This Row],[Duration Hours]]&gt;12),1,0),1)</f>
        <v>0</v>
      </c>
      <c r="W153" s="24">
        <f>IF(COUNTIF(HostRoster,tblClean[[#This Row],[Host Name]])=0,1,0)</f>
        <v>0</v>
      </c>
      <c r="X153" s="24">
        <f>IF(tblClean[[#This Row],[Missing Flag]]+tblClean[[#This Row],[Duplicate Flag]]+tblClean[[#This Row],[Negative Flag]]+tblClean[[#This Row],[Duration Flag]]+tblClean[[#This Row],[Host Flag]]=0,1,0)</f>
        <v>1</v>
      </c>
    </row>
    <row r="154" spans="1:24" x14ac:dyDescent="0.3">
      <c r="A154" s="9" t="str">
        <f>TRIM('Raw Data'!A150)</f>
        <v>LS-0146</v>
      </c>
      <c r="B154" s="10">
        <f>IF(ISNUMBER('Raw Data'!B150),INT('Raw Data'!B150),IFERROR(DATEVALUE('Raw Data'!B150),""))</f>
        <v>45845</v>
      </c>
      <c r="C154" s="9" t="str">
        <f>PROPER(TRIM('Raw Data'!C150))</f>
        <v>Carlo Mendoza</v>
      </c>
      <c r="D154" s="11">
        <f>IF(ISNUMBER('Raw Data'!D150),MOD('Raw Data'!D150,1),IFERROR(TIMEVALUE('Raw Data'!D150),""))</f>
        <v>0.91666666666666663</v>
      </c>
      <c r="E154" s="11">
        <f>IF(ISNUMBER('Raw Data'!E150),MOD('Raw Data'!E150,1),IFERROR(TIMEVALUE('Raw Data'!E150),""))</f>
        <v>2.0833333333333329E-2</v>
      </c>
      <c r="F154" s="12">
        <f>IF(ISNUMBER('Raw Data'!F150),'Raw Data'!F150,IFERROR(VALUE(SUBSTITUTE('Raw Data'!F150,",","")),""))</f>
        <v>48797</v>
      </c>
      <c r="G154" s="13">
        <f>IF(ISNUMBER('Raw Data'!G150),'Raw Data'!G150,IFERROR(VALUE(SUBSTITUTE('Raw Data'!G150,",","")),""))</f>
        <v>155</v>
      </c>
      <c r="H154" s="13">
        <f>IF(ISNUMBER('Raw Data'!H150),'Raw Data'!H150,IFERROR(VALUE(SUBSTITUTE('Raw Data'!H150,",","")),""))</f>
        <v>98141</v>
      </c>
      <c r="I154" s="13">
        <f>IF(ISNUMBER('Raw Data'!I150),'Raw Data'!I150,IFERROR(VALUE(SUBSTITUTE('Raw Data'!I150,",","")),""))</f>
        <v>674</v>
      </c>
      <c r="J154" s="21">
        <f>IF(AND(ISNUMBER(tblClean[[#This Row],[Start Time]]),ISNUMBER(tblClean[[#This Row],[End Time]])),ROUND(MOD(tblClean[[#This Row],[End Time]]-tblClean[[#This Row],[Start Time]],1)*24,2),"")</f>
        <v>2.5</v>
      </c>
      <c r="K154" s="12">
        <f>IF(AND(ISNUMBER(tblClean[[#This Row],[Duration Hours]]),ISNUMBER(tblClean[[#This Row],[Attributed GMV PHP]])),IF(tblClean[[#This Row],[Duration Hours]]&gt;0,tblClean[[#This Row],[Attributed GMV PHP]]/tblClean[[#This Row],[Duration Hours]],""),"")</f>
        <v>19518.8</v>
      </c>
      <c r="L154" s="22">
        <f>IF(ISNUMBER(tblClean[[#This Row],[Date]]),DATE(YEAR(tblClean[[#This Row],[Date]]),MONTH(tblClean[[#This Row],[Date]]),1),"")</f>
        <v>45839</v>
      </c>
      <c r="M154" s="10">
        <f>IF(ISNUMBER(tblClean[[#This Row],[Date]]),tblClean[[#This Row],[Date]]-WEEKDAY(tblClean[[#This Row],[Date]],2)+1,"")</f>
        <v>45845</v>
      </c>
      <c r="N154" s="23">
        <f>IF(ISNUMBER(tblClean[[#This Row],[Week Start]]),(tblClean[[#This Row],[Week Start]]-MIN(tblClean[Week Start]))/7+1,"")</f>
        <v>6</v>
      </c>
      <c r="O154" s="24" t="str">
        <f>IF(ISNUMBER(tblClean[[#This Row],[Date]]),CHOOSE(WEEKDAY(tblClean[[#This Row],[Date]],2),"Mon","Tue","Wed","Thu","Fri","Sat","Sun"),"")</f>
        <v>Mon</v>
      </c>
      <c r="P154" s="24" t="str">
        <f>IF(ISNUMBER(tblClean[[#This Row],[Date]]),IF(WEEKDAY(tblClean[[#This Row],[Date]],2)&gt;=6,"Weekend","Weekday"),"")</f>
        <v>Weekday</v>
      </c>
      <c r="Q15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54" s="9" t="str">
        <f>IF(ISNUMBER(tblClean[[#This Row],[Duration Hours]]),IF(tblClean[[#This Row],[Duration Hours]]&lt;2,"Short (under 2h)",IF(tblClean[[#This Row],[Duration Hours]]&lt;3,"Standard (2h to under 3h)","Long (3h or more)")),"")</f>
        <v>Standard (2h to under 3h)</v>
      </c>
      <c r="S15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54" s="24">
        <f>IF(COUNTIF(tblClean[Session ID],tblClean[[#This Row],[Session ID]])&gt;1,1,0)</f>
        <v>0</v>
      </c>
      <c r="U154" s="24">
        <f>IF(OR(N(tblClean[[#This Row],[Attributed GMV PHP]])&lt;0,N(tblClean[[#This Row],[Items Sold]])&lt;0,N(tblClean[[#This Row],[Livestream Views]])&lt;0,N(tblClean[[#This Row],[New Followers]])&lt;0),1,0)</f>
        <v>0</v>
      </c>
      <c r="V154" s="24">
        <f>IF(ISNUMBER(tblClean[[#This Row],[Duration Hours]]),IF(OR(tblClean[[#This Row],[Duration Hours]]&lt;=0,tblClean[[#This Row],[Duration Hours]]&gt;12),1,0),1)</f>
        <v>0</v>
      </c>
      <c r="W154" s="24">
        <f>IF(COUNTIF(HostRoster,tblClean[[#This Row],[Host Name]])=0,1,0)</f>
        <v>0</v>
      </c>
      <c r="X154" s="24">
        <f>IF(tblClean[[#This Row],[Missing Flag]]+tblClean[[#This Row],[Duplicate Flag]]+tblClean[[#This Row],[Negative Flag]]+tblClean[[#This Row],[Duration Flag]]+tblClean[[#This Row],[Host Flag]]=0,1,0)</f>
        <v>1</v>
      </c>
    </row>
    <row r="155" spans="1:24" x14ac:dyDescent="0.3">
      <c r="A155" s="9" t="str">
        <f>TRIM('Raw Data'!A151)</f>
        <v>LS-0147</v>
      </c>
      <c r="B155" s="10">
        <f>IF(ISNUMBER('Raw Data'!B151),INT('Raw Data'!B151),IFERROR(DATEVALUE('Raw Data'!B151),""))</f>
        <v>45846</v>
      </c>
      <c r="C155" s="9" t="str">
        <f>PROPER(TRIM('Raw Data'!C151))</f>
        <v>Carlo Mendoza</v>
      </c>
      <c r="D155" s="11">
        <f>IF(ISNUMBER('Raw Data'!D151),MOD('Raw Data'!D151,1),IFERROR(TIMEVALUE('Raw Data'!D151),""))</f>
        <v>0.41666666666666669</v>
      </c>
      <c r="E155" s="11">
        <f>IF(ISNUMBER('Raw Data'!E151),MOD('Raw Data'!E151,1),IFERROR(TIMEVALUE('Raw Data'!E151),""))</f>
        <v>0.54166666666666663</v>
      </c>
      <c r="F155" s="12">
        <f>IF(ISNUMBER('Raw Data'!F151),'Raw Data'!F151,IFERROR(VALUE(SUBSTITUTE('Raw Data'!F151,",","")),""))</f>
        <v>25724</v>
      </c>
      <c r="G155" s="13">
        <f>IF(ISNUMBER('Raw Data'!G151),'Raw Data'!G151,IFERROR(VALUE(SUBSTITUTE('Raw Data'!G151,",","")),""))</f>
        <v>84</v>
      </c>
      <c r="H155" s="13">
        <f>IF(ISNUMBER('Raw Data'!H151),'Raw Data'!H151,IFERROR(VALUE(SUBSTITUTE('Raw Data'!H151,",","")),""))</f>
        <v>101255</v>
      </c>
      <c r="I155" s="13">
        <f>IF(ISNUMBER('Raw Data'!I151),'Raw Data'!I151,IFERROR(VALUE(SUBSTITUTE('Raw Data'!I151,",","")),""))</f>
        <v>454</v>
      </c>
      <c r="J155" s="21">
        <f>IF(AND(ISNUMBER(tblClean[[#This Row],[Start Time]]),ISNUMBER(tblClean[[#This Row],[End Time]])),ROUND(MOD(tblClean[[#This Row],[End Time]]-tblClean[[#This Row],[Start Time]],1)*24,2),"")</f>
        <v>3</v>
      </c>
      <c r="K155" s="12">
        <f>IF(AND(ISNUMBER(tblClean[[#This Row],[Duration Hours]]),ISNUMBER(tblClean[[#This Row],[Attributed GMV PHP]])),IF(tblClean[[#This Row],[Duration Hours]]&gt;0,tblClean[[#This Row],[Attributed GMV PHP]]/tblClean[[#This Row],[Duration Hours]],""),"")</f>
        <v>8574.6666666666661</v>
      </c>
      <c r="L155" s="22">
        <f>IF(ISNUMBER(tblClean[[#This Row],[Date]]),DATE(YEAR(tblClean[[#This Row],[Date]]),MONTH(tblClean[[#This Row],[Date]]),1),"")</f>
        <v>45839</v>
      </c>
      <c r="M155" s="10">
        <f>IF(ISNUMBER(tblClean[[#This Row],[Date]]),tblClean[[#This Row],[Date]]-WEEKDAY(tblClean[[#This Row],[Date]],2)+1,"")</f>
        <v>45845</v>
      </c>
      <c r="N155" s="23">
        <f>IF(ISNUMBER(tblClean[[#This Row],[Week Start]]),(tblClean[[#This Row],[Week Start]]-MIN(tblClean[Week Start]))/7+1,"")</f>
        <v>6</v>
      </c>
      <c r="O155" s="24" t="str">
        <f>IF(ISNUMBER(tblClean[[#This Row],[Date]]),CHOOSE(WEEKDAY(tblClean[[#This Row],[Date]],2),"Mon","Tue","Wed","Thu","Fri","Sat","Sun"),"")</f>
        <v>Tue</v>
      </c>
      <c r="P155" s="24" t="str">
        <f>IF(ISNUMBER(tblClean[[#This Row],[Date]]),IF(WEEKDAY(tblClean[[#This Row],[Date]],2)&gt;=6,"Weekend","Weekday"),"")</f>
        <v>Weekday</v>
      </c>
      <c r="Q15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55" s="9" t="str">
        <f>IF(ISNUMBER(tblClean[[#This Row],[Duration Hours]]),IF(tblClean[[#This Row],[Duration Hours]]&lt;2,"Short (under 2h)",IF(tblClean[[#This Row],[Duration Hours]]&lt;3,"Standard (2h to under 3h)","Long (3h or more)")),"")</f>
        <v>Long (3h or more)</v>
      </c>
      <c r="S15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55" s="24">
        <f>IF(COUNTIF(tblClean[Session ID],tblClean[[#This Row],[Session ID]])&gt;1,1,0)</f>
        <v>0</v>
      </c>
      <c r="U155" s="24">
        <f>IF(OR(N(tblClean[[#This Row],[Attributed GMV PHP]])&lt;0,N(tblClean[[#This Row],[Items Sold]])&lt;0,N(tblClean[[#This Row],[Livestream Views]])&lt;0,N(tblClean[[#This Row],[New Followers]])&lt;0),1,0)</f>
        <v>0</v>
      </c>
      <c r="V155" s="24">
        <f>IF(ISNUMBER(tblClean[[#This Row],[Duration Hours]]),IF(OR(tblClean[[#This Row],[Duration Hours]]&lt;=0,tblClean[[#This Row],[Duration Hours]]&gt;12),1,0),1)</f>
        <v>0</v>
      </c>
      <c r="W155" s="24">
        <f>IF(COUNTIF(HostRoster,tblClean[[#This Row],[Host Name]])=0,1,0)</f>
        <v>0</v>
      </c>
      <c r="X155" s="24">
        <f>IF(tblClean[[#This Row],[Missing Flag]]+tblClean[[#This Row],[Duplicate Flag]]+tblClean[[#This Row],[Negative Flag]]+tblClean[[#This Row],[Duration Flag]]+tblClean[[#This Row],[Host Flag]]=0,1,0)</f>
        <v>1</v>
      </c>
    </row>
    <row r="156" spans="1:24" x14ac:dyDescent="0.3">
      <c r="A156" s="9" t="str">
        <f>TRIM('Raw Data'!A152)</f>
        <v>LS-0148</v>
      </c>
      <c r="B156" s="10">
        <f>IF(ISNUMBER('Raw Data'!B152),INT('Raw Data'!B152),IFERROR(DATEVALUE('Raw Data'!B152),""))</f>
        <v>45846</v>
      </c>
      <c r="C156" s="9" t="str">
        <f>PROPER(TRIM('Raw Data'!C152))</f>
        <v>Aira Valdez</v>
      </c>
      <c r="D156" s="11">
        <f>IF(ISNUMBER('Raw Data'!D152),MOD('Raw Data'!D152,1),IFERROR(TIMEVALUE('Raw Data'!D152),""))</f>
        <v>0.66666666666666663</v>
      </c>
      <c r="E156" s="11">
        <f>IF(ISNUMBER('Raw Data'!E152),MOD('Raw Data'!E152,1),IFERROR(TIMEVALUE('Raw Data'!E152),""))</f>
        <v>0.72916666666666663</v>
      </c>
      <c r="F156" s="12">
        <f>IF(ISNUMBER('Raw Data'!F152),'Raw Data'!F152,IFERROR(VALUE(SUBSTITUTE('Raw Data'!F152,",","")),""))</f>
        <v>26853</v>
      </c>
      <c r="G156" s="13">
        <f>IF(ISNUMBER('Raw Data'!G152),'Raw Data'!G152,IFERROR(VALUE(SUBSTITUTE('Raw Data'!G152,",","")),""))</f>
        <v>83</v>
      </c>
      <c r="H156" s="13">
        <f>IF(ISNUMBER('Raw Data'!H152),'Raw Data'!H152,IFERROR(VALUE(SUBSTITUTE('Raw Data'!H152,",","")),""))</f>
        <v>78359</v>
      </c>
      <c r="I156" s="13">
        <f>IF(ISNUMBER('Raw Data'!I152),'Raw Data'!I152,IFERROR(VALUE(SUBSTITUTE('Raw Data'!I152,",","")),""))</f>
        <v>827</v>
      </c>
      <c r="J156" s="21">
        <f>IF(AND(ISNUMBER(tblClean[[#This Row],[Start Time]]),ISNUMBER(tblClean[[#This Row],[End Time]])),ROUND(MOD(tblClean[[#This Row],[End Time]]-tblClean[[#This Row],[Start Time]],1)*24,2),"")</f>
        <v>1.5</v>
      </c>
      <c r="K156" s="12">
        <f>IF(AND(ISNUMBER(tblClean[[#This Row],[Duration Hours]]),ISNUMBER(tblClean[[#This Row],[Attributed GMV PHP]])),IF(tblClean[[#This Row],[Duration Hours]]&gt;0,tblClean[[#This Row],[Attributed GMV PHP]]/tblClean[[#This Row],[Duration Hours]],""),"")</f>
        <v>17902</v>
      </c>
      <c r="L156" s="22">
        <f>IF(ISNUMBER(tblClean[[#This Row],[Date]]),DATE(YEAR(tblClean[[#This Row],[Date]]),MONTH(tblClean[[#This Row],[Date]]),1),"")</f>
        <v>45839</v>
      </c>
      <c r="M156" s="10">
        <f>IF(ISNUMBER(tblClean[[#This Row],[Date]]),tblClean[[#This Row],[Date]]-WEEKDAY(tblClean[[#This Row],[Date]],2)+1,"")</f>
        <v>45845</v>
      </c>
      <c r="N156" s="23">
        <f>IF(ISNUMBER(tblClean[[#This Row],[Week Start]]),(tblClean[[#This Row],[Week Start]]-MIN(tblClean[Week Start]))/7+1,"")</f>
        <v>6</v>
      </c>
      <c r="O156" s="24" t="str">
        <f>IF(ISNUMBER(tblClean[[#This Row],[Date]]),CHOOSE(WEEKDAY(tblClean[[#This Row],[Date]],2),"Mon","Tue","Wed","Thu","Fri","Sat","Sun"),"")</f>
        <v>Tue</v>
      </c>
      <c r="P156" s="24" t="str">
        <f>IF(ISNUMBER(tblClean[[#This Row],[Date]]),IF(WEEKDAY(tblClean[[#This Row],[Date]],2)&gt;=6,"Weekend","Weekday"),"")</f>
        <v>Weekday</v>
      </c>
      <c r="Q15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56" s="9" t="str">
        <f>IF(ISNUMBER(tblClean[[#This Row],[Duration Hours]]),IF(tblClean[[#This Row],[Duration Hours]]&lt;2,"Short (under 2h)",IF(tblClean[[#This Row],[Duration Hours]]&lt;3,"Standard (2h to under 3h)","Long (3h or more)")),"")</f>
        <v>Short (under 2h)</v>
      </c>
      <c r="S15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56" s="24">
        <f>IF(COUNTIF(tblClean[Session ID],tblClean[[#This Row],[Session ID]])&gt;1,1,0)</f>
        <v>0</v>
      </c>
      <c r="U156" s="24">
        <f>IF(OR(N(tblClean[[#This Row],[Attributed GMV PHP]])&lt;0,N(tblClean[[#This Row],[Items Sold]])&lt;0,N(tblClean[[#This Row],[Livestream Views]])&lt;0,N(tblClean[[#This Row],[New Followers]])&lt;0),1,0)</f>
        <v>0</v>
      </c>
      <c r="V156" s="24">
        <f>IF(ISNUMBER(tblClean[[#This Row],[Duration Hours]]),IF(OR(tblClean[[#This Row],[Duration Hours]]&lt;=0,tblClean[[#This Row],[Duration Hours]]&gt;12),1,0),1)</f>
        <v>0</v>
      </c>
      <c r="W156" s="24">
        <f>IF(COUNTIF(HostRoster,tblClean[[#This Row],[Host Name]])=0,1,0)</f>
        <v>0</v>
      </c>
      <c r="X156" s="24">
        <f>IF(tblClean[[#This Row],[Missing Flag]]+tblClean[[#This Row],[Duplicate Flag]]+tblClean[[#This Row],[Negative Flag]]+tblClean[[#This Row],[Duration Flag]]+tblClean[[#This Row],[Host Flag]]=0,1,0)</f>
        <v>1</v>
      </c>
    </row>
    <row r="157" spans="1:24" x14ac:dyDescent="0.3">
      <c r="A157" s="9" t="str">
        <f>TRIM('Raw Data'!A153)</f>
        <v>LS-0149</v>
      </c>
      <c r="B157" s="10">
        <f>IF(ISNUMBER('Raw Data'!B153),INT('Raw Data'!B153),IFERROR(DATEVALUE('Raw Data'!B153),""))</f>
        <v>45846</v>
      </c>
      <c r="C157" s="9" t="str">
        <f>PROPER(TRIM('Raw Data'!C153))</f>
        <v>Bianca Reyes</v>
      </c>
      <c r="D157" s="11">
        <f>IF(ISNUMBER('Raw Data'!D153),MOD('Raw Data'!D153,1),IFERROR(TIMEVALUE('Raw Data'!D153),""))</f>
        <v>0.79166666666666663</v>
      </c>
      <c r="E157" s="11">
        <f>IF(ISNUMBER('Raw Data'!E153),MOD('Raw Data'!E153,1),IFERROR(TIMEVALUE('Raw Data'!E153),""))</f>
        <v>0.875</v>
      </c>
      <c r="F157" s="12">
        <f>IF(ISNUMBER('Raw Data'!F153),'Raw Data'!F153,IFERROR(VALUE(SUBSTITUTE('Raw Data'!F153,",","")),""))</f>
        <v>29728</v>
      </c>
      <c r="G157" s="13">
        <f>IF(ISNUMBER('Raw Data'!G153),'Raw Data'!G153,IFERROR(VALUE(SUBSTITUTE('Raw Data'!G153,",","")),""))</f>
        <v>97</v>
      </c>
      <c r="H157" s="13">
        <f>IF(ISNUMBER('Raw Data'!H153),'Raw Data'!H153,IFERROR(VALUE(SUBSTITUTE('Raw Data'!H153,",","")),""))</f>
        <v>94183</v>
      </c>
      <c r="I157" s="13">
        <f>IF(ISNUMBER('Raw Data'!I153),'Raw Data'!I153,IFERROR(VALUE(SUBSTITUTE('Raw Data'!I153,",","")),""))</f>
        <v>1154</v>
      </c>
      <c r="J157" s="21">
        <f>IF(AND(ISNUMBER(tblClean[[#This Row],[Start Time]]),ISNUMBER(tblClean[[#This Row],[End Time]])),ROUND(MOD(tblClean[[#This Row],[End Time]]-tblClean[[#This Row],[Start Time]],1)*24,2),"")</f>
        <v>2</v>
      </c>
      <c r="K157" s="12">
        <f>IF(AND(ISNUMBER(tblClean[[#This Row],[Duration Hours]]),ISNUMBER(tblClean[[#This Row],[Attributed GMV PHP]])),IF(tblClean[[#This Row],[Duration Hours]]&gt;0,tblClean[[#This Row],[Attributed GMV PHP]]/tblClean[[#This Row],[Duration Hours]],""),"")</f>
        <v>14864</v>
      </c>
      <c r="L157" s="22">
        <f>IF(ISNUMBER(tblClean[[#This Row],[Date]]),DATE(YEAR(tblClean[[#This Row],[Date]]),MONTH(tblClean[[#This Row],[Date]]),1),"")</f>
        <v>45839</v>
      </c>
      <c r="M157" s="10">
        <f>IF(ISNUMBER(tblClean[[#This Row],[Date]]),tblClean[[#This Row],[Date]]-WEEKDAY(tblClean[[#This Row],[Date]],2)+1,"")</f>
        <v>45845</v>
      </c>
      <c r="N157" s="23">
        <f>IF(ISNUMBER(tblClean[[#This Row],[Week Start]]),(tblClean[[#This Row],[Week Start]]-MIN(tblClean[Week Start]))/7+1,"")</f>
        <v>6</v>
      </c>
      <c r="O157" s="24" t="str">
        <f>IF(ISNUMBER(tblClean[[#This Row],[Date]]),CHOOSE(WEEKDAY(tblClean[[#This Row],[Date]],2),"Mon","Tue","Wed","Thu","Fri","Sat","Sun"),"")</f>
        <v>Tue</v>
      </c>
      <c r="P157" s="24" t="str">
        <f>IF(ISNUMBER(tblClean[[#This Row],[Date]]),IF(WEEKDAY(tblClean[[#This Row],[Date]],2)&gt;=6,"Weekend","Weekday"),"")</f>
        <v>Weekday</v>
      </c>
      <c r="Q15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57" s="9" t="str">
        <f>IF(ISNUMBER(tblClean[[#This Row],[Duration Hours]]),IF(tblClean[[#This Row],[Duration Hours]]&lt;2,"Short (under 2h)",IF(tblClean[[#This Row],[Duration Hours]]&lt;3,"Standard (2h to under 3h)","Long (3h or more)")),"")</f>
        <v>Standard (2h to under 3h)</v>
      </c>
      <c r="S15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57" s="24">
        <f>IF(COUNTIF(tblClean[Session ID],tblClean[[#This Row],[Session ID]])&gt;1,1,0)</f>
        <v>0</v>
      </c>
      <c r="U157" s="24">
        <f>IF(OR(N(tblClean[[#This Row],[Attributed GMV PHP]])&lt;0,N(tblClean[[#This Row],[Items Sold]])&lt;0,N(tblClean[[#This Row],[Livestream Views]])&lt;0,N(tblClean[[#This Row],[New Followers]])&lt;0),1,0)</f>
        <v>0</v>
      </c>
      <c r="V157" s="24">
        <f>IF(ISNUMBER(tblClean[[#This Row],[Duration Hours]]),IF(OR(tblClean[[#This Row],[Duration Hours]]&lt;=0,tblClean[[#This Row],[Duration Hours]]&gt;12),1,0),1)</f>
        <v>0</v>
      </c>
      <c r="W157" s="24">
        <f>IF(COUNTIF(HostRoster,tblClean[[#This Row],[Host Name]])=0,1,0)</f>
        <v>0</v>
      </c>
      <c r="X157" s="24">
        <f>IF(tblClean[[#This Row],[Missing Flag]]+tblClean[[#This Row],[Duplicate Flag]]+tblClean[[#This Row],[Negative Flag]]+tblClean[[#This Row],[Duration Flag]]+tblClean[[#This Row],[Host Flag]]=0,1,0)</f>
        <v>1</v>
      </c>
    </row>
    <row r="158" spans="1:24" x14ac:dyDescent="0.3">
      <c r="A158" s="9" t="str">
        <f>TRIM('Raw Data'!A154)</f>
        <v>LS-0150</v>
      </c>
      <c r="B158" s="10">
        <f>IF(ISNUMBER('Raw Data'!B154),INT('Raw Data'!B154),IFERROR(DATEVALUE('Raw Data'!B154),""))</f>
        <v>45846</v>
      </c>
      <c r="C158" s="9" t="str">
        <f>PROPER(TRIM('Raw Data'!C154))</f>
        <v>Carlo Mendoza</v>
      </c>
      <c r="D158" s="11">
        <f>IF(ISNUMBER('Raw Data'!D154),MOD('Raw Data'!D154,1),IFERROR(TIMEVALUE('Raw Data'!D154),""))</f>
        <v>0.91666666666666663</v>
      </c>
      <c r="E158" s="11">
        <f>IF(ISNUMBER('Raw Data'!E154),MOD('Raw Data'!E154,1),IFERROR(TIMEVALUE('Raw Data'!E154),""))</f>
        <v>4.1666666666666657E-2</v>
      </c>
      <c r="F158" s="12">
        <f>IF(ISNUMBER('Raw Data'!F154),'Raw Data'!F154,IFERROR(VALUE(SUBSTITUTE('Raw Data'!F154,",","")),""))</f>
        <v>37614</v>
      </c>
      <c r="G158" s="13">
        <f>IF(ISNUMBER('Raw Data'!G154),'Raw Data'!G154,IFERROR(VALUE(SUBSTITUTE('Raw Data'!G154,",","")),""))</f>
        <v>108</v>
      </c>
      <c r="H158" s="13">
        <f>IF(ISNUMBER('Raw Data'!H154),'Raw Data'!H154,IFERROR(VALUE(SUBSTITUTE('Raw Data'!H154,",","")),""))</f>
        <v>124028</v>
      </c>
      <c r="I158" s="13">
        <f>IF(ISNUMBER('Raw Data'!I154),'Raw Data'!I154,IFERROR(VALUE(SUBSTITUTE('Raw Data'!I154,",","")),""))</f>
        <v>1117</v>
      </c>
      <c r="J158" s="21">
        <f>IF(AND(ISNUMBER(tblClean[[#This Row],[Start Time]]),ISNUMBER(tblClean[[#This Row],[End Time]])),ROUND(MOD(tblClean[[#This Row],[End Time]]-tblClean[[#This Row],[Start Time]],1)*24,2),"")</f>
        <v>3</v>
      </c>
      <c r="K158" s="12">
        <f>IF(AND(ISNUMBER(tblClean[[#This Row],[Duration Hours]]),ISNUMBER(tblClean[[#This Row],[Attributed GMV PHP]])),IF(tblClean[[#This Row],[Duration Hours]]&gt;0,tblClean[[#This Row],[Attributed GMV PHP]]/tblClean[[#This Row],[Duration Hours]],""),"")</f>
        <v>12538</v>
      </c>
      <c r="L158" s="22">
        <f>IF(ISNUMBER(tblClean[[#This Row],[Date]]),DATE(YEAR(tblClean[[#This Row],[Date]]),MONTH(tblClean[[#This Row],[Date]]),1),"")</f>
        <v>45839</v>
      </c>
      <c r="M158" s="10">
        <f>IF(ISNUMBER(tblClean[[#This Row],[Date]]),tblClean[[#This Row],[Date]]-WEEKDAY(tblClean[[#This Row],[Date]],2)+1,"")</f>
        <v>45845</v>
      </c>
      <c r="N158" s="23">
        <f>IF(ISNUMBER(tblClean[[#This Row],[Week Start]]),(tblClean[[#This Row],[Week Start]]-MIN(tblClean[Week Start]))/7+1,"")</f>
        <v>6</v>
      </c>
      <c r="O158" s="24" t="str">
        <f>IF(ISNUMBER(tblClean[[#This Row],[Date]]),CHOOSE(WEEKDAY(tblClean[[#This Row],[Date]],2),"Mon","Tue","Wed","Thu","Fri","Sat","Sun"),"")</f>
        <v>Tue</v>
      </c>
      <c r="P158" s="24" t="str">
        <f>IF(ISNUMBER(tblClean[[#This Row],[Date]]),IF(WEEKDAY(tblClean[[#This Row],[Date]],2)&gt;=6,"Weekend","Weekday"),"")</f>
        <v>Weekday</v>
      </c>
      <c r="Q15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58" s="9" t="str">
        <f>IF(ISNUMBER(tblClean[[#This Row],[Duration Hours]]),IF(tblClean[[#This Row],[Duration Hours]]&lt;2,"Short (under 2h)",IF(tblClean[[#This Row],[Duration Hours]]&lt;3,"Standard (2h to under 3h)","Long (3h or more)")),"")</f>
        <v>Long (3h or more)</v>
      </c>
      <c r="S15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58" s="24">
        <f>IF(COUNTIF(tblClean[Session ID],tblClean[[#This Row],[Session ID]])&gt;1,1,0)</f>
        <v>0</v>
      </c>
      <c r="U158" s="24">
        <f>IF(OR(N(tblClean[[#This Row],[Attributed GMV PHP]])&lt;0,N(tblClean[[#This Row],[Items Sold]])&lt;0,N(tblClean[[#This Row],[Livestream Views]])&lt;0,N(tblClean[[#This Row],[New Followers]])&lt;0),1,0)</f>
        <v>0</v>
      </c>
      <c r="V158" s="24">
        <f>IF(ISNUMBER(tblClean[[#This Row],[Duration Hours]]),IF(OR(tblClean[[#This Row],[Duration Hours]]&lt;=0,tblClean[[#This Row],[Duration Hours]]&gt;12),1,0),1)</f>
        <v>0</v>
      </c>
      <c r="W158" s="24">
        <f>IF(COUNTIF(HostRoster,tblClean[[#This Row],[Host Name]])=0,1,0)</f>
        <v>0</v>
      </c>
      <c r="X158" s="24">
        <f>IF(tblClean[[#This Row],[Missing Flag]]+tblClean[[#This Row],[Duplicate Flag]]+tblClean[[#This Row],[Negative Flag]]+tblClean[[#This Row],[Duration Flag]]+tblClean[[#This Row],[Host Flag]]=0,1,0)</f>
        <v>1</v>
      </c>
    </row>
    <row r="159" spans="1:24" x14ac:dyDescent="0.3">
      <c r="A159" s="9" t="str">
        <f>TRIM('Raw Data'!A155)</f>
        <v>LS-0151</v>
      </c>
      <c r="B159" s="10">
        <f>IF(ISNUMBER('Raw Data'!B155),INT('Raw Data'!B155),IFERROR(DATEVALUE('Raw Data'!B155),""))</f>
        <v>45847</v>
      </c>
      <c r="C159" s="9" t="str">
        <f>PROPER(TRIM('Raw Data'!C155))</f>
        <v>Bianca Reyes</v>
      </c>
      <c r="D159" s="11">
        <f>IF(ISNUMBER('Raw Data'!D155),MOD('Raw Data'!D155,1),IFERROR(TIMEVALUE('Raw Data'!D155),""))</f>
        <v>0.41666666666666669</v>
      </c>
      <c r="E159" s="11">
        <f>IF(ISNUMBER('Raw Data'!E155),MOD('Raw Data'!E155,1),IFERROR(TIMEVALUE('Raw Data'!E155),""))</f>
        <v>0.5</v>
      </c>
      <c r="F159" s="12">
        <f>IF(ISNUMBER('Raw Data'!F155),'Raw Data'!F155,IFERROR(VALUE(SUBSTITUTE('Raw Data'!F155,",","")),""))</f>
        <v>14031</v>
      </c>
      <c r="G159" s="13">
        <f>IF(ISNUMBER('Raw Data'!G155),'Raw Data'!G155,IFERROR(VALUE(SUBSTITUTE('Raw Data'!G155,",","")),""))</f>
        <v>44</v>
      </c>
      <c r="H159" s="13">
        <f>IF(ISNUMBER('Raw Data'!H155),'Raw Data'!H155,IFERROR(VALUE(SUBSTITUTE('Raw Data'!H155,",","")),""))</f>
        <v>49052</v>
      </c>
      <c r="I159" s="13">
        <f>IF(ISNUMBER('Raw Data'!I155),'Raw Data'!I155,IFERROR(VALUE(SUBSTITUTE('Raw Data'!I155,",","")),""))</f>
        <v>629</v>
      </c>
      <c r="J159" s="21">
        <f>IF(AND(ISNUMBER(tblClean[[#This Row],[Start Time]]),ISNUMBER(tblClean[[#This Row],[End Time]])),ROUND(MOD(tblClean[[#This Row],[End Time]]-tblClean[[#This Row],[Start Time]],1)*24,2),"")</f>
        <v>2</v>
      </c>
      <c r="K159" s="12">
        <f>IF(AND(ISNUMBER(tblClean[[#This Row],[Duration Hours]]),ISNUMBER(tblClean[[#This Row],[Attributed GMV PHP]])),IF(tblClean[[#This Row],[Duration Hours]]&gt;0,tblClean[[#This Row],[Attributed GMV PHP]]/tblClean[[#This Row],[Duration Hours]],""),"")</f>
        <v>7015.5</v>
      </c>
      <c r="L159" s="22">
        <f>IF(ISNUMBER(tblClean[[#This Row],[Date]]),DATE(YEAR(tblClean[[#This Row],[Date]]),MONTH(tblClean[[#This Row],[Date]]),1),"")</f>
        <v>45839</v>
      </c>
      <c r="M159" s="10">
        <f>IF(ISNUMBER(tblClean[[#This Row],[Date]]),tblClean[[#This Row],[Date]]-WEEKDAY(tblClean[[#This Row],[Date]],2)+1,"")</f>
        <v>45845</v>
      </c>
      <c r="N159" s="23">
        <f>IF(ISNUMBER(tblClean[[#This Row],[Week Start]]),(tblClean[[#This Row],[Week Start]]-MIN(tblClean[Week Start]))/7+1,"")</f>
        <v>6</v>
      </c>
      <c r="O159" s="24" t="str">
        <f>IF(ISNUMBER(tblClean[[#This Row],[Date]]),CHOOSE(WEEKDAY(tblClean[[#This Row],[Date]],2),"Mon","Tue","Wed","Thu","Fri","Sat","Sun"),"")</f>
        <v>Wed</v>
      </c>
      <c r="P159" s="24" t="str">
        <f>IF(ISNUMBER(tblClean[[#This Row],[Date]]),IF(WEEKDAY(tblClean[[#This Row],[Date]],2)&gt;=6,"Weekend","Weekday"),"")</f>
        <v>Weekday</v>
      </c>
      <c r="Q15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59" s="9" t="str">
        <f>IF(ISNUMBER(tblClean[[#This Row],[Duration Hours]]),IF(tblClean[[#This Row],[Duration Hours]]&lt;2,"Short (under 2h)",IF(tblClean[[#This Row],[Duration Hours]]&lt;3,"Standard (2h to under 3h)","Long (3h or more)")),"")</f>
        <v>Standard (2h to under 3h)</v>
      </c>
      <c r="S15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59" s="24">
        <f>IF(COUNTIF(tblClean[Session ID],tblClean[[#This Row],[Session ID]])&gt;1,1,0)</f>
        <v>0</v>
      </c>
      <c r="U159" s="24">
        <f>IF(OR(N(tblClean[[#This Row],[Attributed GMV PHP]])&lt;0,N(tblClean[[#This Row],[Items Sold]])&lt;0,N(tblClean[[#This Row],[Livestream Views]])&lt;0,N(tblClean[[#This Row],[New Followers]])&lt;0),1,0)</f>
        <v>0</v>
      </c>
      <c r="V159" s="24">
        <f>IF(ISNUMBER(tblClean[[#This Row],[Duration Hours]]),IF(OR(tblClean[[#This Row],[Duration Hours]]&lt;=0,tblClean[[#This Row],[Duration Hours]]&gt;12),1,0),1)</f>
        <v>0</v>
      </c>
      <c r="W159" s="24">
        <f>IF(COUNTIF(HostRoster,tblClean[[#This Row],[Host Name]])=0,1,0)</f>
        <v>0</v>
      </c>
      <c r="X159" s="24">
        <f>IF(tblClean[[#This Row],[Missing Flag]]+tblClean[[#This Row],[Duplicate Flag]]+tblClean[[#This Row],[Negative Flag]]+tblClean[[#This Row],[Duration Flag]]+tblClean[[#This Row],[Host Flag]]=0,1,0)</f>
        <v>1</v>
      </c>
    </row>
    <row r="160" spans="1:24" x14ac:dyDescent="0.3">
      <c r="A160" s="9" t="str">
        <f>TRIM('Raw Data'!A156)</f>
        <v>LS-0152</v>
      </c>
      <c r="B160" s="10">
        <f>IF(ISNUMBER('Raw Data'!B156),INT('Raw Data'!B156),IFERROR(DATEVALUE('Raw Data'!B156),""))</f>
        <v>45847</v>
      </c>
      <c r="C160" s="9" t="str">
        <f>PROPER(TRIM('Raw Data'!C156))</f>
        <v>Dani Villanueva</v>
      </c>
      <c r="D160" s="11">
        <f>IF(ISNUMBER('Raw Data'!D156),MOD('Raw Data'!D156,1),IFERROR(TIMEVALUE('Raw Data'!D156),""))</f>
        <v>0.54166666666666663</v>
      </c>
      <c r="E160" s="11">
        <f>IF(ISNUMBER('Raw Data'!E156),MOD('Raw Data'!E156,1),IFERROR(TIMEVALUE('Raw Data'!E156),""))</f>
        <v>0.64583333333333337</v>
      </c>
      <c r="F160" s="12">
        <f>IF(ISNUMBER('Raw Data'!F156),'Raw Data'!F156,IFERROR(VALUE(SUBSTITUTE('Raw Data'!F156,",","")),""))</f>
        <v>10077</v>
      </c>
      <c r="G160" s="13">
        <f>IF(ISNUMBER('Raw Data'!G156),'Raw Data'!G156,IFERROR(VALUE(SUBSTITUTE('Raw Data'!G156,",","")),""))</f>
        <v>39</v>
      </c>
      <c r="H160" s="13">
        <f>IF(ISNUMBER('Raw Data'!H156),'Raw Data'!H156,IFERROR(VALUE(SUBSTITUTE('Raw Data'!H156,",","")),""))</f>
        <v>43668</v>
      </c>
      <c r="I160" s="13">
        <f>IF(ISNUMBER('Raw Data'!I156),'Raw Data'!I156,IFERROR(VALUE(SUBSTITUTE('Raw Data'!I156,",","")),""))</f>
        <v>209</v>
      </c>
      <c r="J160" s="21">
        <f>IF(AND(ISNUMBER(tblClean[[#This Row],[Start Time]]),ISNUMBER(tblClean[[#This Row],[End Time]])),ROUND(MOD(tblClean[[#This Row],[End Time]]-tblClean[[#This Row],[Start Time]],1)*24,2),"")</f>
        <v>2.5</v>
      </c>
      <c r="K160" s="12">
        <f>IF(AND(ISNUMBER(tblClean[[#This Row],[Duration Hours]]),ISNUMBER(tblClean[[#This Row],[Attributed GMV PHP]])),IF(tblClean[[#This Row],[Duration Hours]]&gt;0,tblClean[[#This Row],[Attributed GMV PHP]]/tblClean[[#This Row],[Duration Hours]],""),"")</f>
        <v>4030.8</v>
      </c>
      <c r="L160" s="22">
        <f>IF(ISNUMBER(tblClean[[#This Row],[Date]]),DATE(YEAR(tblClean[[#This Row],[Date]]),MONTH(tblClean[[#This Row],[Date]]),1),"")</f>
        <v>45839</v>
      </c>
      <c r="M160" s="10">
        <f>IF(ISNUMBER(tblClean[[#This Row],[Date]]),tblClean[[#This Row],[Date]]-WEEKDAY(tblClean[[#This Row],[Date]],2)+1,"")</f>
        <v>45845</v>
      </c>
      <c r="N160" s="23">
        <f>IF(ISNUMBER(tblClean[[#This Row],[Week Start]]),(tblClean[[#This Row],[Week Start]]-MIN(tblClean[Week Start]))/7+1,"")</f>
        <v>6</v>
      </c>
      <c r="O160" s="24" t="str">
        <f>IF(ISNUMBER(tblClean[[#This Row],[Date]]),CHOOSE(WEEKDAY(tblClean[[#This Row],[Date]],2),"Mon","Tue","Wed","Thu","Fri","Sat","Sun"),"")</f>
        <v>Wed</v>
      </c>
      <c r="P160" s="24" t="str">
        <f>IF(ISNUMBER(tblClean[[#This Row],[Date]]),IF(WEEKDAY(tblClean[[#This Row],[Date]],2)&gt;=6,"Weekend","Weekday"),"")</f>
        <v>Weekday</v>
      </c>
      <c r="Q16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60" s="9" t="str">
        <f>IF(ISNUMBER(tblClean[[#This Row],[Duration Hours]]),IF(tblClean[[#This Row],[Duration Hours]]&lt;2,"Short (under 2h)",IF(tblClean[[#This Row],[Duration Hours]]&lt;3,"Standard (2h to under 3h)","Long (3h or more)")),"")</f>
        <v>Standard (2h to under 3h)</v>
      </c>
      <c r="S16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60" s="24">
        <f>IF(COUNTIF(tblClean[Session ID],tblClean[[#This Row],[Session ID]])&gt;1,1,0)</f>
        <v>0</v>
      </c>
      <c r="U160" s="24">
        <f>IF(OR(N(tblClean[[#This Row],[Attributed GMV PHP]])&lt;0,N(tblClean[[#This Row],[Items Sold]])&lt;0,N(tblClean[[#This Row],[Livestream Views]])&lt;0,N(tblClean[[#This Row],[New Followers]])&lt;0),1,0)</f>
        <v>0</v>
      </c>
      <c r="V160" s="24">
        <f>IF(ISNUMBER(tblClean[[#This Row],[Duration Hours]]),IF(OR(tblClean[[#This Row],[Duration Hours]]&lt;=0,tblClean[[#This Row],[Duration Hours]]&gt;12),1,0),1)</f>
        <v>0</v>
      </c>
      <c r="W160" s="24">
        <f>IF(COUNTIF(HostRoster,tblClean[[#This Row],[Host Name]])=0,1,0)</f>
        <v>0</v>
      </c>
      <c r="X160" s="24">
        <f>IF(tblClean[[#This Row],[Missing Flag]]+tblClean[[#This Row],[Duplicate Flag]]+tblClean[[#This Row],[Negative Flag]]+tblClean[[#This Row],[Duration Flag]]+tblClean[[#This Row],[Host Flag]]=0,1,0)</f>
        <v>1</v>
      </c>
    </row>
    <row r="161" spans="1:24" x14ac:dyDescent="0.3">
      <c r="A161" s="9" t="str">
        <f>TRIM('Raw Data'!A157)</f>
        <v>LS-0153</v>
      </c>
      <c r="B161" s="10">
        <f>IF(ISNUMBER('Raw Data'!B157),INT('Raw Data'!B157),IFERROR(DATEVALUE('Raw Data'!B157),""))</f>
        <v>45847</v>
      </c>
      <c r="C161" s="9" t="str">
        <f>PROPER(TRIM('Raw Data'!C157))</f>
        <v>Bianca Reyes</v>
      </c>
      <c r="D161" s="11">
        <f>IF(ISNUMBER('Raw Data'!D157),MOD('Raw Data'!D157,1),IFERROR(TIMEVALUE('Raw Data'!D157),""))</f>
        <v>0.66666666666666663</v>
      </c>
      <c r="E161" s="11">
        <f>IF(ISNUMBER('Raw Data'!E157),MOD('Raw Data'!E157,1),IFERROR(TIMEVALUE('Raw Data'!E157),""))</f>
        <v>0.75</v>
      </c>
      <c r="F161" s="12">
        <f>IF(ISNUMBER('Raw Data'!F157),'Raw Data'!F157,IFERROR(VALUE(SUBSTITUTE('Raw Data'!F157,",","")),""))</f>
        <v>17421</v>
      </c>
      <c r="G161" s="13">
        <f>IF(ISNUMBER('Raw Data'!G157),'Raw Data'!G157,IFERROR(VALUE(SUBSTITUTE('Raw Data'!G157,",","")),""))</f>
        <v>53</v>
      </c>
      <c r="H161" s="13">
        <f>IF(ISNUMBER('Raw Data'!H157),'Raw Data'!H157,IFERROR(VALUE(SUBSTITUTE('Raw Data'!H157,",","")),""))</f>
        <v>48385</v>
      </c>
      <c r="I161" s="13">
        <f>IF(ISNUMBER('Raw Data'!I157),'Raw Data'!I157,IFERROR(VALUE(SUBSTITUTE('Raw Data'!I157,",","")),""))</f>
        <v>232</v>
      </c>
      <c r="J161" s="21">
        <f>IF(AND(ISNUMBER(tblClean[[#This Row],[Start Time]]),ISNUMBER(tblClean[[#This Row],[End Time]])),ROUND(MOD(tblClean[[#This Row],[End Time]]-tblClean[[#This Row],[Start Time]],1)*24,2),"")</f>
        <v>2</v>
      </c>
      <c r="K161" s="12">
        <f>IF(AND(ISNUMBER(tblClean[[#This Row],[Duration Hours]]),ISNUMBER(tblClean[[#This Row],[Attributed GMV PHP]])),IF(tblClean[[#This Row],[Duration Hours]]&gt;0,tblClean[[#This Row],[Attributed GMV PHP]]/tblClean[[#This Row],[Duration Hours]],""),"")</f>
        <v>8710.5</v>
      </c>
      <c r="L161" s="22">
        <f>IF(ISNUMBER(tblClean[[#This Row],[Date]]),DATE(YEAR(tblClean[[#This Row],[Date]]),MONTH(tblClean[[#This Row],[Date]]),1),"")</f>
        <v>45839</v>
      </c>
      <c r="M161" s="10">
        <f>IF(ISNUMBER(tblClean[[#This Row],[Date]]),tblClean[[#This Row],[Date]]-WEEKDAY(tblClean[[#This Row],[Date]],2)+1,"")</f>
        <v>45845</v>
      </c>
      <c r="N161" s="23">
        <f>IF(ISNUMBER(tblClean[[#This Row],[Week Start]]),(tblClean[[#This Row],[Week Start]]-MIN(tblClean[Week Start]))/7+1,"")</f>
        <v>6</v>
      </c>
      <c r="O161" s="24" t="str">
        <f>IF(ISNUMBER(tblClean[[#This Row],[Date]]),CHOOSE(WEEKDAY(tblClean[[#This Row],[Date]],2),"Mon","Tue","Wed","Thu","Fri","Sat","Sun"),"")</f>
        <v>Wed</v>
      </c>
      <c r="P161" s="24" t="str">
        <f>IF(ISNUMBER(tblClean[[#This Row],[Date]]),IF(WEEKDAY(tblClean[[#This Row],[Date]],2)&gt;=6,"Weekend","Weekday"),"")</f>
        <v>Weekday</v>
      </c>
      <c r="Q16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61" s="9" t="str">
        <f>IF(ISNUMBER(tblClean[[#This Row],[Duration Hours]]),IF(tblClean[[#This Row],[Duration Hours]]&lt;2,"Short (under 2h)",IF(tblClean[[#This Row],[Duration Hours]]&lt;3,"Standard (2h to under 3h)","Long (3h or more)")),"")</f>
        <v>Standard (2h to under 3h)</v>
      </c>
      <c r="S16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61" s="24">
        <f>IF(COUNTIF(tblClean[Session ID],tblClean[[#This Row],[Session ID]])&gt;1,1,0)</f>
        <v>0</v>
      </c>
      <c r="U161" s="24">
        <f>IF(OR(N(tblClean[[#This Row],[Attributed GMV PHP]])&lt;0,N(tblClean[[#This Row],[Items Sold]])&lt;0,N(tblClean[[#This Row],[Livestream Views]])&lt;0,N(tblClean[[#This Row],[New Followers]])&lt;0),1,0)</f>
        <v>0</v>
      </c>
      <c r="V161" s="24">
        <f>IF(ISNUMBER(tblClean[[#This Row],[Duration Hours]]),IF(OR(tblClean[[#This Row],[Duration Hours]]&lt;=0,tblClean[[#This Row],[Duration Hours]]&gt;12),1,0),1)</f>
        <v>0</v>
      </c>
      <c r="W161" s="24">
        <f>IF(COUNTIF(HostRoster,tblClean[[#This Row],[Host Name]])=0,1,0)</f>
        <v>0</v>
      </c>
      <c r="X161" s="24">
        <f>IF(tblClean[[#This Row],[Missing Flag]]+tblClean[[#This Row],[Duplicate Flag]]+tblClean[[#This Row],[Negative Flag]]+tblClean[[#This Row],[Duration Flag]]+tblClean[[#This Row],[Host Flag]]=0,1,0)</f>
        <v>1</v>
      </c>
    </row>
    <row r="162" spans="1:24" x14ac:dyDescent="0.3">
      <c r="A162" s="9" t="str">
        <f>TRIM('Raw Data'!A158)</f>
        <v>LS-0154</v>
      </c>
      <c r="B162" s="10">
        <f>IF(ISNUMBER('Raw Data'!B158),INT('Raw Data'!B158),IFERROR(DATEVALUE('Raw Data'!B158),""))</f>
        <v>45847</v>
      </c>
      <c r="C162" s="9" t="str">
        <f>PROPER(TRIM('Raw Data'!C158))</f>
        <v>Carlo Mendoza</v>
      </c>
      <c r="D162" s="11">
        <f>IF(ISNUMBER('Raw Data'!D158),MOD('Raw Data'!D158,1),IFERROR(TIMEVALUE('Raw Data'!D158),""))</f>
        <v>0.79166666666666663</v>
      </c>
      <c r="E162" s="11">
        <f>IF(ISNUMBER('Raw Data'!E158),MOD('Raw Data'!E158,1),IFERROR(TIMEVALUE('Raw Data'!E158),""))</f>
        <v>0.875</v>
      </c>
      <c r="F162" s="12">
        <f>IF(ISNUMBER('Raw Data'!F158),'Raw Data'!F158,IFERROR(VALUE(SUBSTITUTE('Raw Data'!F158,",","")),""))</f>
        <v>29095</v>
      </c>
      <c r="G162" s="13">
        <f>IF(ISNUMBER('Raw Data'!G158),'Raw Data'!G158,IFERROR(VALUE(SUBSTITUTE('Raw Data'!G158,",","")),""))</f>
        <v>83</v>
      </c>
      <c r="H162" s="13">
        <f>IF(ISNUMBER('Raw Data'!H158),'Raw Data'!H158,IFERROR(VALUE(SUBSTITUTE('Raw Data'!H158,",","")),""))</f>
        <v>155841</v>
      </c>
      <c r="I162" s="13">
        <f>IF(ISNUMBER('Raw Data'!I158),'Raw Data'!I158,IFERROR(VALUE(SUBSTITUTE('Raw Data'!I158,",","")),""))</f>
        <v>1493</v>
      </c>
      <c r="J162" s="21">
        <f>IF(AND(ISNUMBER(tblClean[[#This Row],[Start Time]]),ISNUMBER(tblClean[[#This Row],[End Time]])),ROUND(MOD(tblClean[[#This Row],[End Time]]-tblClean[[#This Row],[Start Time]],1)*24,2),"")</f>
        <v>2</v>
      </c>
      <c r="K162" s="12">
        <f>IF(AND(ISNUMBER(tblClean[[#This Row],[Duration Hours]]),ISNUMBER(tblClean[[#This Row],[Attributed GMV PHP]])),IF(tblClean[[#This Row],[Duration Hours]]&gt;0,tblClean[[#This Row],[Attributed GMV PHP]]/tblClean[[#This Row],[Duration Hours]],""),"")</f>
        <v>14547.5</v>
      </c>
      <c r="L162" s="22">
        <f>IF(ISNUMBER(tblClean[[#This Row],[Date]]),DATE(YEAR(tblClean[[#This Row],[Date]]),MONTH(tblClean[[#This Row],[Date]]),1),"")</f>
        <v>45839</v>
      </c>
      <c r="M162" s="10">
        <f>IF(ISNUMBER(tblClean[[#This Row],[Date]]),tblClean[[#This Row],[Date]]-WEEKDAY(tblClean[[#This Row],[Date]],2)+1,"")</f>
        <v>45845</v>
      </c>
      <c r="N162" s="23">
        <f>IF(ISNUMBER(tblClean[[#This Row],[Week Start]]),(tblClean[[#This Row],[Week Start]]-MIN(tblClean[Week Start]))/7+1,"")</f>
        <v>6</v>
      </c>
      <c r="O162" s="24" t="str">
        <f>IF(ISNUMBER(tblClean[[#This Row],[Date]]),CHOOSE(WEEKDAY(tblClean[[#This Row],[Date]],2),"Mon","Tue","Wed","Thu","Fri","Sat","Sun"),"")</f>
        <v>Wed</v>
      </c>
      <c r="P162" s="24" t="str">
        <f>IF(ISNUMBER(tblClean[[#This Row],[Date]]),IF(WEEKDAY(tblClean[[#This Row],[Date]],2)&gt;=6,"Weekend","Weekday"),"")</f>
        <v>Weekday</v>
      </c>
      <c r="Q16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62" s="9" t="str">
        <f>IF(ISNUMBER(tblClean[[#This Row],[Duration Hours]]),IF(tblClean[[#This Row],[Duration Hours]]&lt;2,"Short (under 2h)",IF(tblClean[[#This Row],[Duration Hours]]&lt;3,"Standard (2h to under 3h)","Long (3h or more)")),"")</f>
        <v>Standard (2h to under 3h)</v>
      </c>
      <c r="S16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62" s="24">
        <f>IF(COUNTIF(tblClean[Session ID],tblClean[[#This Row],[Session ID]])&gt;1,1,0)</f>
        <v>0</v>
      </c>
      <c r="U162" s="24">
        <f>IF(OR(N(tblClean[[#This Row],[Attributed GMV PHP]])&lt;0,N(tblClean[[#This Row],[Items Sold]])&lt;0,N(tblClean[[#This Row],[Livestream Views]])&lt;0,N(tblClean[[#This Row],[New Followers]])&lt;0),1,0)</f>
        <v>0</v>
      </c>
      <c r="V162" s="24">
        <f>IF(ISNUMBER(tblClean[[#This Row],[Duration Hours]]),IF(OR(tblClean[[#This Row],[Duration Hours]]&lt;=0,tblClean[[#This Row],[Duration Hours]]&gt;12),1,0),1)</f>
        <v>0</v>
      </c>
      <c r="W162" s="24">
        <f>IF(COUNTIF(HostRoster,tblClean[[#This Row],[Host Name]])=0,1,0)</f>
        <v>0</v>
      </c>
      <c r="X162" s="24">
        <f>IF(tblClean[[#This Row],[Missing Flag]]+tblClean[[#This Row],[Duplicate Flag]]+tblClean[[#This Row],[Negative Flag]]+tblClean[[#This Row],[Duration Flag]]+tblClean[[#This Row],[Host Flag]]=0,1,0)</f>
        <v>1</v>
      </c>
    </row>
    <row r="163" spans="1:24" x14ac:dyDescent="0.3">
      <c r="A163" s="9" t="str">
        <f>TRIM('Raw Data'!A159)</f>
        <v>LS-0155</v>
      </c>
      <c r="B163" s="10">
        <f>IF(ISNUMBER('Raw Data'!B159),INT('Raw Data'!B159),IFERROR(DATEVALUE('Raw Data'!B159),""))</f>
        <v>45847</v>
      </c>
      <c r="C163" s="9" t="str">
        <f>PROPER(TRIM('Raw Data'!C159))</f>
        <v>Bianca Reyes</v>
      </c>
      <c r="D163" s="11">
        <f>IF(ISNUMBER('Raw Data'!D159),MOD('Raw Data'!D159,1),IFERROR(TIMEVALUE('Raw Data'!D159),""))</f>
        <v>0.91666666666666663</v>
      </c>
      <c r="E163" s="11">
        <f>IF(ISNUMBER('Raw Data'!E159),MOD('Raw Data'!E159,1),IFERROR(TIMEVALUE('Raw Data'!E159),""))</f>
        <v>2.0833333333333329E-2</v>
      </c>
      <c r="F163" s="12">
        <f>IF(ISNUMBER('Raw Data'!F159),'Raw Data'!F159,IFERROR(VALUE(SUBSTITUTE('Raw Data'!F159,",","")),""))</f>
        <v>17853</v>
      </c>
      <c r="G163" s="13">
        <f>IF(ISNUMBER('Raw Data'!G159),'Raw Data'!G159,IFERROR(VALUE(SUBSTITUTE('Raw Data'!G159,",","")),""))</f>
        <v>54</v>
      </c>
      <c r="H163" s="13">
        <f>IF(ISNUMBER('Raw Data'!H159),'Raw Data'!H159,IFERROR(VALUE(SUBSTITUTE('Raw Data'!H159,",","")),""))</f>
        <v>57456</v>
      </c>
      <c r="I163" s="13">
        <f>IF(ISNUMBER('Raw Data'!I159),'Raw Data'!I159,IFERROR(VALUE(SUBSTITUTE('Raw Data'!I159,",","")),""))</f>
        <v>338</v>
      </c>
      <c r="J163" s="21">
        <f>IF(AND(ISNUMBER(tblClean[[#This Row],[Start Time]]),ISNUMBER(tblClean[[#This Row],[End Time]])),ROUND(MOD(tblClean[[#This Row],[End Time]]-tblClean[[#This Row],[Start Time]],1)*24,2),"")</f>
        <v>2.5</v>
      </c>
      <c r="K163" s="12">
        <f>IF(AND(ISNUMBER(tblClean[[#This Row],[Duration Hours]]),ISNUMBER(tblClean[[#This Row],[Attributed GMV PHP]])),IF(tblClean[[#This Row],[Duration Hours]]&gt;0,tblClean[[#This Row],[Attributed GMV PHP]]/tblClean[[#This Row],[Duration Hours]],""),"")</f>
        <v>7141.2</v>
      </c>
      <c r="L163" s="22">
        <f>IF(ISNUMBER(tblClean[[#This Row],[Date]]),DATE(YEAR(tblClean[[#This Row],[Date]]),MONTH(tblClean[[#This Row],[Date]]),1),"")</f>
        <v>45839</v>
      </c>
      <c r="M163" s="10">
        <f>IF(ISNUMBER(tblClean[[#This Row],[Date]]),tblClean[[#This Row],[Date]]-WEEKDAY(tblClean[[#This Row],[Date]],2)+1,"")</f>
        <v>45845</v>
      </c>
      <c r="N163" s="23">
        <f>IF(ISNUMBER(tblClean[[#This Row],[Week Start]]),(tblClean[[#This Row],[Week Start]]-MIN(tblClean[Week Start]))/7+1,"")</f>
        <v>6</v>
      </c>
      <c r="O163" s="24" t="str">
        <f>IF(ISNUMBER(tblClean[[#This Row],[Date]]),CHOOSE(WEEKDAY(tblClean[[#This Row],[Date]],2),"Mon","Tue","Wed","Thu","Fri","Sat","Sun"),"")</f>
        <v>Wed</v>
      </c>
      <c r="P163" s="24" t="str">
        <f>IF(ISNUMBER(tblClean[[#This Row],[Date]]),IF(WEEKDAY(tblClean[[#This Row],[Date]],2)&gt;=6,"Weekend","Weekday"),"")</f>
        <v>Weekday</v>
      </c>
      <c r="Q16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63" s="9" t="str">
        <f>IF(ISNUMBER(tblClean[[#This Row],[Duration Hours]]),IF(tblClean[[#This Row],[Duration Hours]]&lt;2,"Short (under 2h)",IF(tblClean[[#This Row],[Duration Hours]]&lt;3,"Standard (2h to under 3h)","Long (3h or more)")),"")</f>
        <v>Standard (2h to under 3h)</v>
      </c>
      <c r="S16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63" s="24">
        <f>IF(COUNTIF(tblClean[Session ID],tblClean[[#This Row],[Session ID]])&gt;1,1,0)</f>
        <v>0</v>
      </c>
      <c r="U163" s="24">
        <f>IF(OR(N(tblClean[[#This Row],[Attributed GMV PHP]])&lt;0,N(tblClean[[#This Row],[Items Sold]])&lt;0,N(tblClean[[#This Row],[Livestream Views]])&lt;0,N(tblClean[[#This Row],[New Followers]])&lt;0),1,0)</f>
        <v>0</v>
      </c>
      <c r="V163" s="24">
        <f>IF(ISNUMBER(tblClean[[#This Row],[Duration Hours]]),IF(OR(tblClean[[#This Row],[Duration Hours]]&lt;=0,tblClean[[#This Row],[Duration Hours]]&gt;12),1,0),1)</f>
        <v>0</v>
      </c>
      <c r="W163" s="24">
        <f>IF(COUNTIF(HostRoster,tblClean[[#This Row],[Host Name]])=0,1,0)</f>
        <v>0</v>
      </c>
      <c r="X163" s="24">
        <f>IF(tblClean[[#This Row],[Missing Flag]]+tblClean[[#This Row],[Duplicate Flag]]+tblClean[[#This Row],[Negative Flag]]+tblClean[[#This Row],[Duration Flag]]+tblClean[[#This Row],[Host Flag]]=0,1,0)</f>
        <v>1</v>
      </c>
    </row>
    <row r="164" spans="1:24" x14ac:dyDescent="0.3">
      <c r="A164" s="9" t="str">
        <f>TRIM('Raw Data'!A160)</f>
        <v>LS-0156</v>
      </c>
      <c r="B164" s="10">
        <f>IF(ISNUMBER('Raw Data'!B160),INT('Raw Data'!B160),IFERROR(DATEVALUE('Raw Data'!B160),""))</f>
        <v>45848</v>
      </c>
      <c r="C164" s="9" t="str">
        <f>PROPER(TRIM('Raw Data'!C160))</f>
        <v>Dani Villanueva</v>
      </c>
      <c r="D164" s="11">
        <f>IF(ISNUMBER('Raw Data'!D160),MOD('Raw Data'!D160,1),IFERROR(TIMEVALUE('Raw Data'!D160),""))</f>
        <v>0.41666666666666669</v>
      </c>
      <c r="E164" s="11">
        <f>IF(ISNUMBER('Raw Data'!E160),MOD('Raw Data'!E160,1),IFERROR(TIMEVALUE('Raw Data'!E160),""))</f>
        <v>0.5</v>
      </c>
      <c r="F164" s="12">
        <f>IF(ISNUMBER('Raw Data'!F160),'Raw Data'!F160,IFERROR(VALUE(SUBSTITUTE('Raw Data'!F160,",","")),""))</f>
        <v>14695</v>
      </c>
      <c r="G164" s="13">
        <f>IF(ISNUMBER('Raw Data'!G160),'Raw Data'!G160,IFERROR(VALUE(SUBSTITUTE('Raw Data'!G160,",","")),""))</f>
        <v>44</v>
      </c>
      <c r="H164" s="13">
        <f>IF(ISNUMBER('Raw Data'!H160),'Raw Data'!H160,IFERROR(VALUE(SUBSTITUTE('Raw Data'!H160,",","")),""))</f>
        <v>57334</v>
      </c>
      <c r="I164" s="13">
        <f>IF(ISNUMBER('Raw Data'!I160),'Raw Data'!I160,IFERROR(VALUE(SUBSTITUTE('Raw Data'!I160,",","")),""))</f>
        <v>275</v>
      </c>
      <c r="J164" s="21">
        <f>IF(AND(ISNUMBER(tblClean[[#This Row],[Start Time]]),ISNUMBER(tblClean[[#This Row],[End Time]])),ROUND(MOD(tblClean[[#This Row],[End Time]]-tblClean[[#This Row],[Start Time]],1)*24,2),"")</f>
        <v>2</v>
      </c>
      <c r="K164" s="12">
        <f>IF(AND(ISNUMBER(tblClean[[#This Row],[Duration Hours]]),ISNUMBER(tblClean[[#This Row],[Attributed GMV PHP]])),IF(tblClean[[#This Row],[Duration Hours]]&gt;0,tblClean[[#This Row],[Attributed GMV PHP]]/tblClean[[#This Row],[Duration Hours]],""),"")</f>
        <v>7347.5</v>
      </c>
      <c r="L164" s="22">
        <f>IF(ISNUMBER(tblClean[[#This Row],[Date]]),DATE(YEAR(tblClean[[#This Row],[Date]]),MONTH(tblClean[[#This Row],[Date]]),1),"")</f>
        <v>45839</v>
      </c>
      <c r="M164" s="10">
        <f>IF(ISNUMBER(tblClean[[#This Row],[Date]]),tblClean[[#This Row],[Date]]-WEEKDAY(tblClean[[#This Row],[Date]],2)+1,"")</f>
        <v>45845</v>
      </c>
      <c r="N164" s="23">
        <f>IF(ISNUMBER(tblClean[[#This Row],[Week Start]]),(tblClean[[#This Row],[Week Start]]-MIN(tblClean[Week Start]))/7+1,"")</f>
        <v>6</v>
      </c>
      <c r="O164" s="24" t="str">
        <f>IF(ISNUMBER(tblClean[[#This Row],[Date]]),CHOOSE(WEEKDAY(tblClean[[#This Row],[Date]],2),"Mon","Tue","Wed","Thu","Fri","Sat","Sun"),"")</f>
        <v>Thu</v>
      </c>
      <c r="P164" s="24" t="str">
        <f>IF(ISNUMBER(tblClean[[#This Row],[Date]]),IF(WEEKDAY(tblClean[[#This Row],[Date]],2)&gt;=6,"Weekend","Weekday"),"")</f>
        <v>Weekday</v>
      </c>
      <c r="Q16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64" s="9" t="str">
        <f>IF(ISNUMBER(tblClean[[#This Row],[Duration Hours]]),IF(tblClean[[#This Row],[Duration Hours]]&lt;2,"Short (under 2h)",IF(tblClean[[#This Row],[Duration Hours]]&lt;3,"Standard (2h to under 3h)","Long (3h or more)")),"")</f>
        <v>Standard (2h to under 3h)</v>
      </c>
      <c r="S16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64" s="24">
        <f>IF(COUNTIF(tblClean[Session ID],tblClean[[#This Row],[Session ID]])&gt;1,1,0)</f>
        <v>0</v>
      </c>
      <c r="U164" s="24">
        <f>IF(OR(N(tblClean[[#This Row],[Attributed GMV PHP]])&lt;0,N(tblClean[[#This Row],[Items Sold]])&lt;0,N(tblClean[[#This Row],[Livestream Views]])&lt;0,N(tblClean[[#This Row],[New Followers]])&lt;0),1,0)</f>
        <v>0</v>
      </c>
      <c r="V164" s="24">
        <f>IF(ISNUMBER(tblClean[[#This Row],[Duration Hours]]),IF(OR(tblClean[[#This Row],[Duration Hours]]&lt;=0,tblClean[[#This Row],[Duration Hours]]&gt;12),1,0),1)</f>
        <v>0</v>
      </c>
      <c r="W164" s="24">
        <f>IF(COUNTIF(HostRoster,tblClean[[#This Row],[Host Name]])=0,1,0)</f>
        <v>0</v>
      </c>
      <c r="X164" s="24">
        <f>IF(tblClean[[#This Row],[Missing Flag]]+tblClean[[#This Row],[Duplicate Flag]]+tblClean[[#This Row],[Negative Flag]]+tblClean[[#This Row],[Duration Flag]]+tblClean[[#This Row],[Host Flag]]=0,1,0)</f>
        <v>1</v>
      </c>
    </row>
    <row r="165" spans="1:24" x14ac:dyDescent="0.3">
      <c r="A165" s="9" t="str">
        <f>TRIM('Raw Data'!A161)</f>
        <v>LS-0157</v>
      </c>
      <c r="B165" s="10">
        <f>IF(ISNUMBER('Raw Data'!B161),INT('Raw Data'!B161),IFERROR(DATEVALUE('Raw Data'!B161),""))</f>
        <v>45848</v>
      </c>
      <c r="C165" s="9" t="str">
        <f>PROPER(TRIM('Raw Data'!C161))</f>
        <v>Aira Valdez</v>
      </c>
      <c r="D165" s="11">
        <f>IF(ISNUMBER('Raw Data'!D161),MOD('Raw Data'!D161,1),IFERROR(TIMEVALUE('Raw Data'!D161),""))</f>
        <v>0.66666666666666663</v>
      </c>
      <c r="E165" s="11">
        <f>IF(ISNUMBER('Raw Data'!E161),MOD('Raw Data'!E161,1),IFERROR(TIMEVALUE('Raw Data'!E161),""))</f>
        <v>0.79166666666666663</v>
      </c>
      <c r="F165" s="12">
        <f>IF(ISNUMBER('Raw Data'!F161),'Raw Data'!F161,IFERROR(VALUE(SUBSTITUTE('Raw Data'!F161,",","")),""))</f>
        <v>72213</v>
      </c>
      <c r="G165" s="13">
        <f>IF(ISNUMBER('Raw Data'!G161),'Raw Data'!G161,IFERROR(VALUE(SUBSTITUTE('Raw Data'!G161,",","")),""))</f>
        <v>201</v>
      </c>
      <c r="H165" s="13">
        <f>IF(ISNUMBER('Raw Data'!H161),'Raw Data'!H161,IFERROR(VALUE(SUBSTITUTE('Raw Data'!H161,",","")),""))</f>
        <v>199605</v>
      </c>
      <c r="I165" s="13">
        <f>IF(ISNUMBER('Raw Data'!I161),'Raw Data'!I161,IFERROR(VALUE(SUBSTITUTE('Raw Data'!I161,",","")),""))</f>
        <v>1874</v>
      </c>
      <c r="J165" s="21">
        <f>IF(AND(ISNUMBER(tblClean[[#This Row],[Start Time]]),ISNUMBER(tblClean[[#This Row],[End Time]])),ROUND(MOD(tblClean[[#This Row],[End Time]]-tblClean[[#This Row],[Start Time]],1)*24,2),"")</f>
        <v>3</v>
      </c>
      <c r="K165" s="12">
        <f>IF(AND(ISNUMBER(tblClean[[#This Row],[Duration Hours]]),ISNUMBER(tblClean[[#This Row],[Attributed GMV PHP]])),IF(tblClean[[#This Row],[Duration Hours]]&gt;0,tblClean[[#This Row],[Attributed GMV PHP]]/tblClean[[#This Row],[Duration Hours]],""),"")</f>
        <v>24071</v>
      </c>
      <c r="L165" s="22">
        <f>IF(ISNUMBER(tblClean[[#This Row],[Date]]),DATE(YEAR(tblClean[[#This Row],[Date]]),MONTH(tblClean[[#This Row],[Date]]),1),"")</f>
        <v>45839</v>
      </c>
      <c r="M165" s="10">
        <f>IF(ISNUMBER(tblClean[[#This Row],[Date]]),tblClean[[#This Row],[Date]]-WEEKDAY(tblClean[[#This Row],[Date]],2)+1,"")</f>
        <v>45845</v>
      </c>
      <c r="N165" s="23">
        <f>IF(ISNUMBER(tblClean[[#This Row],[Week Start]]),(tblClean[[#This Row],[Week Start]]-MIN(tblClean[Week Start]))/7+1,"")</f>
        <v>6</v>
      </c>
      <c r="O165" s="24" t="str">
        <f>IF(ISNUMBER(tblClean[[#This Row],[Date]]),CHOOSE(WEEKDAY(tblClean[[#This Row],[Date]],2),"Mon","Tue","Wed","Thu","Fri","Sat","Sun"),"")</f>
        <v>Thu</v>
      </c>
      <c r="P165" s="24" t="str">
        <f>IF(ISNUMBER(tblClean[[#This Row],[Date]]),IF(WEEKDAY(tblClean[[#This Row],[Date]],2)&gt;=6,"Weekend","Weekday"),"")</f>
        <v>Weekday</v>
      </c>
      <c r="Q16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65" s="9" t="str">
        <f>IF(ISNUMBER(tblClean[[#This Row],[Duration Hours]]),IF(tblClean[[#This Row],[Duration Hours]]&lt;2,"Short (under 2h)",IF(tblClean[[#This Row],[Duration Hours]]&lt;3,"Standard (2h to under 3h)","Long (3h or more)")),"")</f>
        <v>Long (3h or more)</v>
      </c>
      <c r="S16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65" s="24">
        <f>IF(COUNTIF(tblClean[Session ID],tblClean[[#This Row],[Session ID]])&gt;1,1,0)</f>
        <v>0</v>
      </c>
      <c r="U165" s="24">
        <f>IF(OR(N(tblClean[[#This Row],[Attributed GMV PHP]])&lt;0,N(tblClean[[#This Row],[Items Sold]])&lt;0,N(tblClean[[#This Row],[Livestream Views]])&lt;0,N(tblClean[[#This Row],[New Followers]])&lt;0),1,0)</f>
        <v>0</v>
      </c>
      <c r="V165" s="24">
        <f>IF(ISNUMBER(tblClean[[#This Row],[Duration Hours]]),IF(OR(tblClean[[#This Row],[Duration Hours]]&lt;=0,tblClean[[#This Row],[Duration Hours]]&gt;12),1,0),1)</f>
        <v>0</v>
      </c>
      <c r="W165" s="24">
        <f>IF(COUNTIF(HostRoster,tblClean[[#This Row],[Host Name]])=0,1,0)</f>
        <v>0</v>
      </c>
      <c r="X165" s="24">
        <f>IF(tblClean[[#This Row],[Missing Flag]]+tblClean[[#This Row],[Duplicate Flag]]+tblClean[[#This Row],[Negative Flag]]+tblClean[[#This Row],[Duration Flag]]+tblClean[[#This Row],[Host Flag]]=0,1,0)</f>
        <v>1</v>
      </c>
    </row>
    <row r="166" spans="1:24" x14ac:dyDescent="0.3">
      <c r="A166" s="9" t="str">
        <f>TRIM('Raw Data'!A162)</f>
        <v>LS-0158</v>
      </c>
      <c r="B166" s="10">
        <f>IF(ISNUMBER('Raw Data'!B162),INT('Raw Data'!B162),IFERROR(DATEVALUE('Raw Data'!B162),""))</f>
        <v>45848</v>
      </c>
      <c r="C166" s="9" t="str">
        <f>PROPER(TRIM('Raw Data'!C162))</f>
        <v>Bianca Reyes</v>
      </c>
      <c r="D166" s="11">
        <f>IF(ISNUMBER('Raw Data'!D162),MOD('Raw Data'!D162,1),IFERROR(TIMEVALUE('Raw Data'!D162),""))</f>
        <v>0.79166666666666663</v>
      </c>
      <c r="E166" s="11">
        <f>IF(ISNUMBER('Raw Data'!E162),MOD('Raw Data'!E162,1),IFERROR(TIMEVALUE('Raw Data'!E162),""))</f>
        <v>0.875</v>
      </c>
      <c r="F166" s="12">
        <f>IF(ISNUMBER('Raw Data'!F162),'Raw Data'!F162,IFERROR(VALUE(SUBSTITUTE('Raw Data'!F162,",","")),""))</f>
        <v>14740</v>
      </c>
      <c r="G166" s="13">
        <f>IF(ISNUMBER('Raw Data'!G162),'Raw Data'!G162,IFERROR(VALUE(SUBSTITUTE('Raw Data'!G162,",","")),""))</f>
        <v>39</v>
      </c>
      <c r="H166" s="13">
        <f>IF(ISNUMBER('Raw Data'!H162),'Raw Data'!H162,IFERROR(VALUE(SUBSTITUTE('Raw Data'!H162,",","")),""))</f>
        <v>48813</v>
      </c>
      <c r="I166" s="13">
        <f>IF(ISNUMBER('Raw Data'!I162),'Raw Data'!I162,IFERROR(VALUE(SUBSTITUTE('Raw Data'!I162,",","")),""))</f>
        <v>408</v>
      </c>
      <c r="J166" s="21">
        <f>IF(AND(ISNUMBER(tblClean[[#This Row],[Start Time]]),ISNUMBER(tblClean[[#This Row],[End Time]])),ROUND(MOD(tblClean[[#This Row],[End Time]]-tblClean[[#This Row],[Start Time]],1)*24,2),"")</f>
        <v>2</v>
      </c>
      <c r="K166" s="12">
        <f>IF(AND(ISNUMBER(tblClean[[#This Row],[Duration Hours]]),ISNUMBER(tblClean[[#This Row],[Attributed GMV PHP]])),IF(tblClean[[#This Row],[Duration Hours]]&gt;0,tblClean[[#This Row],[Attributed GMV PHP]]/tblClean[[#This Row],[Duration Hours]],""),"")</f>
        <v>7370</v>
      </c>
      <c r="L166" s="22">
        <f>IF(ISNUMBER(tblClean[[#This Row],[Date]]),DATE(YEAR(tblClean[[#This Row],[Date]]),MONTH(tblClean[[#This Row],[Date]]),1),"")</f>
        <v>45839</v>
      </c>
      <c r="M166" s="10">
        <f>IF(ISNUMBER(tblClean[[#This Row],[Date]]),tblClean[[#This Row],[Date]]-WEEKDAY(tblClean[[#This Row],[Date]],2)+1,"")</f>
        <v>45845</v>
      </c>
      <c r="N166" s="23">
        <f>IF(ISNUMBER(tblClean[[#This Row],[Week Start]]),(tblClean[[#This Row],[Week Start]]-MIN(tblClean[Week Start]))/7+1,"")</f>
        <v>6</v>
      </c>
      <c r="O166" s="24" t="str">
        <f>IF(ISNUMBER(tblClean[[#This Row],[Date]]),CHOOSE(WEEKDAY(tblClean[[#This Row],[Date]],2),"Mon","Tue","Wed","Thu","Fri","Sat","Sun"),"")</f>
        <v>Thu</v>
      </c>
      <c r="P166" s="24" t="str">
        <f>IF(ISNUMBER(tblClean[[#This Row],[Date]]),IF(WEEKDAY(tblClean[[#This Row],[Date]],2)&gt;=6,"Weekend","Weekday"),"")</f>
        <v>Weekday</v>
      </c>
      <c r="Q16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66" s="9" t="str">
        <f>IF(ISNUMBER(tblClean[[#This Row],[Duration Hours]]),IF(tblClean[[#This Row],[Duration Hours]]&lt;2,"Short (under 2h)",IF(tblClean[[#This Row],[Duration Hours]]&lt;3,"Standard (2h to under 3h)","Long (3h or more)")),"")</f>
        <v>Standard (2h to under 3h)</v>
      </c>
      <c r="S16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66" s="24">
        <f>IF(COUNTIF(tblClean[Session ID],tblClean[[#This Row],[Session ID]])&gt;1,1,0)</f>
        <v>0</v>
      </c>
      <c r="U166" s="24">
        <f>IF(OR(N(tblClean[[#This Row],[Attributed GMV PHP]])&lt;0,N(tblClean[[#This Row],[Items Sold]])&lt;0,N(tblClean[[#This Row],[Livestream Views]])&lt;0,N(tblClean[[#This Row],[New Followers]])&lt;0),1,0)</f>
        <v>0</v>
      </c>
      <c r="V166" s="24">
        <f>IF(ISNUMBER(tblClean[[#This Row],[Duration Hours]]),IF(OR(tblClean[[#This Row],[Duration Hours]]&lt;=0,tblClean[[#This Row],[Duration Hours]]&gt;12),1,0),1)</f>
        <v>0</v>
      </c>
      <c r="W166" s="24">
        <f>IF(COUNTIF(HostRoster,tblClean[[#This Row],[Host Name]])=0,1,0)</f>
        <v>0</v>
      </c>
      <c r="X166" s="24">
        <f>IF(tblClean[[#This Row],[Missing Flag]]+tblClean[[#This Row],[Duplicate Flag]]+tblClean[[#This Row],[Negative Flag]]+tblClean[[#This Row],[Duration Flag]]+tblClean[[#This Row],[Host Flag]]=0,1,0)</f>
        <v>1</v>
      </c>
    </row>
    <row r="167" spans="1:24" x14ac:dyDescent="0.3">
      <c r="A167" s="9" t="str">
        <f>TRIM('Raw Data'!A163)</f>
        <v>LS-0159</v>
      </c>
      <c r="B167" s="10">
        <f>IF(ISNUMBER('Raw Data'!B163),INT('Raw Data'!B163),IFERROR(DATEVALUE('Raw Data'!B163),""))</f>
        <v>45848</v>
      </c>
      <c r="C167" s="9" t="str">
        <f>PROPER(TRIM('Raw Data'!C163))</f>
        <v>Dani Villanueva</v>
      </c>
      <c r="D167" s="11">
        <f>IF(ISNUMBER('Raw Data'!D163),MOD('Raw Data'!D163,1),IFERROR(TIMEVALUE('Raw Data'!D163),""))</f>
        <v>0.91666666666666663</v>
      </c>
      <c r="E167" s="11">
        <f>IF(ISNUMBER('Raw Data'!E163),MOD('Raw Data'!E163,1),IFERROR(TIMEVALUE('Raw Data'!E163),""))</f>
        <v>2.0833333333333329E-2</v>
      </c>
      <c r="F167" s="12">
        <f>IF(ISNUMBER('Raw Data'!F163),'Raw Data'!F163,IFERROR(VALUE(SUBSTITUTE('Raw Data'!F163,",","")),""))</f>
        <v>22728</v>
      </c>
      <c r="G167" s="13">
        <f>IF(ISNUMBER('Raw Data'!G163),'Raw Data'!G163,IFERROR(VALUE(SUBSTITUTE('Raw Data'!G163,",","")),""))</f>
        <v>62</v>
      </c>
      <c r="H167" s="13">
        <f>IF(ISNUMBER('Raw Data'!H163),'Raw Data'!H163,IFERROR(VALUE(SUBSTITUTE('Raw Data'!H163,",","")),""))</f>
        <v>135402</v>
      </c>
      <c r="I167" s="13">
        <f>IF(ISNUMBER('Raw Data'!I163),'Raw Data'!I163,IFERROR(VALUE(SUBSTITUTE('Raw Data'!I163,",","")),""))</f>
        <v>1546</v>
      </c>
      <c r="J167" s="21">
        <f>IF(AND(ISNUMBER(tblClean[[#This Row],[Start Time]]),ISNUMBER(tblClean[[#This Row],[End Time]])),ROUND(MOD(tblClean[[#This Row],[End Time]]-tblClean[[#This Row],[Start Time]],1)*24,2),"")</f>
        <v>2.5</v>
      </c>
      <c r="K167" s="12">
        <f>IF(AND(ISNUMBER(tblClean[[#This Row],[Duration Hours]]),ISNUMBER(tblClean[[#This Row],[Attributed GMV PHP]])),IF(tblClean[[#This Row],[Duration Hours]]&gt;0,tblClean[[#This Row],[Attributed GMV PHP]]/tblClean[[#This Row],[Duration Hours]],""),"")</f>
        <v>9091.2000000000007</v>
      </c>
      <c r="L167" s="22">
        <f>IF(ISNUMBER(tblClean[[#This Row],[Date]]),DATE(YEAR(tblClean[[#This Row],[Date]]),MONTH(tblClean[[#This Row],[Date]]),1),"")</f>
        <v>45839</v>
      </c>
      <c r="M167" s="10">
        <f>IF(ISNUMBER(tblClean[[#This Row],[Date]]),tblClean[[#This Row],[Date]]-WEEKDAY(tblClean[[#This Row],[Date]],2)+1,"")</f>
        <v>45845</v>
      </c>
      <c r="N167" s="23">
        <f>IF(ISNUMBER(tblClean[[#This Row],[Week Start]]),(tblClean[[#This Row],[Week Start]]-MIN(tblClean[Week Start]))/7+1,"")</f>
        <v>6</v>
      </c>
      <c r="O167" s="24" t="str">
        <f>IF(ISNUMBER(tblClean[[#This Row],[Date]]),CHOOSE(WEEKDAY(tblClean[[#This Row],[Date]],2),"Mon","Tue","Wed","Thu","Fri","Sat","Sun"),"")</f>
        <v>Thu</v>
      </c>
      <c r="P167" s="24" t="str">
        <f>IF(ISNUMBER(tblClean[[#This Row],[Date]]),IF(WEEKDAY(tblClean[[#This Row],[Date]],2)&gt;=6,"Weekend","Weekday"),"")</f>
        <v>Weekday</v>
      </c>
      <c r="Q16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67" s="9" t="str">
        <f>IF(ISNUMBER(tblClean[[#This Row],[Duration Hours]]),IF(tblClean[[#This Row],[Duration Hours]]&lt;2,"Short (under 2h)",IF(tblClean[[#This Row],[Duration Hours]]&lt;3,"Standard (2h to under 3h)","Long (3h or more)")),"")</f>
        <v>Standard (2h to under 3h)</v>
      </c>
      <c r="S16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67" s="24">
        <f>IF(COUNTIF(tblClean[Session ID],tblClean[[#This Row],[Session ID]])&gt;1,1,0)</f>
        <v>0</v>
      </c>
      <c r="U167" s="24">
        <f>IF(OR(N(tblClean[[#This Row],[Attributed GMV PHP]])&lt;0,N(tblClean[[#This Row],[Items Sold]])&lt;0,N(tblClean[[#This Row],[Livestream Views]])&lt;0,N(tblClean[[#This Row],[New Followers]])&lt;0),1,0)</f>
        <v>0</v>
      </c>
      <c r="V167" s="24">
        <f>IF(ISNUMBER(tblClean[[#This Row],[Duration Hours]]),IF(OR(tblClean[[#This Row],[Duration Hours]]&lt;=0,tblClean[[#This Row],[Duration Hours]]&gt;12),1,0),1)</f>
        <v>0</v>
      </c>
      <c r="W167" s="24">
        <f>IF(COUNTIF(HostRoster,tblClean[[#This Row],[Host Name]])=0,1,0)</f>
        <v>0</v>
      </c>
      <c r="X167" s="24">
        <f>IF(tblClean[[#This Row],[Missing Flag]]+tblClean[[#This Row],[Duplicate Flag]]+tblClean[[#This Row],[Negative Flag]]+tblClean[[#This Row],[Duration Flag]]+tblClean[[#This Row],[Host Flag]]=0,1,0)</f>
        <v>1</v>
      </c>
    </row>
    <row r="168" spans="1:24" x14ac:dyDescent="0.3">
      <c r="A168" s="9" t="str">
        <f>TRIM('Raw Data'!A164)</f>
        <v>LS-0160</v>
      </c>
      <c r="B168" s="10">
        <f>IF(ISNUMBER('Raw Data'!B164),INT('Raw Data'!B164),IFERROR(DATEVALUE('Raw Data'!B164),""))</f>
        <v>45849</v>
      </c>
      <c r="C168" s="9" t="str">
        <f>PROPER(TRIM('Raw Data'!C164))</f>
        <v>Carlo Mendoza</v>
      </c>
      <c r="D168" s="11">
        <f>IF(ISNUMBER('Raw Data'!D164),MOD('Raw Data'!D164,1),IFERROR(TIMEVALUE('Raw Data'!D164),""))</f>
        <v>0.66666666666666663</v>
      </c>
      <c r="E168" s="11">
        <f>IF(ISNUMBER('Raw Data'!E164),MOD('Raw Data'!E164,1),IFERROR(TIMEVALUE('Raw Data'!E164),""))</f>
        <v>0.77083333333333337</v>
      </c>
      <c r="F168" s="12">
        <f>IF(ISNUMBER('Raw Data'!F164),'Raw Data'!F164,IFERROR(VALUE(SUBSTITUTE('Raw Data'!F164,",","")),""))</f>
        <v>55047</v>
      </c>
      <c r="G168" s="13">
        <f>IF(ISNUMBER('Raw Data'!G164),'Raw Data'!G164,IFERROR(VALUE(SUBSTITUTE('Raw Data'!G164,",","")),""))</f>
        <v>186</v>
      </c>
      <c r="H168" s="13">
        <f>IF(ISNUMBER('Raw Data'!H164),'Raw Data'!H164,IFERROR(VALUE(SUBSTITUTE('Raw Data'!H164,",","")),""))</f>
        <v>122144</v>
      </c>
      <c r="I168" s="13">
        <f>IF(ISNUMBER('Raw Data'!I164),'Raw Data'!I164,IFERROR(VALUE(SUBSTITUTE('Raw Data'!I164,",","")),""))</f>
        <v>1310</v>
      </c>
      <c r="J168" s="21">
        <f>IF(AND(ISNUMBER(tblClean[[#This Row],[Start Time]]),ISNUMBER(tblClean[[#This Row],[End Time]])),ROUND(MOD(tblClean[[#This Row],[End Time]]-tblClean[[#This Row],[Start Time]],1)*24,2),"")</f>
        <v>2.5</v>
      </c>
      <c r="K168" s="12">
        <f>IF(AND(ISNUMBER(tblClean[[#This Row],[Duration Hours]]),ISNUMBER(tblClean[[#This Row],[Attributed GMV PHP]])),IF(tblClean[[#This Row],[Duration Hours]]&gt;0,tblClean[[#This Row],[Attributed GMV PHP]]/tblClean[[#This Row],[Duration Hours]],""),"")</f>
        <v>22018.799999999999</v>
      </c>
      <c r="L168" s="22">
        <f>IF(ISNUMBER(tblClean[[#This Row],[Date]]),DATE(YEAR(tblClean[[#This Row],[Date]]),MONTH(tblClean[[#This Row],[Date]]),1),"")</f>
        <v>45839</v>
      </c>
      <c r="M168" s="10">
        <f>IF(ISNUMBER(tblClean[[#This Row],[Date]]),tblClean[[#This Row],[Date]]-WEEKDAY(tblClean[[#This Row],[Date]],2)+1,"")</f>
        <v>45845</v>
      </c>
      <c r="N168" s="23">
        <f>IF(ISNUMBER(tblClean[[#This Row],[Week Start]]),(tblClean[[#This Row],[Week Start]]-MIN(tblClean[Week Start]))/7+1,"")</f>
        <v>6</v>
      </c>
      <c r="O168" s="24" t="str">
        <f>IF(ISNUMBER(tblClean[[#This Row],[Date]]),CHOOSE(WEEKDAY(tblClean[[#This Row],[Date]],2),"Mon","Tue","Wed","Thu","Fri","Sat","Sun"),"")</f>
        <v>Fri</v>
      </c>
      <c r="P168" s="24" t="str">
        <f>IF(ISNUMBER(tblClean[[#This Row],[Date]]),IF(WEEKDAY(tblClean[[#This Row],[Date]],2)&gt;=6,"Weekend","Weekday"),"")</f>
        <v>Weekday</v>
      </c>
      <c r="Q16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68" s="9" t="str">
        <f>IF(ISNUMBER(tblClean[[#This Row],[Duration Hours]]),IF(tblClean[[#This Row],[Duration Hours]]&lt;2,"Short (under 2h)",IF(tblClean[[#This Row],[Duration Hours]]&lt;3,"Standard (2h to under 3h)","Long (3h or more)")),"")</f>
        <v>Standard (2h to under 3h)</v>
      </c>
      <c r="S16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68" s="24">
        <f>IF(COUNTIF(tblClean[Session ID],tblClean[[#This Row],[Session ID]])&gt;1,1,0)</f>
        <v>0</v>
      </c>
      <c r="U168" s="24">
        <f>IF(OR(N(tblClean[[#This Row],[Attributed GMV PHP]])&lt;0,N(tblClean[[#This Row],[Items Sold]])&lt;0,N(tblClean[[#This Row],[Livestream Views]])&lt;0,N(tblClean[[#This Row],[New Followers]])&lt;0),1,0)</f>
        <v>0</v>
      </c>
      <c r="V168" s="24">
        <f>IF(ISNUMBER(tblClean[[#This Row],[Duration Hours]]),IF(OR(tblClean[[#This Row],[Duration Hours]]&lt;=0,tblClean[[#This Row],[Duration Hours]]&gt;12),1,0),1)</f>
        <v>0</v>
      </c>
      <c r="W168" s="24">
        <f>IF(COUNTIF(HostRoster,tblClean[[#This Row],[Host Name]])=0,1,0)</f>
        <v>0</v>
      </c>
      <c r="X168" s="24">
        <f>IF(tblClean[[#This Row],[Missing Flag]]+tblClean[[#This Row],[Duplicate Flag]]+tblClean[[#This Row],[Negative Flag]]+tblClean[[#This Row],[Duration Flag]]+tblClean[[#This Row],[Host Flag]]=0,1,0)</f>
        <v>1</v>
      </c>
    </row>
    <row r="169" spans="1:24" x14ac:dyDescent="0.3">
      <c r="A169" s="9" t="str">
        <f>TRIM('Raw Data'!A165)</f>
        <v>LS-0161</v>
      </c>
      <c r="B169" s="10">
        <f>IF(ISNUMBER('Raw Data'!B165),INT('Raw Data'!B165),IFERROR(DATEVALUE('Raw Data'!B165),""))</f>
        <v>45849</v>
      </c>
      <c r="C169" s="9" t="str">
        <f>PROPER(TRIM('Raw Data'!C165))</f>
        <v>Aira Valdez</v>
      </c>
      <c r="D169" s="11">
        <f>IF(ISNUMBER('Raw Data'!D165),MOD('Raw Data'!D165,1),IFERROR(TIMEVALUE('Raw Data'!D165),""))</f>
        <v>0.79166666666666663</v>
      </c>
      <c r="E169" s="11">
        <f>IF(ISNUMBER('Raw Data'!E165),MOD('Raw Data'!E165,1),IFERROR(TIMEVALUE('Raw Data'!E165),""))</f>
        <v>0.875</v>
      </c>
      <c r="F169" s="12">
        <f>IF(ISNUMBER('Raw Data'!F165),'Raw Data'!F165,IFERROR(VALUE(SUBSTITUTE('Raw Data'!F165,",","")),""))</f>
        <v>58865</v>
      </c>
      <c r="G169" s="13">
        <f>IF(ISNUMBER('Raw Data'!G165),'Raw Data'!G165,IFERROR(VALUE(SUBSTITUTE('Raw Data'!G165,",","")),""))</f>
        <v>198</v>
      </c>
      <c r="H169" s="13">
        <f>IF(ISNUMBER('Raw Data'!H165),'Raw Data'!H165,IFERROR(VALUE(SUBSTITUTE('Raw Data'!H165,",","")),""))</f>
        <v>227137</v>
      </c>
      <c r="I169" s="13">
        <f>IF(ISNUMBER('Raw Data'!I165),'Raw Data'!I165,IFERROR(VALUE(SUBSTITUTE('Raw Data'!I165,",","")),""))</f>
        <v>964</v>
      </c>
      <c r="J169" s="21">
        <f>IF(AND(ISNUMBER(tblClean[[#This Row],[Start Time]]),ISNUMBER(tblClean[[#This Row],[End Time]])),ROUND(MOD(tblClean[[#This Row],[End Time]]-tblClean[[#This Row],[Start Time]],1)*24,2),"")</f>
        <v>2</v>
      </c>
      <c r="K169" s="12">
        <f>IF(AND(ISNUMBER(tblClean[[#This Row],[Duration Hours]]),ISNUMBER(tblClean[[#This Row],[Attributed GMV PHP]])),IF(tblClean[[#This Row],[Duration Hours]]&gt;0,tblClean[[#This Row],[Attributed GMV PHP]]/tblClean[[#This Row],[Duration Hours]],""),"")</f>
        <v>29432.5</v>
      </c>
      <c r="L169" s="22">
        <f>IF(ISNUMBER(tblClean[[#This Row],[Date]]),DATE(YEAR(tblClean[[#This Row],[Date]]),MONTH(tblClean[[#This Row],[Date]]),1),"")</f>
        <v>45839</v>
      </c>
      <c r="M169" s="10">
        <f>IF(ISNUMBER(tblClean[[#This Row],[Date]]),tblClean[[#This Row],[Date]]-WEEKDAY(tblClean[[#This Row],[Date]],2)+1,"")</f>
        <v>45845</v>
      </c>
      <c r="N169" s="23">
        <f>IF(ISNUMBER(tblClean[[#This Row],[Week Start]]),(tblClean[[#This Row],[Week Start]]-MIN(tblClean[Week Start]))/7+1,"")</f>
        <v>6</v>
      </c>
      <c r="O169" s="24" t="str">
        <f>IF(ISNUMBER(tblClean[[#This Row],[Date]]),CHOOSE(WEEKDAY(tblClean[[#This Row],[Date]],2),"Mon","Tue","Wed","Thu","Fri","Sat","Sun"),"")</f>
        <v>Fri</v>
      </c>
      <c r="P169" s="24" t="str">
        <f>IF(ISNUMBER(tblClean[[#This Row],[Date]]),IF(WEEKDAY(tblClean[[#This Row],[Date]],2)&gt;=6,"Weekend","Weekday"),"")</f>
        <v>Weekday</v>
      </c>
      <c r="Q16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69" s="9" t="str">
        <f>IF(ISNUMBER(tblClean[[#This Row],[Duration Hours]]),IF(tblClean[[#This Row],[Duration Hours]]&lt;2,"Short (under 2h)",IF(tblClean[[#This Row],[Duration Hours]]&lt;3,"Standard (2h to under 3h)","Long (3h or more)")),"")</f>
        <v>Standard (2h to under 3h)</v>
      </c>
      <c r="S16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69" s="24">
        <f>IF(COUNTIF(tblClean[Session ID],tblClean[[#This Row],[Session ID]])&gt;1,1,0)</f>
        <v>0</v>
      </c>
      <c r="U169" s="24">
        <f>IF(OR(N(tblClean[[#This Row],[Attributed GMV PHP]])&lt;0,N(tblClean[[#This Row],[Items Sold]])&lt;0,N(tblClean[[#This Row],[Livestream Views]])&lt;0,N(tblClean[[#This Row],[New Followers]])&lt;0),1,0)</f>
        <v>0</v>
      </c>
      <c r="V169" s="24">
        <f>IF(ISNUMBER(tblClean[[#This Row],[Duration Hours]]),IF(OR(tblClean[[#This Row],[Duration Hours]]&lt;=0,tblClean[[#This Row],[Duration Hours]]&gt;12),1,0),1)</f>
        <v>0</v>
      </c>
      <c r="W169" s="24">
        <f>IF(COUNTIF(HostRoster,tblClean[[#This Row],[Host Name]])=0,1,0)</f>
        <v>0</v>
      </c>
      <c r="X169" s="24">
        <f>IF(tblClean[[#This Row],[Missing Flag]]+tblClean[[#This Row],[Duplicate Flag]]+tblClean[[#This Row],[Negative Flag]]+tblClean[[#This Row],[Duration Flag]]+tblClean[[#This Row],[Host Flag]]=0,1,0)</f>
        <v>1</v>
      </c>
    </row>
    <row r="170" spans="1:24" x14ac:dyDescent="0.3">
      <c r="A170" s="9" t="str">
        <f>TRIM('Raw Data'!A166)</f>
        <v>LS-0162</v>
      </c>
      <c r="B170" s="10">
        <f>IF(ISNUMBER('Raw Data'!B166),INT('Raw Data'!B166),IFERROR(DATEVALUE('Raw Data'!B166),""))</f>
        <v>45850</v>
      </c>
      <c r="C170" s="9" t="str">
        <f>PROPER(TRIM('Raw Data'!C166))</f>
        <v>Carlo Mendoza</v>
      </c>
      <c r="D170" s="11">
        <f>IF(ISNUMBER('Raw Data'!D166),MOD('Raw Data'!D166,1),IFERROR(TIMEVALUE('Raw Data'!D166),""))</f>
        <v>0.41666666666666669</v>
      </c>
      <c r="E170" s="11">
        <f>IF(ISNUMBER('Raw Data'!E166),MOD('Raw Data'!E166,1),IFERROR(TIMEVALUE('Raw Data'!E166),""))</f>
        <v>0.5</v>
      </c>
      <c r="F170" s="12">
        <f>IF(ISNUMBER('Raw Data'!F166),'Raw Data'!F166,IFERROR(VALUE(SUBSTITUTE('Raw Data'!F166,",","")),""))</f>
        <v>24689</v>
      </c>
      <c r="G170" s="13">
        <f>IF(ISNUMBER('Raw Data'!G166),'Raw Data'!G166,IFERROR(VALUE(SUBSTITUTE('Raw Data'!G166,",","")),""))</f>
        <v>63</v>
      </c>
      <c r="H170" s="13">
        <f>IF(ISNUMBER('Raw Data'!H166),'Raw Data'!H166,IFERROR(VALUE(SUBSTITUTE('Raw Data'!H166,",","")),""))</f>
        <v>103085</v>
      </c>
      <c r="I170" s="13">
        <f>IF(ISNUMBER('Raw Data'!I166),'Raw Data'!I166,IFERROR(VALUE(SUBSTITUTE('Raw Data'!I166,",","")),""))</f>
        <v>820</v>
      </c>
      <c r="J170" s="21">
        <f>IF(AND(ISNUMBER(tblClean[[#This Row],[Start Time]]),ISNUMBER(tblClean[[#This Row],[End Time]])),ROUND(MOD(tblClean[[#This Row],[End Time]]-tblClean[[#This Row],[Start Time]],1)*24,2),"")</f>
        <v>2</v>
      </c>
      <c r="K170" s="12">
        <f>IF(AND(ISNUMBER(tblClean[[#This Row],[Duration Hours]]),ISNUMBER(tblClean[[#This Row],[Attributed GMV PHP]])),IF(tblClean[[#This Row],[Duration Hours]]&gt;0,tblClean[[#This Row],[Attributed GMV PHP]]/tblClean[[#This Row],[Duration Hours]],""),"")</f>
        <v>12344.5</v>
      </c>
      <c r="L170" s="22">
        <f>IF(ISNUMBER(tblClean[[#This Row],[Date]]),DATE(YEAR(tblClean[[#This Row],[Date]]),MONTH(tblClean[[#This Row],[Date]]),1),"")</f>
        <v>45839</v>
      </c>
      <c r="M170" s="10">
        <f>IF(ISNUMBER(tblClean[[#This Row],[Date]]),tblClean[[#This Row],[Date]]-WEEKDAY(tblClean[[#This Row],[Date]],2)+1,"")</f>
        <v>45845</v>
      </c>
      <c r="N170" s="23">
        <f>IF(ISNUMBER(tblClean[[#This Row],[Week Start]]),(tblClean[[#This Row],[Week Start]]-MIN(tblClean[Week Start]))/7+1,"")</f>
        <v>6</v>
      </c>
      <c r="O170" s="24" t="str">
        <f>IF(ISNUMBER(tblClean[[#This Row],[Date]]),CHOOSE(WEEKDAY(tblClean[[#This Row],[Date]],2),"Mon","Tue","Wed","Thu","Fri","Sat","Sun"),"")</f>
        <v>Sat</v>
      </c>
      <c r="P170" s="24" t="str">
        <f>IF(ISNUMBER(tblClean[[#This Row],[Date]]),IF(WEEKDAY(tblClean[[#This Row],[Date]],2)&gt;=6,"Weekend","Weekday"),"")</f>
        <v>Weekend</v>
      </c>
      <c r="Q17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70" s="9" t="str">
        <f>IF(ISNUMBER(tblClean[[#This Row],[Duration Hours]]),IF(tblClean[[#This Row],[Duration Hours]]&lt;2,"Short (under 2h)",IF(tblClean[[#This Row],[Duration Hours]]&lt;3,"Standard (2h to under 3h)","Long (3h or more)")),"")</f>
        <v>Standard (2h to under 3h)</v>
      </c>
      <c r="S17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70" s="24">
        <f>IF(COUNTIF(tblClean[Session ID],tblClean[[#This Row],[Session ID]])&gt;1,1,0)</f>
        <v>0</v>
      </c>
      <c r="U170" s="24">
        <f>IF(OR(N(tblClean[[#This Row],[Attributed GMV PHP]])&lt;0,N(tblClean[[#This Row],[Items Sold]])&lt;0,N(tblClean[[#This Row],[Livestream Views]])&lt;0,N(tblClean[[#This Row],[New Followers]])&lt;0),1,0)</f>
        <v>0</v>
      </c>
      <c r="V170" s="24">
        <f>IF(ISNUMBER(tblClean[[#This Row],[Duration Hours]]),IF(OR(tblClean[[#This Row],[Duration Hours]]&lt;=0,tblClean[[#This Row],[Duration Hours]]&gt;12),1,0),1)</f>
        <v>0</v>
      </c>
      <c r="W170" s="24">
        <f>IF(COUNTIF(HostRoster,tblClean[[#This Row],[Host Name]])=0,1,0)</f>
        <v>0</v>
      </c>
      <c r="X170" s="24">
        <f>IF(tblClean[[#This Row],[Missing Flag]]+tblClean[[#This Row],[Duplicate Flag]]+tblClean[[#This Row],[Negative Flag]]+tblClean[[#This Row],[Duration Flag]]+tblClean[[#This Row],[Host Flag]]=0,1,0)</f>
        <v>1</v>
      </c>
    </row>
    <row r="171" spans="1:24" x14ac:dyDescent="0.3">
      <c r="A171" s="9" t="str">
        <f>TRIM('Raw Data'!A167)</f>
        <v>LS-0163</v>
      </c>
      <c r="B171" s="10">
        <f>IF(ISNUMBER('Raw Data'!B167),INT('Raw Data'!B167),IFERROR(DATEVALUE('Raw Data'!B167),""))</f>
        <v>45850</v>
      </c>
      <c r="C171" s="9" t="str">
        <f>PROPER(TRIM('Raw Data'!C167))</f>
        <v>Carlo Mendoza</v>
      </c>
      <c r="D171" s="11">
        <f>IF(ISNUMBER('Raw Data'!D167),MOD('Raw Data'!D167,1),IFERROR(TIMEVALUE('Raw Data'!D167),""))</f>
        <v>0.54166666666666663</v>
      </c>
      <c r="E171" s="11">
        <f>IF(ISNUMBER('Raw Data'!E167),MOD('Raw Data'!E167,1),IFERROR(TIMEVALUE('Raw Data'!E167),""))</f>
        <v>0.66666666666666663</v>
      </c>
      <c r="F171" s="12">
        <f>IF(ISNUMBER('Raw Data'!F167),'Raw Data'!F167,IFERROR(VALUE(SUBSTITUTE('Raw Data'!F167,",","")),""))</f>
        <v>25229</v>
      </c>
      <c r="G171" s="13">
        <f>IF(ISNUMBER('Raw Data'!G167),'Raw Data'!G167,IFERROR(VALUE(SUBSTITUTE('Raw Data'!G167,",","")),""))</f>
        <v>67</v>
      </c>
      <c r="H171" s="13">
        <f>IF(ISNUMBER('Raw Data'!H167),'Raw Data'!H167,IFERROR(VALUE(SUBSTITUTE('Raw Data'!H167,",","")),""))</f>
        <v>107903</v>
      </c>
      <c r="I171" s="13">
        <f>IF(ISNUMBER('Raw Data'!I167),'Raw Data'!I167,IFERROR(VALUE(SUBSTITUTE('Raw Data'!I167,",","")),""))</f>
        <v>1290</v>
      </c>
      <c r="J171" s="21">
        <f>IF(AND(ISNUMBER(tblClean[[#This Row],[Start Time]]),ISNUMBER(tblClean[[#This Row],[End Time]])),ROUND(MOD(tblClean[[#This Row],[End Time]]-tblClean[[#This Row],[Start Time]],1)*24,2),"")</f>
        <v>3</v>
      </c>
      <c r="K171" s="12">
        <f>IF(AND(ISNUMBER(tblClean[[#This Row],[Duration Hours]]),ISNUMBER(tblClean[[#This Row],[Attributed GMV PHP]])),IF(tblClean[[#This Row],[Duration Hours]]&gt;0,tblClean[[#This Row],[Attributed GMV PHP]]/tblClean[[#This Row],[Duration Hours]],""),"")</f>
        <v>8409.6666666666661</v>
      </c>
      <c r="L171" s="22">
        <f>IF(ISNUMBER(tblClean[[#This Row],[Date]]),DATE(YEAR(tblClean[[#This Row],[Date]]),MONTH(tblClean[[#This Row],[Date]]),1),"")</f>
        <v>45839</v>
      </c>
      <c r="M171" s="10">
        <f>IF(ISNUMBER(tblClean[[#This Row],[Date]]),tblClean[[#This Row],[Date]]-WEEKDAY(tblClean[[#This Row],[Date]],2)+1,"")</f>
        <v>45845</v>
      </c>
      <c r="N171" s="23">
        <f>IF(ISNUMBER(tblClean[[#This Row],[Week Start]]),(tblClean[[#This Row],[Week Start]]-MIN(tblClean[Week Start]))/7+1,"")</f>
        <v>6</v>
      </c>
      <c r="O171" s="24" t="str">
        <f>IF(ISNUMBER(tblClean[[#This Row],[Date]]),CHOOSE(WEEKDAY(tblClean[[#This Row],[Date]],2),"Mon","Tue","Wed","Thu","Fri","Sat","Sun"),"")</f>
        <v>Sat</v>
      </c>
      <c r="P171" s="24" t="str">
        <f>IF(ISNUMBER(tblClean[[#This Row],[Date]]),IF(WEEKDAY(tblClean[[#This Row],[Date]],2)&gt;=6,"Weekend","Weekday"),"")</f>
        <v>Weekend</v>
      </c>
      <c r="Q17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71" s="9" t="str">
        <f>IF(ISNUMBER(tblClean[[#This Row],[Duration Hours]]),IF(tblClean[[#This Row],[Duration Hours]]&lt;2,"Short (under 2h)",IF(tblClean[[#This Row],[Duration Hours]]&lt;3,"Standard (2h to under 3h)","Long (3h or more)")),"")</f>
        <v>Long (3h or more)</v>
      </c>
      <c r="S17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71" s="24">
        <f>IF(COUNTIF(tblClean[Session ID],tblClean[[#This Row],[Session ID]])&gt;1,1,0)</f>
        <v>0</v>
      </c>
      <c r="U171" s="24">
        <f>IF(OR(N(tblClean[[#This Row],[Attributed GMV PHP]])&lt;0,N(tblClean[[#This Row],[Items Sold]])&lt;0,N(tblClean[[#This Row],[Livestream Views]])&lt;0,N(tblClean[[#This Row],[New Followers]])&lt;0),1,0)</f>
        <v>0</v>
      </c>
      <c r="V171" s="24">
        <f>IF(ISNUMBER(tblClean[[#This Row],[Duration Hours]]),IF(OR(tblClean[[#This Row],[Duration Hours]]&lt;=0,tblClean[[#This Row],[Duration Hours]]&gt;12),1,0),1)</f>
        <v>0</v>
      </c>
      <c r="W171" s="24">
        <f>IF(COUNTIF(HostRoster,tblClean[[#This Row],[Host Name]])=0,1,0)</f>
        <v>0</v>
      </c>
      <c r="X171" s="24">
        <f>IF(tblClean[[#This Row],[Missing Flag]]+tblClean[[#This Row],[Duplicate Flag]]+tblClean[[#This Row],[Negative Flag]]+tblClean[[#This Row],[Duration Flag]]+tblClean[[#This Row],[Host Flag]]=0,1,0)</f>
        <v>1</v>
      </c>
    </row>
    <row r="172" spans="1:24" x14ac:dyDescent="0.3">
      <c r="A172" s="9" t="str">
        <f>TRIM('Raw Data'!A168)</f>
        <v>LS-0164</v>
      </c>
      <c r="B172" s="10">
        <f>IF(ISNUMBER('Raw Data'!B168),INT('Raw Data'!B168),IFERROR(DATEVALUE('Raw Data'!B168),""))</f>
        <v>45850</v>
      </c>
      <c r="C172" s="9" t="str">
        <f>PROPER(TRIM('Raw Data'!C168))</f>
        <v>Aira Valdez</v>
      </c>
      <c r="D172" s="11">
        <f>IF(ISNUMBER('Raw Data'!D168),MOD('Raw Data'!D168,1),IFERROR(TIMEVALUE('Raw Data'!D168),""))</f>
        <v>0.79166666666666663</v>
      </c>
      <c r="E172" s="11">
        <f>IF(ISNUMBER('Raw Data'!E168),MOD('Raw Data'!E168,1),IFERROR(TIMEVALUE('Raw Data'!E168),""))</f>
        <v>0.91666666666666663</v>
      </c>
      <c r="F172" s="12">
        <f>IF(ISNUMBER('Raw Data'!F168),'Raw Data'!F168,IFERROR(VALUE(SUBSTITUTE('Raw Data'!F168,",","")),""))</f>
        <v>103115</v>
      </c>
      <c r="G172" s="13">
        <f>IF(ISNUMBER('Raw Data'!G168),'Raw Data'!G168,IFERROR(VALUE(SUBSTITUTE('Raw Data'!G168,",","")),""))</f>
        <v>303</v>
      </c>
      <c r="H172" s="13">
        <f>IF(ISNUMBER('Raw Data'!H168),'Raw Data'!H168,IFERROR(VALUE(SUBSTITUTE('Raw Data'!H168,",","")),""))</f>
        <v>357590</v>
      </c>
      <c r="I172" s="13">
        <f>IF(ISNUMBER('Raw Data'!I168),'Raw Data'!I168,IFERROR(VALUE(SUBSTITUTE('Raw Data'!I168,",","")),""))</f>
        <v>1695</v>
      </c>
      <c r="J172" s="21">
        <f>IF(AND(ISNUMBER(tblClean[[#This Row],[Start Time]]),ISNUMBER(tblClean[[#This Row],[End Time]])),ROUND(MOD(tblClean[[#This Row],[End Time]]-tblClean[[#This Row],[Start Time]],1)*24,2),"")</f>
        <v>3</v>
      </c>
      <c r="K172" s="12">
        <f>IF(AND(ISNUMBER(tblClean[[#This Row],[Duration Hours]]),ISNUMBER(tblClean[[#This Row],[Attributed GMV PHP]])),IF(tblClean[[#This Row],[Duration Hours]]&gt;0,tblClean[[#This Row],[Attributed GMV PHP]]/tblClean[[#This Row],[Duration Hours]],""),"")</f>
        <v>34371.666666666664</v>
      </c>
      <c r="L172" s="22">
        <f>IF(ISNUMBER(tblClean[[#This Row],[Date]]),DATE(YEAR(tblClean[[#This Row],[Date]]),MONTH(tblClean[[#This Row],[Date]]),1),"")</f>
        <v>45839</v>
      </c>
      <c r="M172" s="10">
        <f>IF(ISNUMBER(tblClean[[#This Row],[Date]]),tblClean[[#This Row],[Date]]-WEEKDAY(tblClean[[#This Row],[Date]],2)+1,"")</f>
        <v>45845</v>
      </c>
      <c r="N172" s="23">
        <f>IF(ISNUMBER(tblClean[[#This Row],[Week Start]]),(tblClean[[#This Row],[Week Start]]-MIN(tblClean[Week Start]))/7+1,"")</f>
        <v>6</v>
      </c>
      <c r="O172" s="24" t="str">
        <f>IF(ISNUMBER(tblClean[[#This Row],[Date]]),CHOOSE(WEEKDAY(tblClean[[#This Row],[Date]],2),"Mon","Tue","Wed","Thu","Fri","Sat","Sun"),"")</f>
        <v>Sat</v>
      </c>
      <c r="P172" s="24" t="str">
        <f>IF(ISNUMBER(tblClean[[#This Row],[Date]]),IF(WEEKDAY(tblClean[[#This Row],[Date]],2)&gt;=6,"Weekend","Weekday"),"")</f>
        <v>Weekend</v>
      </c>
      <c r="Q17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72" s="9" t="str">
        <f>IF(ISNUMBER(tblClean[[#This Row],[Duration Hours]]),IF(tblClean[[#This Row],[Duration Hours]]&lt;2,"Short (under 2h)",IF(tblClean[[#This Row],[Duration Hours]]&lt;3,"Standard (2h to under 3h)","Long (3h or more)")),"")</f>
        <v>Long (3h or more)</v>
      </c>
      <c r="S17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72" s="24">
        <f>IF(COUNTIF(tblClean[Session ID],tblClean[[#This Row],[Session ID]])&gt;1,1,0)</f>
        <v>0</v>
      </c>
      <c r="U172" s="24">
        <f>IF(OR(N(tblClean[[#This Row],[Attributed GMV PHP]])&lt;0,N(tblClean[[#This Row],[Items Sold]])&lt;0,N(tblClean[[#This Row],[Livestream Views]])&lt;0,N(tblClean[[#This Row],[New Followers]])&lt;0),1,0)</f>
        <v>0</v>
      </c>
      <c r="V172" s="24">
        <f>IF(ISNUMBER(tblClean[[#This Row],[Duration Hours]]),IF(OR(tblClean[[#This Row],[Duration Hours]]&lt;=0,tblClean[[#This Row],[Duration Hours]]&gt;12),1,0),1)</f>
        <v>0</v>
      </c>
      <c r="W172" s="24">
        <f>IF(COUNTIF(HostRoster,tblClean[[#This Row],[Host Name]])=0,1,0)</f>
        <v>0</v>
      </c>
      <c r="X172" s="24">
        <f>IF(tblClean[[#This Row],[Missing Flag]]+tblClean[[#This Row],[Duplicate Flag]]+tblClean[[#This Row],[Negative Flag]]+tblClean[[#This Row],[Duration Flag]]+tblClean[[#This Row],[Host Flag]]=0,1,0)</f>
        <v>1</v>
      </c>
    </row>
    <row r="173" spans="1:24" x14ac:dyDescent="0.3">
      <c r="A173" s="9" t="str">
        <f>TRIM('Raw Data'!A169)</f>
        <v>LS-0165</v>
      </c>
      <c r="B173" s="10">
        <f>IF(ISNUMBER('Raw Data'!B169),INT('Raw Data'!B169),IFERROR(DATEVALUE('Raw Data'!B169),""))</f>
        <v>45850</v>
      </c>
      <c r="C173" s="9" t="str">
        <f>PROPER(TRIM('Raw Data'!C169))</f>
        <v>Carlo Mendoza</v>
      </c>
      <c r="D173" s="11">
        <f>IF(ISNUMBER('Raw Data'!D169),MOD('Raw Data'!D169,1),IFERROR(TIMEVALUE('Raw Data'!D169),""))</f>
        <v>0.91666666666666663</v>
      </c>
      <c r="E173" s="11">
        <f>IF(ISNUMBER('Raw Data'!E169),MOD('Raw Data'!E169,1),IFERROR(TIMEVALUE('Raw Data'!E169),""))</f>
        <v>0.97916666666666663</v>
      </c>
      <c r="F173" s="12">
        <f>IF(ISNUMBER('Raw Data'!F169),'Raw Data'!F169,IFERROR(VALUE(SUBSTITUTE('Raw Data'!F169,",","")),""))</f>
        <v>15704</v>
      </c>
      <c r="G173" s="13">
        <f>IF(ISNUMBER('Raw Data'!G169),'Raw Data'!G169,IFERROR(VALUE(SUBSTITUTE('Raw Data'!G169,",","")),""))</f>
        <v>49</v>
      </c>
      <c r="H173" s="13">
        <f>IF(ISNUMBER('Raw Data'!H169),'Raw Data'!H169,IFERROR(VALUE(SUBSTITUTE('Raw Data'!H169,",","")),""))</f>
        <v>51203</v>
      </c>
      <c r="I173" s="13">
        <f>IF(ISNUMBER('Raw Data'!I169),'Raw Data'!I169,IFERROR(VALUE(SUBSTITUTE('Raw Data'!I169,",","")),""))</f>
        <v>377</v>
      </c>
      <c r="J173" s="21">
        <f>IF(AND(ISNUMBER(tblClean[[#This Row],[Start Time]]),ISNUMBER(tblClean[[#This Row],[End Time]])),ROUND(MOD(tblClean[[#This Row],[End Time]]-tblClean[[#This Row],[Start Time]],1)*24,2),"")</f>
        <v>1.5</v>
      </c>
      <c r="K173" s="12">
        <f>IF(AND(ISNUMBER(tblClean[[#This Row],[Duration Hours]]),ISNUMBER(tblClean[[#This Row],[Attributed GMV PHP]])),IF(tblClean[[#This Row],[Duration Hours]]&gt;0,tblClean[[#This Row],[Attributed GMV PHP]]/tblClean[[#This Row],[Duration Hours]],""),"")</f>
        <v>10469.333333333334</v>
      </c>
      <c r="L173" s="22">
        <f>IF(ISNUMBER(tblClean[[#This Row],[Date]]),DATE(YEAR(tblClean[[#This Row],[Date]]),MONTH(tblClean[[#This Row],[Date]]),1),"")</f>
        <v>45839</v>
      </c>
      <c r="M173" s="10">
        <f>IF(ISNUMBER(tblClean[[#This Row],[Date]]),tblClean[[#This Row],[Date]]-WEEKDAY(tblClean[[#This Row],[Date]],2)+1,"")</f>
        <v>45845</v>
      </c>
      <c r="N173" s="23">
        <f>IF(ISNUMBER(tblClean[[#This Row],[Week Start]]),(tblClean[[#This Row],[Week Start]]-MIN(tblClean[Week Start]))/7+1,"")</f>
        <v>6</v>
      </c>
      <c r="O173" s="24" t="str">
        <f>IF(ISNUMBER(tblClean[[#This Row],[Date]]),CHOOSE(WEEKDAY(tblClean[[#This Row],[Date]],2),"Mon","Tue","Wed","Thu","Fri","Sat","Sun"),"")</f>
        <v>Sat</v>
      </c>
      <c r="P173" s="24" t="str">
        <f>IF(ISNUMBER(tblClean[[#This Row],[Date]]),IF(WEEKDAY(tblClean[[#This Row],[Date]],2)&gt;=6,"Weekend","Weekday"),"")</f>
        <v>Weekend</v>
      </c>
      <c r="Q17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73" s="9" t="str">
        <f>IF(ISNUMBER(tblClean[[#This Row],[Duration Hours]]),IF(tblClean[[#This Row],[Duration Hours]]&lt;2,"Short (under 2h)",IF(tblClean[[#This Row],[Duration Hours]]&lt;3,"Standard (2h to under 3h)","Long (3h or more)")),"")</f>
        <v>Short (under 2h)</v>
      </c>
      <c r="S17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73" s="24">
        <f>IF(COUNTIF(tblClean[Session ID],tblClean[[#This Row],[Session ID]])&gt;1,1,0)</f>
        <v>0</v>
      </c>
      <c r="U173" s="24">
        <f>IF(OR(N(tblClean[[#This Row],[Attributed GMV PHP]])&lt;0,N(tblClean[[#This Row],[Items Sold]])&lt;0,N(tblClean[[#This Row],[Livestream Views]])&lt;0,N(tblClean[[#This Row],[New Followers]])&lt;0),1,0)</f>
        <v>0</v>
      </c>
      <c r="V173" s="24">
        <f>IF(ISNUMBER(tblClean[[#This Row],[Duration Hours]]),IF(OR(tblClean[[#This Row],[Duration Hours]]&lt;=0,tblClean[[#This Row],[Duration Hours]]&gt;12),1,0),1)</f>
        <v>0</v>
      </c>
      <c r="W173" s="24">
        <f>IF(COUNTIF(HostRoster,tblClean[[#This Row],[Host Name]])=0,1,0)</f>
        <v>0</v>
      </c>
      <c r="X173" s="24">
        <f>IF(tblClean[[#This Row],[Missing Flag]]+tblClean[[#This Row],[Duplicate Flag]]+tblClean[[#This Row],[Negative Flag]]+tblClean[[#This Row],[Duration Flag]]+tblClean[[#This Row],[Host Flag]]=0,1,0)</f>
        <v>1</v>
      </c>
    </row>
    <row r="174" spans="1:24" x14ac:dyDescent="0.3">
      <c r="A174" s="9" t="str">
        <f>TRIM('Raw Data'!A170)</f>
        <v>LS-0166</v>
      </c>
      <c r="B174" s="10">
        <f>IF(ISNUMBER('Raw Data'!B170),INT('Raw Data'!B170),IFERROR(DATEVALUE('Raw Data'!B170),""))</f>
        <v>45851</v>
      </c>
      <c r="C174" s="9" t="str">
        <f>PROPER(TRIM('Raw Data'!C170))</f>
        <v>Carlo Mendoza</v>
      </c>
      <c r="D174" s="11">
        <f>IF(ISNUMBER('Raw Data'!D170),MOD('Raw Data'!D170,1),IFERROR(TIMEVALUE('Raw Data'!D170),""))</f>
        <v>0.41666666666666669</v>
      </c>
      <c r="E174" s="11">
        <f>IF(ISNUMBER('Raw Data'!E170),MOD('Raw Data'!E170,1),IFERROR(TIMEVALUE('Raw Data'!E170),""))</f>
        <v>0.54166666666666663</v>
      </c>
      <c r="F174" s="12">
        <f>IF(ISNUMBER('Raw Data'!F170),'Raw Data'!F170,IFERROR(VALUE(SUBSTITUTE('Raw Data'!F170,",","")),""))</f>
        <v>24033</v>
      </c>
      <c r="G174" s="13">
        <f>IF(ISNUMBER('Raw Data'!G170),'Raw Data'!G170,IFERROR(VALUE(SUBSTITUTE('Raw Data'!G170,",","")),""))</f>
        <v>73</v>
      </c>
      <c r="H174" s="13">
        <f>IF(ISNUMBER('Raw Data'!H170),'Raw Data'!H170,IFERROR(VALUE(SUBSTITUTE('Raw Data'!H170,",","")),""))</f>
        <v>108189</v>
      </c>
      <c r="I174" s="13">
        <f>IF(ISNUMBER('Raw Data'!I170),'Raw Data'!I170,IFERROR(VALUE(SUBSTITUTE('Raw Data'!I170,",","")),""))</f>
        <v>1305</v>
      </c>
      <c r="J174" s="21">
        <f>IF(AND(ISNUMBER(tblClean[[#This Row],[Start Time]]),ISNUMBER(tblClean[[#This Row],[End Time]])),ROUND(MOD(tblClean[[#This Row],[End Time]]-tblClean[[#This Row],[Start Time]],1)*24,2),"")</f>
        <v>3</v>
      </c>
      <c r="K174" s="12">
        <f>IF(AND(ISNUMBER(tblClean[[#This Row],[Duration Hours]]),ISNUMBER(tblClean[[#This Row],[Attributed GMV PHP]])),IF(tblClean[[#This Row],[Duration Hours]]&gt;0,tblClean[[#This Row],[Attributed GMV PHP]]/tblClean[[#This Row],[Duration Hours]],""),"")</f>
        <v>8011</v>
      </c>
      <c r="L174" s="22">
        <f>IF(ISNUMBER(tblClean[[#This Row],[Date]]),DATE(YEAR(tblClean[[#This Row],[Date]]),MONTH(tblClean[[#This Row],[Date]]),1),"")</f>
        <v>45839</v>
      </c>
      <c r="M174" s="10">
        <f>IF(ISNUMBER(tblClean[[#This Row],[Date]]),tblClean[[#This Row],[Date]]-WEEKDAY(tblClean[[#This Row],[Date]],2)+1,"")</f>
        <v>45845</v>
      </c>
      <c r="N174" s="23">
        <f>IF(ISNUMBER(tblClean[[#This Row],[Week Start]]),(tblClean[[#This Row],[Week Start]]-MIN(tblClean[Week Start]))/7+1,"")</f>
        <v>6</v>
      </c>
      <c r="O174" s="24" t="str">
        <f>IF(ISNUMBER(tblClean[[#This Row],[Date]]),CHOOSE(WEEKDAY(tblClean[[#This Row],[Date]],2),"Mon","Tue","Wed","Thu","Fri","Sat","Sun"),"")</f>
        <v>Sun</v>
      </c>
      <c r="P174" s="24" t="str">
        <f>IF(ISNUMBER(tblClean[[#This Row],[Date]]),IF(WEEKDAY(tblClean[[#This Row],[Date]],2)&gt;=6,"Weekend","Weekday"),"")</f>
        <v>Weekend</v>
      </c>
      <c r="Q17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74" s="9" t="str">
        <f>IF(ISNUMBER(tblClean[[#This Row],[Duration Hours]]),IF(tblClean[[#This Row],[Duration Hours]]&lt;2,"Short (under 2h)",IF(tblClean[[#This Row],[Duration Hours]]&lt;3,"Standard (2h to under 3h)","Long (3h or more)")),"")</f>
        <v>Long (3h or more)</v>
      </c>
      <c r="S17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74" s="24">
        <f>IF(COUNTIF(tblClean[Session ID],tblClean[[#This Row],[Session ID]])&gt;1,1,0)</f>
        <v>0</v>
      </c>
      <c r="U174" s="24">
        <f>IF(OR(N(tblClean[[#This Row],[Attributed GMV PHP]])&lt;0,N(tblClean[[#This Row],[Items Sold]])&lt;0,N(tblClean[[#This Row],[Livestream Views]])&lt;0,N(tblClean[[#This Row],[New Followers]])&lt;0),1,0)</f>
        <v>0</v>
      </c>
      <c r="V174" s="24">
        <f>IF(ISNUMBER(tblClean[[#This Row],[Duration Hours]]),IF(OR(tblClean[[#This Row],[Duration Hours]]&lt;=0,tblClean[[#This Row],[Duration Hours]]&gt;12),1,0),1)</f>
        <v>0</v>
      </c>
      <c r="W174" s="24">
        <f>IF(COUNTIF(HostRoster,tblClean[[#This Row],[Host Name]])=0,1,0)</f>
        <v>0</v>
      </c>
      <c r="X174" s="24">
        <f>IF(tblClean[[#This Row],[Missing Flag]]+tblClean[[#This Row],[Duplicate Flag]]+tblClean[[#This Row],[Negative Flag]]+tblClean[[#This Row],[Duration Flag]]+tblClean[[#This Row],[Host Flag]]=0,1,0)</f>
        <v>1</v>
      </c>
    </row>
    <row r="175" spans="1:24" x14ac:dyDescent="0.3">
      <c r="A175" s="9" t="str">
        <f>TRIM('Raw Data'!A171)</f>
        <v>LS-0167</v>
      </c>
      <c r="B175" s="10">
        <f>IF(ISNUMBER('Raw Data'!B171),INT('Raw Data'!B171),IFERROR(DATEVALUE('Raw Data'!B171),""))</f>
        <v>45851</v>
      </c>
      <c r="C175" s="9" t="str">
        <f>PROPER(TRIM('Raw Data'!C171))</f>
        <v>Aira Valdez</v>
      </c>
      <c r="D175" s="11">
        <f>IF(ISNUMBER('Raw Data'!D171),MOD('Raw Data'!D171,1),IFERROR(TIMEVALUE('Raw Data'!D171),""))</f>
        <v>0.54166666666666663</v>
      </c>
      <c r="E175" s="11">
        <f>IF(ISNUMBER('Raw Data'!E171),MOD('Raw Data'!E171,1),IFERROR(TIMEVALUE('Raw Data'!E171),""))</f>
        <v>0.66666666666666663</v>
      </c>
      <c r="F175" s="12">
        <f>IF(ISNUMBER('Raw Data'!F171),'Raw Data'!F171,IFERROR(VALUE(SUBSTITUTE('Raw Data'!F171,",","")),""))</f>
        <v>56803</v>
      </c>
      <c r="G175" s="13">
        <f>IF(ISNUMBER('Raw Data'!G171),'Raw Data'!G171,IFERROR(VALUE(SUBSTITUTE('Raw Data'!G171,",","")),""))</f>
        <v>174</v>
      </c>
      <c r="H175" s="13">
        <f>IF(ISNUMBER('Raw Data'!H171),'Raw Data'!H171,IFERROR(VALUE(SUBSTITUTE('Raw Data'!H171,",","")),""))</f>
        <v>214726</v>
      </c>
      <c r="I175" s="13">
        <f>IF(ISNUMBER('Raw Data'!I171),'Raw Data'!I171,IFERROR(VALUE(SUBSTITUTE('Raw Data'!I171,",","")),""))</f>
        <v>1596</v>
      </c>
      <c r="J175" s="21">
        <f>IF(AND(ISNUMBER(tblClean[[#This Row],[Start Time]]),ISNUMBER(tblClean[[#This Row],[End Time]])),ROUND(MOD(tblClean[[#This Row],[End Time]]-tblClean[[#This Row],[Start Time]],1)*24,2),"")</f>
        <v>3</v>
      </c>
      <c r="K175" s="12">
        <f>IF(AND(ISNUMBER(tblClean[[#This Row],[Duration Hours]]),ISNUMBER(tblClean[[#This Row],[Attributed GMV PHP]])),IF(tblClean[[#This Row],[Duration Hours]]&gt;0,tblClean[[#This Row],[Attributed GMV PHP]]/tblClean[[#This Row],[Duration Hours]],""),"")</f>
        <v>18934.333333333332</v>
      </c>
      <c r="L175" s="22">
        <f>IF(ISNUMBER(tblClean[[#This Row],[Date]]),DATE(YEAR(tblClean[[#This Row],[Date]]),MONTH(tblClean[[#This Row],[Date]]),1),"")</f>
        <v>45839</v>
      </c>
      <c r="M175" s="10">
        <f>IF(ISNUMBER(tblClean[[#This Row],[Date]]),tblClean[[#This Row],[Date]]-WEEKDAY(tblClean[[#This Row],[Date]],2)+1,"")</f>
        <v>45845</v>
      </c>
      <c r="N175" s="23">
        <f>IF(ISNUMBER(tblClean[[#This Row],[Week Start]]),(tblClean[[#This Row],[Week Start]]-MIN(tblClean[Week Start]))/7+1,"")</f>
        <v>6</v>
      </c>
      <c r="O175" s="24" t="str">
        <f>IF(ISNUMBER(tblClean[[#This Row],[Date]]),CHOOSE(WEEKDAY(tblClean[[#This Row],[Date]],2),"Mon","Tue","Wed","Thu","Fri","Sat","Sun"),"")</f>
        <v>Sun</v>
      </c>
      <c r="P175" s="24" t="str">
        <f>IF(ISNUMBER(tblClean[[#This Row],[Date]]),IF(WEEKDAY(tblClean[[#This Row],[Date]],2)&gt;=6,"Weekend","Weekday"),"")</f>
        <v>Weekend</v>
      </c>
      <c r="Q17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75" s="9" t="str">
        <f>IF(ISNUMBER(tblClean[[#This Row],[Duration Hours]]),IF(tblClean[[#This Row],[Duration Hours]]&lt;2,"Short (under 2h)",IF(tblClean[[#This Row],[Duration Hours]]&lt;3,"Standard (2h to under 3h)","Long (3h or more)")),"")</f>
        <v>Long (3h or more)</v>
      </c>
      <c r="S17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75" s="24">
        <f>IF(COUNTIF(tblClean[Session ID],tblClean[[#This Row],[Session ID]])&gt;1,1,0)</f>
        <v>0</v>
      </c>
      <c r="U175" s="24">
        <f>IF(OR(N(tblClean[[#This Row],[Attributed GMV PHP]])&lt;0,N(tblClean[[#This Row],[Items Sold]])&lt;0,N(tblClean[[#This Row],[Livestream Views]])&lt;0,N(tblClean[[#This Row],[New Followers]])&lt;0),1,0)</f>
        <v>0</v>
      </c>
      <c r="V175" s="24">
        <f>IF(ISNUMBER(tblClean[[#This Row],[Duration Hours]]),IF(OR(tblClean[[#This Row],[Duration Hours]]&lt;=0,tblClean[[#This Row],[Duration Hours]]&gt;12),1,0),1)</f>
        <v>0</v>
      </c>
      <c r="W175" s="24">
        <f>IF(COUNTIF(HostRoster,tblClean[[#This Row],[Host Name]])=0,1,0)</f>
        <v>0</v>
      </c>
      <c r="X175" s="24">
        <f>IF(tblClean[[#This Row],[Missing Flag]]+tblClean[[#This Row],[Duplicate Flag]]+tblClean[[#This Row],[Negative Flag]]+tblClean[[#This Row],[Duration Flag]]+tblClean[[#This Row],[Host Flag]]=0,1,0)</f>
        <v>1</v>
      </c>
    </row>
    <row r="176" spans="1:24" x14ac:dyDescent="0.3">
      <c r="A176" s="9" t="str">
        <f>TRIM('Raw Data'!A172)</f>
        <v>LS-0168</v>
      </c>
      <c r="B176" s="10">
        <f>IF(ISNUMBER('Raw Data'!B172),INT('Raw Data'!B172),IFERROR(DATEVALUE('Raw Data'!B172),""))</f>
        <v>45851</v>
      </c>
      <c r="C176" s="9" t="str">
        <f>PROPER(TRIM('Raw Data'!C172))</f>
        <v>Carlo Mendoza</v>
      </c>
      <c r="D176" s="11">
        <f>IF(ISNUMBER('Raw Data'!D172),MOD('Raw Data'!D172,1),IFERROR(TIMEVALUE('Raw Data'!D172),""))</f>
        <v>0.66666666666666663</v>
      </c>
      <c r="E176" s="11">
        <f>IF(ISNUMBER('Raw Data'!E172),MOD('Raw Data'!E172,1),IFERROR(TIMEVALUE('Raw Data'!E172),""))</f>
        <v>0.75</v>
      </c>
      <c r="F176" s="12">
        <f>IF(ISNUMBER('Raw Data'!F172),'Raw Data'!F172,IFERROR(VALUE(SUBSTITUTE('Raw Data'!F172,",","")),""))</f>
        <v>34872</v>
      </c>
      <c r="G176" s="13">
        <f>IF(ISNUMBER('Raw Data'!G172),'Raw Data'!G172,IFERROR(VALUE(SUBSTITUTE('Raw Data'!G172,",","")),""))</f>
        <v>109</v>
      </c>
      <c r="H176" s="13">
        <f>IF(ISNUMBER('Raw Data'!H172),'Raw Data'!H172,IFERROR(VALUE(SUBSTITUTE('Raw Data'!H172,",","")),""))</f>
        <v>113629</v>
      </c>
      <c r="I176" s="13">
        <f>IF(ISNUMBER('Raw Data'!I172),'Raw Data'!I172,IFERROR(VALUE(SUBSTITUTE('Raw Data'!I172,",","")),""))</f>
        <v>852</v>
      </c>
      <c r="J176" s="21">
        <f>IF(AND(ISNUMBER(tblClean[[#This Row],[Start Time]]),ISNUMBER(tblClean[[#This Row],[End Time]])),ROUND(MOD(tblClean[[#This Row],[End Time]]-tblClean[[#This Row],[Start Time]],1)*24,2),"")</f>
        <v>2</v>
      </c>
      <c r="K176" s="12">
        <f>IF(AND(ISNUMBER(tblClean[[#This Row],[Duration Hours]]),ISNUMBER(tblClean[[#This Row],[Attributed GMV PHP]])),IF(tblClean[[#This Row],[Duration Hours]]&gt;0,tblClean[[#This Row],[Attributed GMV PHP]]/tblClean[[#This Row],[Duration Hours]],""),"")</f>
        <v>17436</v>
      </c>
      <c r="L176" s="22">
        <f>IF(ISNUMBER(tblClean[[#This Row],[Date]]),DATE(YEAR(tblClean[[#This Row],[Date]]),MONTH(tblClean[[#This Row],[Date]]),1),"")</f>
        <v>45839</v>
      </c>
      <c r="M176" s="10">
        <f>IF(ISNUMBER(tblClean[[#This Row],[Date]]),tblClean[[#This Row],[Date]]-WEEKDAY(tblClean[[#This Row],[Date]],2)+1,"")</f>
        <v>45845</v>
      </c>
      <c r="N176" s="23">
        <f>IF(ISNUMBER(tblClean[[#This Row],[Week Start]]),(tblClean[[#This Row],[Week Start]]-MIN(tblClean[Week Start]))/7+1,"")</f>
        <v>6</v>
      </c>
      <c r="O176" s="24" t="str">
        <f>IF(ISNUMBER(tblClean[[#This Row],[Date]]),CHOOSE(WEEKDAY(tblClean[[#This Row],[Date]],2),"Mon","Tue","Wed","Thu","Fri","Sat","Sun"),"")</f>
        <v>Sun</v>
      </c>
      <c r="P176" s="24" t="str">
        <f>IF(ISNUMBER(tblClean[[#This Row],[Date]]),IF(WEEKDAY(tblClean[[#This Row],[Date]],2)&gt;=6,"Weekend","Weekday"),"")</f>
        <v>Weekend</v>
      </c>
      <c r="Q17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76" s="9" t="str">
        <f>IF(ISNUMBER(tblClean[[#This Row],[Duration Hours]]),IF(tblClean[[#This Row],[Duration Hours]]&lt;2,"Short (under 2h)",IF(tblClean[[#This Row],[Duration Hours]]&lt;3,"Standard (2h to under 3h)","Long (3h or more)")),"")</f>
        <v>Standard (2h to under 3h)</v>
      </c>
      <c r="S17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76" s="24">
        <f>IF(COUNTIF(tblClean[Session ID],tblClean[[#This Row],[Session ID]])&gt;1,1,0)</f>
        <v>0</v>
      </c>
      <c r="U176" s="24">
        <f>IF(OR(N(tblClean[[#This Row],[Attributed GMV PHP]])&lt;0,N(tblClean[[#This Row],[Items Sold]])&lt;0,N(tblClean[[#This Row],[Livestream Views]])&lt;0,N(tblClean[[#This Row],[New Followers]])&lt;0),1,0)</f>
        <v>0</v>
      </c>
      <c r="V176" s="24">
        <f>IF(ISNUMBER(tblClean[[#This Row],[Duration Hours]]),IF(OR(tblClean[[#This Row],[Duration Hours]]&lt;=0,tblClean[[#This Row],[Duration Hours]]&gt;12),1,0),1)</f>
        <v>0</v>
      </c>
      <c r="W176" s="24">
        <f>IF(COUNTIF(HostRoster,tblClean[[#This Row],[Host Name]])=0,1,0)</f>
        <v>0</v>
      </c>
      <c r="X176" s="24">
        <f>IF(tblClean[[#This Row],[Missing Flag]]+tblClean[[#This Row],[Duplicate Flag]]+tblClean[[#This Row],[Negative Flag]]+tblClean[[#This Row],[Duration Flag]]+tblClean[[#This Row],[Host Flag]]=0,1,0)</f>
        <v>1</v>
      </c>
    </row>
    <row r="177" spans="1:24" x14ac:dyDescent="0.3">
      <c r="A177" s="9" t="str">
        <f>TRIM('Raw Data'!A173)</f>
        <v>LS-0169</v>
      </c>
      <c r="B177" s="10">
        <f>IF(ISNUMBER('Raw Data'!B173),INT('Raw Data'!B173),IFERROR(DATEVALUE('Raw Data'!B173),""))</f>
        <v>45851</v>
      </c>
      <c r="C177" s="9" t="str">
        <f>PROPER(TRIM('Raw Data'!C173))</f>
        <v>Carlo Mendoza</v>
      </c>
      <c r="D177" s="11">
        <f>IF(ISNUMBER('Raw Data'!D173),MOD('Raw Data'!D173,1),IFERROR(TIMEVALUE('Raw Data'!D173),""))</f>
        <v>0.79166666666666663</v>
      </c>
      <c r="E177" s="11">
        <f>IF(ISNUMBER('Raw Data'!E173),MOD('Raw Data'!E173,1),IFERROR(TIMEVALUE('Raw Data'!E173),""))</f>
        <v>0.91666666666666663</v>
      </c>
      <c r="F177" s="12">
        <f>IF(ISNUMBER('Raw Data'!F173),'Raw Data'!F173,IFERROR(VALUE(SUBSTITUTE('Raw Data'!F173,",","")),""))</f>
        <v>57731</v>
      </c>
      <c r="G177" s="13">
        <f>IF(ISNUMBER('Raw Data'!G173),'Raw Data'!G173,IFERROR(VALUE(SUBSTITUTE('Raw Data'!G173,",","")),""))</f>
        <v>135</v>
      </c>
      <c r="H177" s="13">
        <f>IF(ISNUMBER('Raw Data'!H173),'Raw Data'!H173,IFERROR(VALUE(SUBSTITUTE('Raw Data'!H173,",","")),""))</f>
        <v>167403</v>
      </c>
      <c r="I177" s="13">
        <f>IF(ISNUMBER('Raw Data'!I173),'Raw Data'!I173,IFERROR(VALUE(SUBSTITUTE('Raw Data'!I173,",","")),""))</f>
        <v>1136</v>
      </c>
      <c r="J177" s="21">
        <f>IF(AND(ISNUMBER(tblClean[[#This Row],[Start Time]]),ISNUMBER(tblClean[[#This Row],[End Time]])),ROUND(MOD(tblClean[[#This Row],[End Time]]-tblClean[[#This Row],[Start Time]],1)*24,2),"")</f>
        <v>3</v>
      </c>
      <c r="K177" s="12">
        <f>IF(AND(ISNUMBER(tblClean[[#This Row],[Duration Hours]]),ISNUMBER(tblClean[[#This Row],[Attributed GMV PHP]])),IF(tblClean[[#This Row],[Duration Hours]]&gt;0,tblClean[[#This Row],[Attributed GMV PHP]]/tblClean[[#This Row],[Duration Hours]],""),"")</f>
        <v>19243.666666666668</v>
      </c>
      <c r="L177" s="22">
        <f>IF(ISNUMBER(tblClean[[#This Row],[Date]]),DATE(YEAR(tblClean[[#This Row],[Date]]),MONTH(tblClean[[#This Row],[Date]]),1),"")</f>
        <v>45839</v>
      </c>
      <c r="M177" s="10">
        <f>IF(ISNUMBER(tblClean[[#This Row],[Date]]),tblClean[[#This Row],[Date]]-WEEKDAY(tblClean[[#This Row],[Date]],2)+1,"")</f>
        <v>45845</v>
      </c>
      <c r="N177" s="23">
        <f>IF(ISNUMBER(tblClean[[#This Row],[Week Start]]),(tblClean[[#This Row],[Week Start]]-MIN(tblClean[Week Start]))/7+1,"")</f>
        <v>6</v>
      </c>
      <c r="O177" s="24" t="str">
        <f>IF(ISNUMBER(tblClean[[#This Row],[Date]]),CHOOSE(WEEKDAY(tblClean[[#This Row],[Date]],2),"Mon","Tue","Wed","Thu","Fri","Sat","Sun"),"")</f>
        <v>Sun</v>
      </c>
      <c r="P177" s="24" t="str">
        <f>IF(ISNUMBER(tblClean[[#This Row],[Date]]),IF(WEEKDAY(tblClean[[#This Row],[Date]],2)&gt;=6,"Weekend","Weekday"),"")</f>
        <v>Weekend</v>
      </c>
      <c r="Q17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77" s="9" t="str">
        <f>IF(ISNUMBER(tblClean[[#This Row],[Duration Hours]]),IF(tblClean[[#This Row],[Duration Hours]]&lt;2,"Short (under 2h)",IF(tblClean[[#This Row],[Duration Hours]]&lt;3,"Standard (2h to under 3h)","Long (3h or more)")),"")</f>
        <v>Long (3h or more)</v>
      </c>
      <c r="S17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77" s="24">
        <f>IF(COUNTIF(tblClean[Session ID],tblClean[[#This Row],[Session ID]])&gt;1,1,0)</f>
        <v>0</v>
      </c>
      <c r="U177" s="24">
        <f>IF(OR(N(tblClean[[#This Row],[Attributed GMV PHP]])&lt;0,N(tblClean[[#This Row],[Items Sold]])&lt;0,N(tblClean[[#This Row],[Livestream Views]])&lt;0,N(tblClean[[#This Row],[New Followers]])&lt;0),1,0)</f>
        <v>0</v>
      </c>
      <c r="V177" s="24">
        <f>IF(ISNUMBER(tblClean[[#This Row],[Duration Hours]]),IF(OR(tblClean[[#This Row],[Duration Hours]]&lt;=0,tblClean[[#This Row],[Duration Hours]]&gt;12),1,0),1)</f>
        <v>0</v>
      </c>
      <c r="W177" s="24">
        <f>IF(COUNTIF(HostRoster,tblClean[[#This Row],[Host Name]])=0,1,0)</f>
        <v>0</v>
      </c>
      <c r="X177" s="24">
        <f>IF(tblClean[[#This Row],[Missing Flag]]+tblClean[[#This Row],[Duplicate Flag]]+tblClean[[#This Row],[Negative Flag]]+tblClean[[#This Row],[Duration Flag]]+tblClean[[#This Row],[Host Flag]]=0,1,0)</f>
        <v>1</v>
      </c>
    </row>
    <row r="178" spans="1:24" x14ac:dyDescent="0.3">
      <c r="A178" s="9" t="str">
        <f>TRIM('Raw Data'!A174)</f>
        <v>LS-0170</v>
      </c>
      <c r="B178" s="10">
        <f>IF(ISNUMBER('Raw Data'!B174),INT('Raw Data'!B174),IFERROR(DATEVALUE('Raw Data'!B174),""))</f>
        <v>45851</v>
      </c>
      <c r="C178" s="9" t="str">
        <f>PROPER(TRIM('Raw Data'!C174))</f>
        <v>Carlo Mendoza</v>
      </c>
      <c r="D178" s="11">
        <f>IF(ISNUMBER('Raw Data'!D174),MOD('Raw Data'!D174,1),IFERROR(TIMEVALUE('Raw Data'!D174),""))</f>
        <v>0.91666666666666663</v>
      </c>
      <c r="E178" s="11">
        <f>IF(ISNUMBER('Raw Data'!E174),MOD('Raw Data'!E174,1),IFERROR(TIMEVALUE('Raw Data'!E174),""))</f>
        <v>2.0833333333333329E-2</v>
      </c>
      <c r="F178" s="12">
        <f>IF(ISNUMBER('Raw Data'!F174),'Raw Data'!F174,IFERROR(VALUE(SUBSTITUTE('Raw Data'!F174,",","")),""))</f>
        <v>21825</v>
      </c>
      <c r="G178" s="13">
        <f>IF(ISNUMBER('Raw Data'!G174),'Raw Data'!G174,IFERROR(VALUE(SUBSTITUTE('Raw Data'!G174,",","")),""))</f>
        <v>61</v>
      </c>
      <c r="H178" s="13">
        <f>IF(ISNUMBER('Raw Data'!H174),'Raw Data'!H174,IFERROR(VALUE(SUBSTITUTE('Raw Data'!H174,",","")),""))</f>
        <v>47760</v>
      </c>
      <c r="I178" s="13">
        <f>IF(ISNUMBER('Raw Data'!I174),'Raw Data'!I174,IFERROR(VALUE(SUBSTITUTE('Raw Data'!I174,",","")),""))</f>
        <v>482</v>
      </c>
      <c r="J178" s="21">
        <f>IF(AND(ISNUMBER(tblClean[[#This Row],[Start Time]]),ISNUMBER(tblClean[[#This Row],[End Time]])),ROUND(MOD(tblClean[[#This Row],[End Time]]-tblClean[[#This Row],[Start Time]],1)*24,2),"")</f>
        <v>2.5</v>
      </c>
      <c r="K178" s="12">
        <f>IF(AND(ISNUMBER(tblClean[[#This Row],[Duration Hours]]),ISNUMBER(tblClean[[#This Row],[Attributed GMV PHP]])),IF(tblClean[[#This Row],[Duration Hours]]&gt;0,tblClean[[#This Row],[Attributed GMV PHP]]/tblClean[[#This Row],[Duration Hours]],""),"")</f>
        <v>8730</v>
      </c>
      <c r="L178" s="22">
        <f>IF(ISNUMBER(tblClean[[#This Row],[Date]]),DATE(YEAR(tblClean[[#This Row],[Date]]),MONTH(tblClean[[#This Row],[Date]]),1),"")</f>
        <v>45839</v>
      </c>
      <c r="M178" s="10">
        <f>IF(ISNUMBER(tblClean[[#This Row],[Date]]),tblClean[[#This Row],[Date]]-WEEKDAY(tblClean[[#This Row],[Date]],2)+1,"")</f>
        <v>45845</v>
      </c>
      <c r="N178" s="23">
        <f>IF(ISNUMBER(tblClean[[#This Row],[Week Start]]),(tblClean[[#This Row],[Week Start]]-MIN(tblClean[Week Start]))/7+1,"")</f>
        <v>6</v>
      </c>
      <c r="O178" s="24" t="str">
        <f>IF(ISNUMBER(tblClean[[#This Row],[Date]]),CHOOSE(WEEKDAY(tblClean[[#This Row],[Date]],2),"Mon","Tue","Wed","Thu","Fri","Sat","Sun"),"")</f>
        <v>Sun</v>
      </c>
      <c r="P178" s="24" t="str">
        <f>IF(ISNUMBER(tblClean[[#This Row],[Date]]),IF(WEEKDAY(tblClean[[#This Row],[Date]],2)&gt;=6,"Weekend","Weekday"),"")</f>
        <v>Weekend</v>
      </c>
      <c r="Q17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78" s="9" t="str">
        <f>IF(ISNUMBER(tblClean[[#This Row],[Duration Hours]]),IF(tblClean[[#This Row],[Duration Hours]]&lt;2,"Short (under 2h)",IF(tblClean[[#This Row],[Duration Hours]]&lt;3,"Standard (2h to under 3h)","Long (3h or more)")),"")</f>
        <v>Standard (2h to under 3h)</v>
      </c>
      <c r="S17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78" s="24">
        <f>IF(COUNTIF(tblClean[Session ID],tblClean[[#This Row],[Session ID]])&gt;1,1,0)</f>
        <v>0</v>
      </c>
      <c r="U178" s="24">
        <f>IF(OR(N(tblClean[[#This Row],[Attributed GMV PHP]])&lt;0,N(tblClean[[#This Row],[Items Sold]])&lt;0,N(tblClean[[#This Row],[Livestream Views]])&lt;0,N(tblClean[[#This Row],[New Followers]])&lt;0),1,0)</f>
        <v>0</v>
      </c>
      <c r="V178" s="24">
        <f>IF(ISNUMBER(tblClean[[#This Row],[Duration Hours]]),IF(OR(tblClean[[#This Row],[Duration Hours]]&lt;=0,tblClean[[#This Row],[Duration Hours]]&gt;12),1,0),1)</f>
        <v>0</v>
      </c>
      <c r="W178" s="24">
        <f>IF(COUNTIF(HostRoster,tblClean[[#This Row],[Host Name]])=0,1,0)</f>
        <v>0</v>
      </c>
      <c r="X178" s="24">
        <f>IF(tblClean[[#This Row],[Missing Flag]]+tblClean[[#This Row],[Duplicate Flag]]+tblClean[[#This Row],[Negative Flag]]+tblClean[[#This Row],[Duration Flag]]+tblClean[[#This Row],[Host Flag]]=0,1,0)</f>
        <v>1</v>
      </c>
    </row>
    <row r="179" spans="1:24" x14ac:dyDescent="0.3">
      <c r="A179" s="9" t="str">
        <f>TRIM('Raw Data'!A175)</f>
        <v>LS-0171</v>
      </c>
      <c r="B179" s="10">
        <f>IF(ISNUMBER('Raw Data'!B175),INT('Raw Data'!B175),IFERROR(DATEVALUE('Raw Data'!B175),""))</f>
        <v>45852</v>
      </c>
      <c r="C179" s="9" t="str">
        <f>PROPER(TRIM('Raw Data'!C175))</f>
        <v>Bianca Reyes</v>
      </c>
      <c r="D179" s="11">
        <f>IF(ISNUMBER('Raw Data'!D175),MOD('Raw Data'!D175,1),IFERROR(TIMEVALUE('Raw Data'!D175),""))</f>
        <v>0.54166666666666663</v>
      </c>
      <c r="E179" s="11">
        <f>IF(ISNUMBER('Raw Data'!E175),MOD('Raw Data'!E175,1),IFERROR(TIMEVALUE('Raw Data'!E175),""))</f>
        <v>0.64583333333333337</v>
      </c>
      <c r="F179" s="12">
        <f>IF(ISNUMBER('Raw Data'!F175),'Raw Data'!F175,IFERROR(VALUE(SUBSTITUTE('Raw Data'!F175,",","")),""))</f>
        <v>15371</v>
      </c>
      <c r="G179" s="13">
        <f>IF(ISNUMBER('Raw Data'!G175),'Raw Data'!G175,IFERROR(VALUE(SUBSTITUTE('Raw Data'!G175,",","")),""))</f>
        <v>44</v>
      </c>
      <c r="H179" s="13">
        <f>IF(ISNUMBER('Raw Data'!H175),'Raw Data'!H175,IFERROR(VALUE(SUBSTITUTE('Raw Data'!H175,",","")),""))</f>
        <v>42516</v>
      </c>
      <c r="I179" s="13">
        <f>IF(ISNUMBER('Raw Data'!I175),'Raw Data'!I175,IFERROR(VALUE(SUBSTITUTE('Raw Data'!I175,",","")),""))</f>
        <v>239</v>
      </c>
      <c r="J179" s="21">
        <f>IF(AND(ISNUMBER(tblClean[[#This Row],[Start Time]]),ISNUMBER(tblClean[[#This Row],[End Time]])),ROUND(MOD(tblClean[[#This Row],[End Time]]-tblClean[[#This Row],[Start Time]],1)*24,2),"")</f>
        <v>2.5</v>
      </c>
      <c r="K179" s="12">
        <f>IF(AND(ISNUMBER(tblClean[[#This Row],[Duration Hours]]),ISNUMBER(tblClean[[#This Row],[Attributed GMV PHP]])),IF(tblClean[[#This Row],[Duration Hours]]&gt;0,tblClean[[#This Row],[Attributed GMV PHP]]/tblClean[[#This Row],[Duration Hours]],""),"")</f>
        <v>6148.4</v>
      </c>
      <c r="L179" s="22">
        <f>IF(ISNUMBER(tblClean[[#This Row],[Date]]),DATE(YEAR(tblClean[[#This Row],[Date]]),MONTH(tblClean[[#This Row],[Date]]),1),"")</f>
        <v>45839</v>
      </c>
      <c r="M179" s="10">
        <f>IF(ISNUMBER(tblClean[[#This Row],[Date]]),tblClean[[#This Row],[Date]]-WEEKDAY(tblClean[[#This Row],[Date]],2)+1,"")</f>
        <v>45852</v>
      </c>
      <c r="N179" s="23">
        <f>IF(ISNUMBER(tblClean[[#This Row],[Week Start]]),(tblClean[[#This Row],[Week Start]]-MIN(tblClean[Week Start]))/7+1,"")</f>
        <v>7</v>
      </c>
      <c r="O179" s="24" t="str">
        <f>IF(ISNUMBER(tblClean[[#This Row],[Date]]),CHOOSE(WEEKDAY(tblClean[[#This Row],[Date]],2),"Mon","Tue","Wed","Thu","Fri","Sat","Sun"),"")</f>
        <v>Mon</v>
      </c>
      <c r="P179" s="24" t="str">
        <f>IF(ISNUMBER(tblClean[[#This Row],[Date]]),IF(WEEKDAY(tblClean[[#This Row],[Date]],2)&gt;=6,"Weekend","Weekday"),"")</f>
        <v>Weekday</v>
      </c>
      <c r="Q17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79" s="9" t="str">
        <f>IF(ISNUMBER(tblClean[[#This Row],[Duration Hours]]),IF(tblClean[[#This Row],[Duration Hours]]&lt;2,"Short (under 2h)",IF(tblClean[[#This Row],[Duration Hours]]&lt;3,"Standard (2h to under 3h)","Long (3h or more)")),"")</f>
        <v>Standard (2h to under 3h)</v>
      </c>
      <c r="S17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79" s="24">
        <f>IF(COUNTIF(tblClean[Session ID],tblClean[[#This Row],[Session ID]])&gt;1,1,0)</f>
        <v>0</v>
      </c>
      <c r="U179" s="24">
        <f>IF(OR(N(tblClean[[#This Row],[Attributed GMV PHP]])&lt;0,N(tblClean[[#This Row],[Items Sold]])&lt;0,N(tblClean[[#This Row],[Livestream Views]])&lt;0,N(tblClean[[#This Row],[New Followers]])&lt;0),1,0)</f>
        <v>0</v>
      </c>
      <c r="V179" s="24">
        <f>IF(ISNUMBER(tblClean[[#This Row],[Duration Hours]]),IF(OR(tblClean[[#This Row],[Duration Hours]]&lt;=0,tblClean[[#This Row],[Duration Hours]]&gt;12),1,0),1)</f>
        <v>0</v>
      </c>
      <c r="W179" s="24">
        <f>IF(COUNTIF(HostRoster,tblClean[[#This Row],[Host Name]])=0,1,0)</f>
        <v>0</v>
      </c>
      <c r="X179" s="24">
        <f>IF(tblClean[[#This Row],[Missing Flag]]+tblClean[[#This Row],[Duplicate Flag]]+tblClean[[#This Row],[Negative Flag]]+tblClean[[#This Row],[Duration Flag]]+tblClean[[#This Row],[Host Flag]]=0,1,0)</f>
        <v>1</v>
      </c>
    </row>
    <row r="180" spans="1:24" x14ac:dyDescent="0.3">
      <c r="A180" s="9" t="str">
        <f>TRIM('Raw Data'!A176)</f>
        <v>LS-0172</v>
      </c>
      <c r="B180" s="10">
        <f>IF(ISNUMBER('Raw Data'!B176),INT('Raw Data'!B176),IFERROR(DATEVALUE('Raw Data'!B176),""))</f>
        <v>45852</v>
      </c>
      <c r="C180" s="9" t="str">
        <f>PROPER(TRIM('Raw Data'!C176))</f>
        <v>Bianca Reyes</v>
      </c>
      <c r="D180" s="11">
        <f>IF(ISNUMBER('Raw Data'!D176),MOD('Raw Data'!D176,1),IFERROR(TIMEVALUE('Raw Data'!D176),""))</f>
        <v>0.79166666666666663</v>
      </c>
      <c r="E180" s="11">
        <f>IF(ISNUMBER('Raw Data'!E176),MOD('Raw Data'!E176,1),IFERROR(TIMEVALUE('Raw Data'!E176),""))</f>
        <v>0.875</v>
      </c>
      <c r="F180" s="12">
        <f>IF(ISNUMBER('Raw Data'!F176),'Raw Data'!F176,IFERROR(VALUE(SUBSTITUTE('Raw Data'!F176,",","")),""))</f>
        <v>33263</v>
      </c>
      <c r="G180" s="13">
        <f>IF(ISNUMBER('Raw Data'!G176),'Raw Data'!G176,IFERROR(VALUE(SUBSTITUTE('Raw Data'!G176,",","")),""))</f>
        <v>85</v>
      </c>
      <c r="H180" s="13">
        <f>IF(ISNUMBER('Raw Data'!H176),'Raw Data'!H176,IFERROR(VALUE(SUBSTITUTE('Raw Data'!H176,",","")),""))</f>
        <v>67924</v>
      </c>
      <c r="I180" s="13">
        <f>IF(ISNUMBER('Raw Data'!I176),'Raw Data'!I176,IFERROR(VALUE(SUBSTITUTE('Raw Data'!I176,",","")),""))</f>
        <v>716</v>
      </c>
      <c r="J180" s="21">
        <f>IF(AND(ISNUMBER(tblClean[[#This Row],[Start Time]]),ISNUMBER(tblClean[[#This Row],[End Time]])),ROUND(MOD(tblClean[[#This Row],[End Time]]-tblClean[[#This Row],[Start Time]],1)*24,2),"")</f>
        <v>2</v>
      </c>
      <c r="K180" s="12">
        <f>IF(AND(ISNUMBER(tblClean[[#This Row],[Duration Hours]]),ISNUMBER(tblClean[[#This Row],[Attributed GMV PHP]])),IF(tblClean[[#This Row],[Duration Hours]]&gt;0,tblClean[[#This Row],[Attributed GMV PHP]]/tblClean[[#This Row],[Duration Hours]],""),"")</f>
        <v>16631.5</v>
      </c>
      <c r="L180" s="22">
        <f>IF(ISNUMBER(tblClean[[#This Row],[Date]]),DATE(YEAR(tblClean[[#This Row],[Date]]),MONTH(tblClean[[#This Row],[Date]]),1),"")</f>
        <v>45839</v>
      </c>
      <c r="M180" s="10">
        <f>IF(ISNUMBER(tblClean[[#This Row],[Date]]),tblClean[[#This Row],[Date]]-WEEKDAY(tblClean[[#This Row],[Date]],2)+1,"")</f>
        <v>45852</v>
      </c>
      <c r="N180" s="23">
        <f>IF(ISNUMBER(tblClean[[#This Row],[Week Start]]),(tblClean[[#This Row],[Week Start]]-MIN(tblClean[Week Start]))/7+1,"")</f>
        <v>7</v>
      </c>
      <c r="O180" s="24" t="str">
        <f>IF(ISNUMBER(tblClean[[#This Row],[Date]]),CHOOSE(WEEKDAY(tblClean[[#This Row],[Date]],2),"Mon","Tue","Wed","Thu","Fri","Sat","Sun"),"")</f>
        <v>Mon</v>
      </c>
      <c r="P180" s="24" t="str">
        <f>IF(ISNUMBER(tblClean[[#This Row],[Date]]),IF(WEEKDAY(tblClean[[#This Row],[Date]],2)&gt;=6,"Weekend","Weekday"),"")</f>
        <v>Weekday</v>
      </c>
      <c r="Q18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80" s="9" t="str">
        <f>IF(ISNUMBER(tblClean[[#This Row],[Duration Hours]]),IF(tblClean[[#This Row],[Duration Hours]]&lt;2,"Short (under 2h)",IF(tblClean[[#This Row],[Duration Hours]]&lt;3,"Standard (2h to under 3h)","Long (3h or more)")),"")</f>
        <v>Standard (2h to under 3h)</v>
      </c>
      <c r="S18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80" s="24">
        <f>IF(COUNTIF(tblClean[Session ID],tblClean[[#This Row],[Session ID]])&gt;1,1,0)</f>
        <v>0</v>
      </c>
      <c r="U180" s="24">
        <f>IF(OR(N(tblClean[[#This Row],[Attributed GMV PHP]])&lt;0,N(tblClean[[#This Row],[Items Sold]])&lt;0,N(tblClean[[#This Row],[Livestream Views]])&lt;0,N(tblClean[[#This Row],[New Followers]])&lt;0),1,0)</f>
        <v>0</v>
      </c>
      <c r="V180" s="24">
        <f>IF(ISNUMBER(tblClean[[#This Row],[Duration Hours]]),IF(OR(tblClean[[#This Row],[Duration Hours]]&lt;=0,tblClean[[#This Row],[Duration Hours]]&gt;12),1,0),1)</f>
        <v>0</v>
      </c>
      <c r="W180" s="24">
        <f>IF(COUNTIF(HostRoster,tblClean[[#This Row],[Host Name]])=0,1,0)</f>
        <v>0</v>
      </c>
      <c r="X180" s="24">
        <f>IF(tblClean[[#This Row],[Missing Flag]]+tblClean[[#This Row],[Duplicate Flag]]+tblClean[[#This Row],[Negative Flag]]+tblClean[[#This Row],[Duration Flag]]+tblClean[[#This Row],[Host Flag]]=0,1,0)</f>
        <v>1</v>
      </c>
    </row>
    <row r="181" spans="1:24" x14ac:dyDescent="0.3">
      <c r="A181" s="9" t="str">
        <f>TRIM('Raw Data'!A177)</f>
        <v>LS-0173</v>
      </c>
      <c r="B181" s="10">
        <f>IF(ISNUMBER('Raw Data'!B177),INT('Raw Data'!B177),IFERROR(DATEVALUE('Raw Data'!B177),""))</f>
        <v>45852</v>
      </c>
      <c r="C181" s="9" t="str">
        <f>PROPER(TRIM('Raw Data'!C177))</f>
        <v>Elise Navarro</v>
      </c>
      <c r="D181" s="11">
        <f>IF(ISNUMBER('Raw Data'!D177),MOD('Raw Data'!D177,1),IFERROR(TIMEVALUE('Raw Data'!D177),""))</f>
        <v>0.91666666666666663</v>
      </c>
      <c r="E181" s="11">
        <f>IF(ISNUMBER('Raw Data'!E177),MOD('Raw Data'!E177,1),IFERROR(TIMEVALUE('Raw Data'!E177),""))</f>
        <v>0.97916666666666663</v>
      </c>
      <c r="F181" s="12">
        <f>IF(ISNUMBER('Raw Data'!F177),'Raw Data'!F177,IFERROR(VALUE(SUBSTITUTE('Raw Data'!F177,",","")),""))</f>
        <v>16451</v>
      </c>
      <c r="G181" s="13">
        <f>IF(ISNUMBER('Raw Data'!G177),'Raw Data'!G177,IFERROR(VALUE(SUBSTITUTE('Raw Data'!G177,",","")),""))</f>
        <v>43</v>
      </c>
      <c r="H181" s="13">
        <f>IF(ISNUMBER('Raw Data'!H177),'Raw Data'!H177,IFERROR(VALUE(SUBSTITUTE('Raw Data'!H177,",","")),""))</f>
        <v>56436</v>
      </c>
      <c r="I181" s="13">
        <f>IF(ISNUMBER('Raw Data'!I177),'Raw Data'!I177,IFERROR(VALUE(SUBSTITUTE('Raw Data'!I177,",","")),""))</f>
        <v>426</v>
      </c>
      <c r="J181" s="21">
        <f>IF(AND(ISNUMBER(tblClean[[#This Row],[Start Time]]),ISNUMBER(tblClean[[#This Row],[End Time]])),ROUND(MOD(tblClean[[#This Row],[End Time]]-tblClean[[#This Row],[Start Time]],1)*24,2),"")</f>
        <v>1.5</v>
      </c>
      <c r="K181" s="12">
        <f>IF(AND(ISNUMBER(tblClean[[#This Row],[Duration Hours]]),ISNUMBER(tblClean[[#This Row],[Attributed GMV PHP]])),IF(tblClean[[#This Row],[Duration Hours]]&gt;0,tblClean[[#This Row],[Attributed GMV PHP]]/tblClean[[#This Row],[Duration Hours]],""),"")</f>
        <v>10967.333333333334</v>
      </c>
      <c r="L181" s="22">
        <f>IF(ISNUMBER(tblClean[[#This Row],[Date]]),DATE(YEAR(tblClean[[#This Row],[Date]]),MONTH(tblClean[[#This Row],[Date]]),1),"")</f>
        <v>45839</v>
      </c>
      <c r="M181" s="10">
        <f>IF(ISNUMBER(tblClean[[#This Row],[Date]]),tblClean[[#This Row],[Date]]-WEEKDAY(tblClean[[#This Row],[Date]],2)+1,"")</f>
        <v>45852</v>
      </c>
      <c r="N181" s="23">
        <f>IF(ISNUMBER(tblClean[[#This Row],[Week Start]]),(tblClean[[#This Row],[Week Start]]-MIN(tblClean[Week Start]))/7+1,"")</f>
        <v>7</v>
      </c>
      <c r="O181" s="24" t="str">
        <f>IF(ISNUMBER(tblClean[[#This Row],[Date]]),CHOOSE(WEEKDAY(tblClean[[#This Row],[Date]],2),"Mon","Tue","Wed","Thu","Fri","Sat","Sun"),"")</f>
        <v>Mon</v>
      </c>
      <c r="P181" s="24" t="str">
        <f>IF(ISNUMBER(tblClean[[#This Row],[Date]]),IF(WEEKDAY(tblClean[[#This Row],[Date]],2)&gt;=6,"Weekend","Weekday"),"")</f>
        <v>Weekday</v>
      </c>
      <c r="Q18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81" s="9" t="str">
        <f>IF(ISNUMBER(tblClean[[#This Row],[Duration Hours]]),IF(tblClean[[#This Row],[Duration Hours]]&lt;2,"Short (under 2h)",IF(tblClean[[#This Row],[Duration Hours]]&lt;3,"Standard (2h to under 3h)","Long (3h or more)")),"")</f>
        <v>Short (under 2h)</v>
      </c>
      <c r="S18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81" s="24">
        <f>IF(COUNTIF(tblClean[Session ID],tblClean[[#This Row],[Session ID]])&gt;1,1,0)</f>
        <v>0</v>
      </c>
      <c r="U181" s="24">
        <f>IF(OR(N(tblClean[[#This Row],[Attributed GMV PHP]])&lt;0,N(tblClean[[#This Row],[Items Sold]])&lt;0,N(tblClean[[#This Row],[Livestream Views]])&lt;0,N(tblClean[[#This Row],[New Followers]])&lt;0),1,0)</f>
        <v>0</v>
      </c>
      <c r="V181" s="24">
        <f>IF(ISNUMBER(tblClean[[#This Row],[Duration Hours]]),IF(OR(tblClean[[#This Row],[Duration Hours]]&lt;=0,tblClean[[#This Row],[Duration Hours]]&gt;12),1,0),1)</f>
        <v>0</v>
      </c>
      <c r="W181" s="24">
        <f>IF(COUNTIF(HostRoster,tblClean[[#This Row],[Host Name]])=0,1,0)</f>
        <v>0</v>
      </c>
      <c r="X181" s="24">
        <f>IF(tblClean[[#This Row],[Missing Flag]]+tblClean[[#This Row],[Duplicate Flag]]+tblClean[[#This Row],[Negative Flag]]+tblClean[[#This Row],[Duration Flag]]+tblClean[[#This Row],[Host Flag]]=0,1,0)</f>
        <v>1</v>
      </c>
    </row>
    <row r="182" spans="1:24" x14ac:dyDescent="0.3">
      <c r="A182" s="9" t="str">
        <f>TRIM('Raw Data'!A178)</f>
        <v>LS-0174</v>
      </c>
      <c r="B182" s="10">
        <f>IF(ISNUMBER('Raw Data'!B178),INT('Raw Data'!B178),IFERROR(DATEVALUE('Raw Data'!B178),""))</f>
        <v>45853</v>
      </c>
      <c r="C182" s="9" t="str">
        <f>PROPER(TRIM('Raw Data'!C178))</f>
        <v>Dani Villanueva</v>
      </c>
      <c r="D182" s="11">
        <f>IF(ISNUMBER('Raw Data'!D178),MOD('Raw Data'!D178,1),IFERROR(TIMEVALUE('Raw Data'!D178),""))</f>
        <v>0.54166666666666663</v>
      </c>
      <c r="E182" s="11">
        <f>IF(ISNUMBER('Raw Data'!E178),MOD('Raw Data'!E178,1),IFERROR(TIMEVALUE('Raw Data'!E178),""))</f>
        <v>0.66666666666666663</v>
      </c>
      <c r="F182" s="12">
        <f>IF(ISNUMBER('Raw Data'!F178),'Raw Data'!F178,IFERROR(VALUE(SUBSTITUTE('Raw Data'!F178,",","")),""))</f>
        <v>9271</v>
      </c>
      <c r="G182" s="13">
        <f>IF(ISNUMBER('Raw Data'!G178),'Raw Data'!G178,IFERROR(VALUE(SUBSTITUTE('Raw Data'!G178,",","")),""))</f>
        <v>27</v>
      </c>
      <c r="H182" s="13">
        <f>IF(ISNUMBER('Raw Data'!H178),'Raw Data'!H178,IFERROR(VALUE(SUBSTITUTE('Raw Data'!H178,",","")),""))</f>
        <v>28557</v>
      </c>
      <c r="I182" s="13">
        <f>IF(ISNUMBER('Raw Data'!I178),'Raw Data'!I178,IFERROR(VALUE(SUBSTITUTE('Raw Data'!I178,",","")),""))</f>
        <v>138</v>
      </c>
      <c r="J182" s="21">
        <f>IF(AND(ISNUMBER(tblClean[[#This Row],[Start Time]]),ISNUMBER(tblClean[[#This Row],[End Time]])),ROUND(MOD(tblClean[[#This Row],[End Time]]-tblClean[[#This Row],[Start Time]],1)*24,2),"")</f>
        <v>3</v>
      </c>
      <c r="K182" s="12">
        <f>IF(AND(ISNUMBER(tblClean[[#This Row],[Duration Hours]]),ISNUMBER(tblClean[[#This Row],[Attributed GMV PHP]])),IF(tblClean[[#This Row],[Duration Hours]]&gt;0,tblClean[[#This Row],[Attributed GMV PHP]]/tblClean[[#This Row],[Duration Hours]],""),"")</f>
        <v>3090.3333333333335</v>
      </c>
      <c r="L182" s="22">
        <f>IF(ISNUMBER(tblClean[[#This Row],[Date]]),DATE(YEAR(tblClean[[#This Row],[Date]]),MONTH(tblClean[[#This Row],[Date]]),1),"")</f>
        <v>45839</v>
      </c>
      <c r="M182" s="10">
        <f>IF(ISNUMBER(tblClean[[#This Row],[Date]]),tblClean[[#This Row],[Date]]-WEEKDAY(tblClean[[#This Row],[Date]],2)+1,"")</f>
        <v>45852</v>
      </c>
      <c r="N182" s="23">
        <f>IF(ISNUMBER(tblClean[[#This Row],[Week Start]]),(tblClean[[#This Row],[Week Start]]-MIN(tblClean[Week Start]))/7+1,"")</f>
        <v>7</v>
      </c>
      <c r="O182" s="24" t="str">
        <f>IF(ISNUMBER(tblClean[[#This Row],[Date]]),CHOOSE(WEEKDAY(tblClean[[#This Row],[Date]],2),"Mon","Tue","Wed","Thu","Fri","Sat","Sun"),"")</f>
        <v>Tue</v>
      </c>
      <c r="P182" s="24" t="str">
        <f>IF(ISNUMBER(tblClean[[#This Row],[Date]]),IF(WEEKDAY(tblClean[[#This Row],[Date]],2)&gt;=6,"Weekend","Weekday"),"")</f>
        <v>Weekday</v>
      </c>
      <c r="Q18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82" s="9" t="str">
        <f>IF(ISNUMBER(tblClean[[#This Row],[Duration Hours]]),IF(tblClean[[#This Row],[Duration Hours]]&lt;2,"Short (under 2h)",IF(tblClean[[#This Row],[Duration Hours]]&lt;3,"Standard (2h to under 3h)","Long (3h or more)")),"")</f>
        <v>Long (3h or more)</v>
      </c>
      <c r="S18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82" s="24">
        <f>IF(COUNTIF(tblClean[Session ID],tblClean[[#This Row],[Session ID]])&gt;1,1,0)</f>
        <v>0</v>
      </c>
      <c r="U182" s="24">
        <f>IF(OR(N(tblClean[[#This Row],[Attributed GMV PHP]])&lt;0,N(tblClean[[#This Row],[Items Sold]])&lt;0,N(tblClean[[#This Row],[Livestream Views]])&lt;0,N(tblClean[[#This Row],[New Followers]])&lt;0),1,0)</f>
        <v>0</v>
      </c>
      <c r="V182" s="24">
        <f>IF(ISNUMBER(tblClean[[#This Row],[Duration Hours]]),IF(OR(tblClean[[#This Row],[Duration Hours]]&lt;=0,tblClean[[#This Row],[Duration Hours]]&gt;12),1,0),1)</f>
        <v>0</v>
      </c>
      <c r="W182" s="24">
        <f>IF(COUNTIF(HostRoster,tblClean[[#This Row],[Host Name]])=0,1,0)</f>
        <v>0</v>
      </c>
      <c r="X182" s="24">
        <f>IF(tblClean[[#This Row],[Missing Flag]]+tblClean[[#This Row],[Duplicate Flag]]+tblClean[[#This Row],[Negative Flag]]+tblClean[[#This Row],[Duration Flag]]+tblClean[[#This Row],[Host Flag]]=0,1,0)</f>
        <v>1</v>
      </c>
    </row>
    <row r="183" spans="1:24" x14ac:dyDescent="0.3">
      <c r="A183" s="9" t="str">
        <f>TRIM('Raw Data'!A179)</f>
        <v>LS-0175</v>
      </c>
      <c r="B183" s="10">
        <f>IF(ISNUMBER('Raw Data'!B179),INT('Raw Data'!B179),IFERROR(DATEVALUE('Raw Data'!B179),""))</f>
        <v>45853</v>
      </c>
      <c r="C183" s="9" t="str">
        <f>PROPER(TRIM('Raw Data'!C179))</f>
        <v>Dani Villanueva</v>
      </c>
      <c r="D183" s="11">
        <f>IF(ISNUMBER('Raw Data'!D179),MOD('Raw Data'!D179,1),IFERROR(TIMEVALUE('Raw Data'!D179),""))</f>
        <v>0.66666666666666663</v>
      </c>
      <c r="E183" s="11">
        <f>IF(ISNUMBER('Raw Data'!E179),MOD('Raw Data'!E179,1),IFERROR(TIMEVALUE('Raw Data'!E179),""))</f>
        <v>0.72916666666666663</v>
      </c>
      <c r="F183" s="12">
        <f>IF(ISNUMBER('Raw Data'!F179),'Raw Data'!F179,IFERROR(VALUE(SUBSTITUTE('Raw Data'!F179,",","")),""))</f>
        <v>10446</v>
      </c>
      <c r="G183" s="13">
        <f>IF(ISNUMBER('Raw Data'!G179),'Raw Data'!G179,IFERROR(VALUE(SUBSTITUTE('Raw Data'!G179,",","")),""))</f>
        <v>30</v>
      </c>
      <c r="H183" s="13">
        <f>IF(ISNUMBER('Raw Data'!H179),'Raw Data'!H179,IFERROR(VALUE(SUBSTITUTE('Raw Data'!H179,",","")),""))</f>
        <v>37359</v>
      </c>
      <c r="I183" s="13">
        <f>IF(ISNUMBER('Raw Data'!I179),'Raw Data'!I179,IFERROR(VALUE(SUBSTITUTE('Raw Data'!I179,",","")),""))</f>
        <v>406</v>
      </c>
      <c r="J183" s="21">
        <f>IF(AND(ISNUMBER(tblClean[[#This Row],[Start Time]]),ISNUMBER(tblClean[[#This Row],[End Time]])),ROUND(MOD(tblClean[[#This Row],[End Time]]-tblClean[[#This Row],[Start Time]],1)*24,2),"")</f>
        <v>1.5</v>
      </c>
      <c r="K183" s="12">
        <f>IF(AND(ISNUMBER(tblClean[[#This Row],[Duration Hours]]),ISNUMBER(tblClean[[#This Row],[Attributed GMV PHP]])),IF(tblClean[[#This Row],[Duration Hours]]&gt;0,tblClean[[#This Row],[Attributed GMV PHP]]/tblClean[[#This Row],[Duration Hours]],""),"")</f>
        <v>6964</v>
      </c>
      <c r="L183" s="22">
        <f>IF(ISNUMBER(tblClean[[#This Row],[Date]]),DATE(YEAR(tblClean[[#This Row],[Date]]),MONTH(tblClean[[#This Row],[Date]]),1),"")</f>
        <v>45839</v>
      </c>
      <c r="M183" s="10">
        <f>IF(ISNUMBER(tblClean[[#This Row],[Date]]),tblClean[[#This Row],[Date]]-WEEKDAY(tblClean[[#This Row],[Date]],2)+1,"")</f>
        <v>45852</v>
      </c>
      <c r="N183" s="23">
        <f>IF(ISNUMBER(tblClean[[#This Row],[Week Start]]),(tblClean[[#This Row],[Week Start]]-MIN(tblClean[Week Start]))/7+1,"")</f>
        <v>7</v>
      </c>
      <c r="O183" s="24" t="str">
        <f>IF(ISNUMBER(tblClean[[#This Row],[Date]]),CHOOSE(WEEKDAY(tblClean[[#This Row],[Date]],2),"Mon","Tue","Wed","Thu","Fri","Sat","Sun"),"")</f>
        <v>Tue</v>
      </c>
      <c r="P183" s="24" t="str">
        <f>IF(ISNUMBER(tblClean[[#This Row],[Date]]),IF(WEEKDAY(tblClean[[#This Row],[Date]],2)&gt;=6,"Weekend","Weekday"),"")</f>
        <v>Weekday</v>
      </c>
      <c r="Q18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83" s="9" t="str">
        <f>IF(ISNUMBER(tblClean[[#This Row],[Duration Hours]]),IF(tblClean[[#This Row],[Duration Hours]]&lt;2,"Short (under 2h)",IF(tblClean[[#This Row],[Duration Hours]]&lt;3,"Standard (2h to under 3h)","Long (3h or more)")),"")</f>
        <v>Short (under 2h)</v>
      </c>
      <c r="S18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83" s="24">
        <f>IF(COUNTIF(tblClean[Session ID],tblClean[[#This Row],[Session ID]])&gt;1,1,0)</f>
        <v>0</v>
      </c>
      <c r="U183" s="24">
        <f>IF(OR(N(tblClean[[#This Row],[Attributed GMV PHP]])&lt;0,N(tblClean[[#This Row],[Items Sold]])&lt;0,N(tblClean[[#This Row],[Livestream Views]])&lt;0,N(tblClean[[#This Row],[New Followers]])&lt;0),1,0)</f>
        <v>0</v>
      </c>
      <c r="V183" s="24">
        <f>IF(ISNUMBER(tblClean[[#This Row],[Duration Hours]]),IF(OR(tblClean[[#This Row],[Duration Hours]]&lt;=0,tblClean[[#This Row],[Duration Hours]]&gt;12),1,0),1)</f>
        <v>0</v>
      </c>
      <c r="W183" s="24">
        <f>IF(COUNTIF(HostRoster,tblClean[[#This Row],[Host Name]])=0,1,0)</f>
        <v>0</v>
      </c>
      <c r="X183" s="24">
        <f>IF(tblClean[[#This Row],[Missing Flag]]+tblClean[[#This Row],[Duplicate Flag]]+tblClean[[#This Row],[Negative Flag]]+tblClean[[#This Row],[Duration Flag]]+tblClean[[#This Row],[Host Flag]]=0,1,0)</f>
        <v>1</v>
      </c>
    </row>
    <row r="184" spans="1:24" x14ac:dyDescent="0.3">
      <c r="A184" s="9" t="str">
        <f>TRIM('Raw Data'!A180)</f>
        <v>LS-0176</v>
      </c>
      <c r="B184" s="10">
        <f>IF(ISNUMBER('Raw Data'!B180),INT('Raw Data'!B180),IFERROR(DATEVALUE('Raw Data'!B180),""))</f>
        <v>45853</v>
      </c>
      <c r="C184" s="9" t="str">
        <f>PROPER(TRIM('Raw Data'!C180))</f>
        <v>Aira Valdez</v>
      </c>
      <c r="D184" s="11">
        <f>IF(ISNUMBER('Raw Data'!D180),MOD('Raw Data'!D180,1),IFERROR(TIMEVALUE('Raw Data'!D180),""))</f>
        <v>0.79166666666666663</v>
      </c>
      <c r="E184" s="11">
        <f>IF(ISNUMBER('Raw Data'!E180),MOD('Raw Data'!E180,1),IFERROR(TIMEVALUE('Raw Data'!E180),""))</f>
        <v>0.875</v>
      </c>
      <c r="F184" s="12">
        <f>IF(ISNUMBER('Raw Data'!F180),'Raw Data'!F180,IFERROR(VALUE(SUBSTITUTE('Raw Data'!F180,",","")),""))</f>
        <v>50327</v>
      </c>
      <c r="G184" s="13">
        <f>IF(ISNUMBER('Raw Data'!G180),'Raw Data'!G180,IFERROR(VALUE(SUBSTITUTE('Raw Data'!G180,",","")),""))</f>
        <v>149</v>
      </c>
      <c r="H184" s="13">
        <f>IF(ISNUMBER('Raw Data'!H180),'Raw Data'!H180,IFERROR(VALUE(SUBSTITUTE('Raw Data'!H180,",","")),""))</f>
        <v>193755</v>
      </c>
      <c r="I184" s="13">
        <f>IF(ISNUMBER('Raw Data'!I180),'Raw Data'!I180,IFERROR(VALUE(SUBSTITUTE('Raw Data'!I180,",","")),""))</f>
        <v>1624</v>
      </c>
      <c r="J184" s="21">
        <f>IF(AND(ISNUMBER(tblClean[[#This Row],[Start Time]]),ISNUMBER(tblClean[[#This Row],[End Time]])),ROUND(MOD(tblClean[[#This Row],[End Time]]-tblClean[[#This Row],[Start Time]],1)*24,2),"")</f>
        <v>2</v>
      </c>
      <c r="K184" s="12">
        <f>IF(AND(ISNUMBER(tblClean[[#This Row],[Duration Hours]]),ISNUMBER(tblClean[[#This Row],[Attributed GMV PHP]])),IF(tblClean[[#This Row],[Duration Hours]]&gt;0,tblClean[[#This Row],[Attributed GMV PHP]]/tblClean[[#This Row],[Duration Hours]],""),"")</f>
        <v>25163.5</v>
      </c>
      <c r="L184" s="22">
        <f>IF(ISNUMBER(tblClean[[#This Row],[Date]]),DATE(YEAR(tblClean[[#This Row],[Date]]),MONTH(tblClean[[#This Row],[Date]]),1),"")</f>
        <v>45839</v>
      </c>
      <c r="M184" s="10">
        <f>IF(ISNUMBER(tblClean[[#This Row],[Date]]),tblClean[[#This Row],[Date]]-WEEKDAY(tblClean[[#This Row],[Date]],2)+1,"")</f>
        <v>45852</v>
      </c>
      <c r="N184" s="23">
        <f>IF(ISNUMBER(tblClean[[#This Row],[Week Start]]),(tblClean[[#This Row],[Week Start]]-MIN(tblClean[Week Start]))/7+1,"")</f>
        <v>7</v>
      </c>
      <c r="O184" s="24" t="str">
        <f>IF(ISNUMBER(tblClean[[#This Row],[Date]]),CHOOSE(WEEKDAY(tblClean[[#This Row],[Date]],2),"Mon","Tue","Wed","Thu","Fri","Sat","Sun"),"")</f>
        <v>Tue</v>
      </c>
      <c r="P184" s="24" t="str">
        <f>IF(ISNUMBER(tblClean[[#This Row],[Date]]),IF(WEEKDAY(tblClean[[#This Row],[Date]],2)&gt;=6,"Weekend","Weekday"),"")</f>
        <v>Weekday</v>
      </c>
      <c r="Q18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84" s="9" t="str">
        <f>IF(ISNUMBER(tblClean[[#This Row],[Duration Hours]]),IF(tblClean[[#This Row],[Duration Hours]]&lt;2,"Short (under 2h)",IF(tblClean[[#This Row],[Duration Hours]]&lt;3,"Standard (2h to under 3h)","Long (3h or more)")),"")</f>
        <v>Standard (2h to under 3h)</v>
      </c>
      <c r="S18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84" s="24">
        <f>IF(COUNTIF(tblClean[Session ID],tblClean[[#This Row],[Session ID]])&gt;1,1,0)</f>
        <v>0</v>
      </c>
      <c r="U184" s="24">
        <f>IF(OR(N(tblClean[[#This Row],[Attributed GMV PHP]])&lt;0,N(tblClean[[#This Row],[Items Sold]])&lt;0,N(tblClean[[#This Row],[Livestream Views]])&lt;0,N(tblClean[[#This Row],[New Followers]])&lt;0),1,0)</f>
        <v>0</v>
      </c>
      <c r="V184" s="24">
        <f>IF(ISNUMBER(tblClean[[#This Row],[Duration Hours]]),IF(OR(tblClean[[#This Row],[Duration Hours]]&lt;=0,tblClean[[#This Row],[Duration Hours]]&gt;12),1,0),1)</f>
        <v>0</v>
      </c>
      <c r="W184" s="24">
        <f>IF(COUNTIF(HostRoster,tblClean[[#This Row],[Host Name]])=0,1,0)</f>
        <v>0</v>
      </c>
      <c r="X184" s="24">
        <f>IF(tblClean[[#This Row],[Missing Flag]]+tblClean[[#This Row],[Duplicate Flag]]+tblClean[[#This Row],[Negative Flag]]+tblClean[[#This Row],[Duration Flag]]+tblClean[[#This Row],[Host Flag]]=0,1,0)</f>
        <v>1</v>
      </c>
    </row>
    <row r="185" spans="1:24" x14ac:dyDescent="0.3">
      <c r="A185" s="9" t="str">
        <f>TRIM('Raw Data'!A181)</f>
        <v>LS-0177</v>
      </c>
      <c r="B185" s="10">
        <f>IF(ISNUMBER('Raw Data'!B181),INT('Raw Data'!B181),IFERROR(DATEVALUE('Raw Data'!B181),""))</f>
        <v>45853</v>
      </c>
      <c r="C185" s="9" t="str">
        <f>PROPER(TRIM('Raw Data'!C181))</f>
        <v>Dani Villanueva</v>
      </c>
      <c r="D185" s="11">
        <f>IF(ISNUMBER('Raw Data'!D181),MOD('Raw Data'!D181,1),IFERROR(TIMEVALUE('Raw Data'!D181),""))</f>
        <v>0.91666666666666663</v>
      </c>
      <c r="E185" s="11">
        <f>IF(ISNUMBER('Raw Data'!E181),MOD('Raw Data'!E181,1),IFERROR(TIMEVALUE('Raw Data'!E181),""))</f>
        <v>0</v>
      </c>
      <c r="F185" s="12">
        <f>IF(ISNUMBER('Raw Data'!F181),'Raw Data'!F181,IFERROR(VALUE(SUBSTITUTE('Raw Data'!F181,",","")),""))</f>
        <v>13671</v>
      </c>
      <c r="G185" s="13">
        <f>IF(ISNUMBER('Raw Data'!G181),'Raw Data'!G181,IFERROR(VALUE(SUBSTITUTE('Raw Data'!G181,",","")),""))</f>
        <v>41</v>
      </c>
      <c r="H185" s="13">
        <f>IF(ISNUMBER('Raw Data'!H181),'Raw Data'!H181,IFERROR(VALUE(SUBSTITUTE('Raw Data'!H181,",","")),""))</f>
        <v>63109</v>
      </c>
      <c r="I185" s="13">
        <f>IF(ISNUMBER('Raw Data'!I181),'Raw Data'!I181,IFERROR(VALUE(SUBSTITUTE('Raw Data'!I181,",","")),""))</f>
        <v>751</v>
      </c>
      <c r="J185" s="21">
        <f>IF(AND(ISNUMBER(tblClean[[#This Row],[Start Time]]),ISNUMBER(tblClean[[#This Row],[End Time]])),ROUND(MOD(tblClean[[#This Row],[End Time]]-tblClean[[#This Row],[Start Time]],1)*24,2),"")</f>
        <v>2</v>
      </c>
      <c r="K185" s="12">
        <f>IF(AND(ISNUMBER(tblClean[[#This Row],[Duration Hours]]),ISNUMBER(tblClean[[#This Row],[Attributed GMV PHP]])),IF(tblClean[[#This Row],[Duration Hours]]&gt;0,tblClean[[#This Row],[Attributed GMV PHP]]/tblClean[[#This Row],[Duration Hours]],""),"")</f>
        <v>6835.5</v>
      </c>
      <c r="L185" s="22">
        <f>IF(ISNUMBER(tblClean[[#This Row],[Date]]),DATE(YEAR(tblClean[[#This Row],[Date]]),MONTH(tblClean[[#This Row],[Date]]),1),"")</f>
        <v>45839</v>
      </c>
      <c r="M185" s="10">
        <f>IF(ISNUMBER(tblClean[[#This Row],[Date]]),tblClean[[#This Row],[Date]]-WEEKDAY(tblClean[[#This Row],[Date]],2)+1,"")</f>
        <v>45852</v>
      </c>
      <c r="N185" s="23">
        <f>IF(ISNUMBER(tblClean[[#This Row],[Week Start]]),(tblClean[[#This Row],[Week Start]]-MIN(tblClean[Week Start]))/7+1,"")</f>
        <v>7</v>
      </c>
      <c r="O185" s="24" t="str">
        <f>IF(ISNUMBER(tblClean[[#This Row],[Date]]),CHOOSE(WEEKDAY(tblClean[[#This Row],[Date]],2),"Mon","Tue","Wed","Thu","Fri","Sat","Sun"),"")</f>
        <v>Tue</v>
      </c>
      <c r="P185" s="24" t="str">
        <f>IF(ISNUMBER(tblClean[[#This Row],[Date]]),IF(WEEKDAY(tblClean[[#This Row],[Date]],2)&gt;=6,"Weekend","Weekday"),"")</f>
        <v>Weekday</v>
      </c>
      <c r="Q18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85" s="9" t="str">
        <f>IF(ISNUMBER(tblClean[[#This Row],[Duration Hours]]),IF(tblClean[[#This Row],[Duration Hours]]&lt;2,"Short (under 2h)",IF(tblClean[[#This Row],[Duration Hours]]&lt;3,"Standard (2h to under 3h)","Long (3h or more)")),"")</f>
        <v>Standard (2h to under 3h)</v>
      </c>
      <c r="S18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85" s="24">
        <f>IF(COUNTIF(tblClean[Session ID],tblClean[[#This Row],[Session ID]])&gt;1,1,0)</f>
        <v>0</v>
      </c>
      <c r="U185" s="24">
        <f>IF(OR(N(tblClean[[#This Row],[Attributed GMV PHP]])&lt;0,N(tblClean[[#This Row],[Items Sold]])&lt;0,N(tblClean[[#This Row],[Livestream Views]])&lt;0,N(tblClean[[#This Row],[New Followers]])&lt;0),1,0)</f>
        <v>0</v>
      </c>
      <c r="V185" s="24">
        <f>IF(ISNUMBER(tblClean[[#This Row],[Duration Hours]]),IF(OR(tblClean[[#This Row],[Duration Hours]]&lt;=0,tblClean[[#This Row],[Duration Hours]]&gt;12),1,0),1)</f>
        <v>0</v>
      </c>
      <c r="W185" s="24">
        <f>IF(COUNTIF(HostRoster,tblClean[[#This Row],[Host Name]])=0,1,0)</f>
        <v>0</v>
      </c>
      <c r="X185" s="24">
        <f>IF(tblClean[[#This Row],[Missing Flag]]+tblClean[[#This Row],[Duplicate Flag]]+tblClean[[#This Row],[Negative Flag]]+tblClean[[#This Row],[Duration Flag]]+tblClean[[#This Row],[Host Flag]]=0,1,0)</f>
        <v>1</v>
      </c>
    </row>
    <row r="186" spans="1:24" x14ac:dyDescent="0.3">
      <c r="A186" s="9" t="str">
        <f>TRIM('Raw Data'!A182)</f>
        <v>LS-0178</v>
      </c>
      <c r="B186" s="10">
        <f>IF(ISNUMBER('Raw Data'!B182),INT('Raw Data'!B182),IFERROR(DATEVALUE('Raw Data'!B182),""))</f>
        <v>45854</v>
      </c>
      <c r="C186" s="9" t="str">
        <f>PROPER(TRIM('Raw Data'!C182))</f>
        <v>Carlo Mendoza</v>
      </c>
      <c r="D186" s="11">
        <f>IF(ISNUMBER('Raw Data'!D182),MOD('Raw Data'!D182,1),IFERROR(TIMEVALUE('Raw Data'!D182),""))</f>
        <v>0.66666666666666663</v>
      </c>
      <c r="E186" s="11">
        <f>IF(ISNUMBER('Raw Data'!E182),MOD('Raw Data'!E182,1),IFERROR(TIMEVALUE('Raw Data'!E182),""))</f>
        <v>0.75</v>
      </c>
      <c r="F186" s="12">
        <f>IF(ISNUMBER('Raw Data'!F182),'Raw Data'!F182,IFERROR(VALUE(SUBSTITUTE('Raw Data'!F182,",","")),""))</f>
        <v>34743</v>
      </c>
      <c r="G186" s="13">
        <f>IF(ISNUMBER('Raw Data'!G182),'Raw Data'!G182,IFERROR(VALUE(SUBSTITUTE('Raw Data'!G182,",","")),""))</f>
        <v>101</v>
      </c>
      <c r="H186" s="13">
        <f>IF(ISNUMBER('Raw Data'!H182),'Raw Data'!H182,IFERROR(VALUE(SUBSTITUTE('Raw Data'!H182,",","")),""))</f>
        <v>108330</v>
      </c>
      <c r="I186" s="13">
        <f>IF(ISNUMBER('Raw Data'!I182),'Raw Data'!I182,IFERROR(VALUE(SUBSTITUTE('Raw Data'!I182,",","")),""))</f>
        <v>676</v>
      </c>
      <c r="J186" s="21">
        <f>IF(AND(ISNUMBER(tblClean[[#This Row],[Start Time]]),ISNUMBER(tblClean[[#This Row],[End Time]])),ROUND(MOD(tblClean[[#This Row],[End Time]]-tblClean[[#This Row],[Start Time]],1)*24,2),"")</f>
        <v>2</v>
      </c>
      <c r="K186" s="12">
        <f>IF(AND(ISNUMBER(tblClean[[#This Row],[Duration Hours]]),ISNUMBER(tblClean[[#This Row],[Attributed GMV PHP]])),IF(tblClean[[#This Row],[Duration Hours]]&gt;0,tblClean[[#This Row],[Attributed GMV PHP]]/tblClean[[#This Row],[Duration Hours]],""),"")</f>
        <v>17371.5</v>
      </c>
      <c r="L186" s="22">
        <f>IF(ISNUMBER(tblClean[[#This Row],[Date]]),DATE(YEAR(tblClean[[#This Row],[Date]]),MONTH(tblClean[[#This Row],[Date]]),1),"")</f>
        <v>45839</v>
      </c>
      <c r="M186" s="10">
        <f>IF(ISNUMBER(tblClean[[#This Row],[Date]]),tblClean[[#This Row],[Date]]-WEEKDAY(tblClean[[#This Row],[Date]],2)+1,"")</f>
        <v>45852</v>
      </c>
      <c r="N186" s="23">
        <f>IF(ISNUMBER(tblClean[[#This Row],[Week Start]]),(tblClean[[#This Row],[Week Start]]-MIN(tblClean[Week Start]))/7+1,"")</f>
        <v>7</v>
      </c>
      <c r="O186" s="24" t="str">
        <f>IF(ISNUMBER(tblClean[[#This Row],[Date]]),CHOOSE(WEEKDAY(tblClean[[#This Row],[Date]],2),"Mon","Tue","Wed","Thu","Fri","Sat","Sun"),"")</f>
        <v>Wed</v>
      </c>
      <c r="P186" s="24" t="str">
        <f>IF(ISNUMBER(tblClean[[#This Row],[Date]]),IF(WEEKDAY(tblClean[[#This Row],[Date]],2)&gt;=6,"Weekend","Weekday"),"")</f>
        <v>Weekday</v>
      </c>
      <c r="Q18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86" s="9" t="str">
        <f>IF(ISNUMBER(tblClean[[#This Row],[Duration Hours]]),IF(tblClean[[#This Row],[Duration Hours]]&lt;2,"Short (under 2h)",IF(tblClean[[#This Row],[Duration Hours]]&lt;3,"Standard (2h to under 3h)","Long (3h or more)")),"")</f>
        <v>Standard (2h to under 3h)</v>
      </c>
      <c r="S18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86" s="24">
        <f>IF(COUNTIF(tblClean[Session ID],tblClean[[#This Row],[Session ID]])&gt;1,1,0)</f>
        <v>0</v>
      </c>
      <c r="U186" s="24">
        <f>IF(OR(N(tblClean[[#This Row],[Attributed GMV PHP]])&lt;0,N(tblClean[[#This Row],[Items Sold]])&lt;0,N(tblClean[[#This Row],[Livestream Views]])&lt;0,N(tblClean[[#This Row],[New Followers]])&lt;0),1,0)</f>
        <v>0</v>
      </c>
      <c r="V186" s="24">
        <f>IF(ISNUMBER(tblClean[[#This Row],[Duration Hours]]),IF(OR(tblClean[[#This Row],[Duration Hours]]&lt;=0,tblClean[[#This Row],[Duration Hours]]&gt;12),1,0),1)</f>
        <v>0</v>
      </c>
      <c r="W186" s="24">
        <f>IF(COUNTIF(HostRoster,tblClean[[#This Row],[Host Name]])=0,1,0)</f>
        <v>0</v>
      </c>
      <c r="X186" s="24">
        <f>IF(tblClean[[#This Row],[Missing Flag]]+tblClean[[#This Row],[Duplicate Flag]]+tblClean[[#This Row],[Negative Flag]]+tblClean[[#This Row],[Duration Flag]]+tblClean[[#This Row],[Host Flag]]=0,1,0)</f>
        <v>1</v>
      </c>
    </row>
    <row r="187" spans="1:24" x14ac:dyDescent="0.3">
      <c r="A187" s="9" t="str">
        <f>TRIM('Raw Data'!A183)</f>
        <v>LS-0179</v>
      </c>
      <c r="B187" s="10">
        <f>IF(ISNUMBER('Raw Data'!B183),INT('Raw Data'!B183),IFERROR(DATEVALUE('Raw Data'!B183),""))</f>
        <v>45854</v>
      </c>
      <c r="C187" s="9" t="str">
        <f>PROPER(TRIM('Raw Data'!C183))</f>
        <v>Bianca Reyes</v>
      </c>
      <c r="D187" s="11">
        <f>IF(ISNUMBER('Raw Data'!D183),MOD('Raw Data'!D183,1),IFERROR(TIMEVALUE('Raw Data'!D183),""))</f>
        <v>0.79166666666666663</v>
      </c>
      <c r="E187" s="11">
        <f>IF(ISNUMBER('Raw Data'!E183),MOD('Raw Data'!E183,1),IFERROR(TIMEVALUE('Raw Data'!E183),""))</f>
        <v>0.91666666666666663</v>
      </c>
      <c r="F187" s="12">
        <f>IF(ISNUMBER('Raw Data'!F183),'Raw Data'!F183,IFERROR(VALUE(SUBSTITUTE('Raw Data'!F183,",","")),""))</f>
        <v>9087</v>
      </c>
      <c r="G187" s="13">
        <f>IF(ISNUMBER('Raw Data'!G183),'Raw Data'!G183,IFERROR(VALUE(SUBSTITUTE('Raw Data'!G183,",","")),""))</f>
        <v>27</v>
      </c>
      <c r="H187" s="13">
        <f>IF(ISNUMBER('Raw Data'!H183),'Raw Data'!H183,IFERROR(VALUE(SUBSTITUTE('Raw Data'!H183,",","")),""))</f>
        <v>33636</v>
      </c>
      <c r="I187" s="13">
        <f>IF(ISNUMBER('Raw Data'!I183),'Raw Data'!I183,IFERROR(VALUE(SUBSTITUTE('Raw Data'!I183,",","")),""))</f>
        <v>401</v>
      </c>
      <c r="J187" s="21">
        <f>IF(AND(ISNUMBER(tblClean[[#This Row],[Start Time]]),ISNUMBER(tblClean[[#This Row],[End Time]])),ROUND(MOD(tblClean[[#This Row],[End Time]]-tblClean[[#This Row],[Start Time]],1)*24,2),"")</f>
        <v>3</v>
      </c>
      <c r="K187" s="12">
        <f>IF(AND(ISNUMBER(tblClean[[#This Row],[Duration Hours]]),ISNUMBER(tblClean[[#This Row],[Attributed GMV PHP]])),IF(tblClean[[#This Row],[Duration Hours]]&gt;0,tblClean[[#This Row],[Attributed GMV PHP]]/tblClean[[#This Row],[Duration Hours]],""),"")</f>
        <v>3029</v>
      </c>
      <c r="L187" s="22">
        <f>IF(ISNUMBER(tblClean[[#This Row],[Date]]),DATE(YEAR(tblClean[[#This Row],[Date]]),MONTH(tblClean[[#This Row],[Date]]),1),"")</f>
        <v>45839</v>
      </c>
      <c r="M187" s="10">
        <f>IF(ISNUMBER(tblClean[[#This Row],[Date]]),tblClean[[#This Row],[Date]]-WEEKDAY(tblClean[[#This Row],[Date]],2)+1,"")</f>
        <v>45852</v>
      </c>
      <c r="N187" s="23">
        <f>IF(ISNUMBER(tblClean[[#This Row],[Week Start]]),(tblClean[[#This Row],[Week Start]]-MIN(tblClean[Week Start]))/7+1,"")</f>
        <v>7</v>
      </c>
      <c r="O187" s="24" t="str">
        <f>IF(ISNUMBER(tblClean[[#This Row],[Date]]),CHOOSE(WEEKDAY(tblClean[[#This Row],[Date]],2),"Mon","Tue","Wed","Thu","Fri","Sat","Sun"),"")</f>
        <v>Wed</v>
      </c>
      <c r="P187" s="24" t="str">
        <f>IF(ISNUMBER(tblClean[[#This Row],[Date]]),IF(WEEKDAY(tblClean[[#This Row],[Date]],2)&gt;=6,"Weekend","Weekday"),"")</f>
        <v>Weekday</v>
      </c>
      <c r="Q18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87" s="9" t="str">
        <f>IF(ISNUMBER(tblClean[[#This Row],[Duration Hours]]),IF(tblClean[[#This Row],[Duration Hours]]&lt;2,"Short (under 2h)",IF(tblClean[[#This Row],[Duration Hours]]&lt;3,"Standard (2h to under 3h)","Long (3h or more)")),"")</f>
        <v>Long (3h or more)</v>
      </c>
      <c r="S18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87" s="24">
        <f>IF(COUNTIF(tblClean[Session ID],tblClean[[#This Row],[Session ID]])&gt;1,1,0)</f>
        <v>0</v>
      </c>
      <c r="U187" s="24">
        <f>IF(OR(N(tblClean[[#This Row],[Attributed GMV PHP]])&lt;0,N(tblClean[[#This Row],[Items Sold]])&lt;0,N(tblClean[[#This Row],[Livestream Views]])&lt;0,N(tblClean[[#This Row],[New Followers]])&lt;0),1,0)</f>
        <v>0</v>
      </c>
      <c r="V187" s="24">
        <f>IF(ISNUMBER(tblClean[[#This Row],[Duration Hours]]),IF(OR(tblClean[[#This Row],[Duration Hours]]&lt;=0,tblClean[[#This Row],[Duration Hours]]&gt;12),1,0),1)</f>
        <v>0</v>
      </c>
      <c r="W187" s="24">
        <f>IF(COUNTIF(HostRoster,tblClean[[#This Row],[Host Name]])=0,1,0)</f>
        <v>0</v>
      </c>
      <c r="X187" s="24">
        <f>IF(tblClean[[#This Row],[Missing Flag]]+tblClean[[#This Row],[Duplicate Flag]]+tblClean[[#This Row],[Negative Flag]]+tblClean[[#This Row],[Duration Flag]]+tblClean[[#This Row],[Host Flag]]=0,1,0)</f>
        <v>1</v>
      </c>
    </row>
    <row r="188" spans="1:24" x14ac:dyDescent="0.3">
      <c r="A188" s="9" t="str">
        <f>TRIM('Raw Data'!A184)</f>
        <v>LS-0180</v>
      </c>
      <c r="B188" s="10">
        <f>IF(ISNUMBER('Raw Data'!B184),INT('Raw Data'!B184),IFERROR(DATEVALUE('Raw Data'!B184),""))</f>
        <v>45854</v>
      </c>
      <c r="C188" s="9" t="str">
        <f>PROPER(TRIM('Raw Data'!C184))</f>
        <v>Dani Villanueva</v>
      </c>
      <c r="D188" s="11">
        <f>IF(ISNUMBER('Raw Data'!D184),MOD('Raw Data'!D184,1),IFERROR(TIMEVALUE('Raw Data'!D184),""))</f>
        <v>0.91666666666666663</v>
      </c>
      <c r="E188" s="11">
        <f>IF(ISNUMBER('Raw Data'!E184),MOD('Raw Data'!E184,1),IFERROR(TIMEVALUE('Raw Data'!E184),""))</f>
        <v>4.1666666666666657E-2</v>
      </c>
      <c r="F188" s="12">
        <f>IF(ISNUMBER('Raw Data'!F184),'Raw Data'!F184,IFERROR(VALUE(SUBSTITUTE('Raw Data'!F184,",","")),""))</f>
        <v>36390</v>
      </c>
      <c r="G188" s="13">
        <f>IF(ISNUMBER('Raw Data'!G184),'Raw Data'!G184,IFERROR(VALUE(SUBSTITUTE('Raw Data'!G184,",","")),""))</f>
        <v>113</v>
      </c>
      <c r="H188" s="13">
        <f>IF(ISNUMBER('Raw Data'!H184),'Raw Data'!H184,IFERROR(VALUE(SUBSTITUTE('Raw Data'!H184,",","")),""))</f>
        <v>68168</v>
      </c>
      <c r="I188" s="13">
        <f>IF(ISNUMBER('Raw Data'!I184),'Raw Data'!I184,IFERROR(VALUE(SUBSTITUTE('Raw Data'!I184,",","")),""))</f>
        <v>773</v>
      </c>
      <c r="J188" s="21">
        <f>IF(AND(ISNUMBER(tblClean[[#This Row],[Start Time]]),ISNUMBER(tblClean[[#This Row],[End Time]])),ROUND(MOD(tblClean[[#This Row],[End Time]]-tblClean[[#This Row],[Start Time]],1)*24,2),"")</f>
        <v>3</v>
      </c>
      <c r="K188" s="12">
        <f>IF(AND(ISNUMBER(tblClean[[#This Row],[Duration Hours]]),ISNUMBER(tblClean[[#This Row],[Attributed GMV PHP]])),IF(tblClean[[#This Row],[Duration Hours]]&gt;0,tblClean[[#This Row],[Attributed GMV PHP]]/tblClean[[#This Row],[Duration Hours]],""),"")</f>
        <v>12130</v>
      </c>
      <c r="L188" s="22">
        <f>IF(ISNUMBER(tblClean[[#This Row],[Date]]),DATE(YEAR(tblClean[[#This Row],[Date]]),MONTH(tblClean[[#This Row],[Date]]),1),"")</f>
        <v>45839</v>
      </c>
      <c r="M188" s="10">
        <f>IF(ISNUMBER(tblClean[[#This Row],[Date]]),tblClean[[#This Row],[Date]]-WEEKDAY(tblClean[[#This Row],[Date]],2)+1,"")</f>
        <v>45852</v>
      </c>
      <c r="N188" s="23">
        <f>IF(ISNUMBER(tblClean[[#This Row],[Week Start]]),(tblClean[[#This Row],[Week Start]]-MIN(tblClean[Week Start]))/7+1,"")</f>
        <v>7</v>
      </c>
      <c r="O188" s="24" t="str">
        <f>IF(ISNUMBER(tblClean[[#This Row],[Date]]),CHOOSE(WEEKDAY(tblClean[[#This Row],[Date]],2),"Mon","Tue","Wed","Thu","Fri","Sat","Sun"),"")</f>
        <v>Wed</v>
      </c>
      <c r="P188" s="24" t="str">
        <f>IF(ISNUMBER(tblClean[[#This Row],[Date]]),IF(WEEKDAY(tblClean[[#This Row],[Date]],2)&gt;=6,"Weekend","Weekday"),"")</f>
        <v>Weekday</v>
      </c>
      <c r="Q18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88" s="9" t="str">
        <f>IF(ISNUMBER(tblClean[[#This Row],[Duration Hours]]),IF(tblClean[[#This Row],[Duration Hours]]&lt;2,"Short (under 2h)",IF(tblClean[[#This Row],[Duration Hours]]&lt;3,"Standard (2h to under 3h)","Long (3h or more)")),"")</f>
        <v>Long (3h or more)</v>
      </c>
      <c r="S18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88" s="24">
        <f>IF(COUNTIF(tblClean[Session ID],tblClean[[#This Row],[Session ID]])&gt;1,1,0)</f>
        <v>0</v>
      </c>
      <c r="U188" s="24">
        <f>IF(OR(N(tblClean[[#This Row],[Attributed GMV PHP]])&lt;0,N(tblClean[[#This Row],[Items Sold]])&lt;0,N(tblClean[[#This Row],[Livestream Views]])&lt;0,N(tblClean[[#This Row],[New Followers]])&lt;0),1,0)</f>
        <v>0</v>
      </c>
      <c r="V188" s="24">
        <f>IF(ISNUMBER(tblClean[[#This Row],[Duration Hours]]),IF(OR(tblClean[[#This Row],[Duration Hours]]&lt;=0,tblClean[[#This Row],[Duration Hours]]&gt;12),1,0),1)</f>
        <v>0</v>
      </c>
      <c r="W188" s="24">
        <f>IF(COUNTIF(HostRoster,tblClean[[#This Row],[Host Name]])=0,1,0)</f>
        <v>0</v>
      </c>
      <c r="X188" s="24">
        <f>IF(tblClean[[#This Row],[Missing Flag]]+tblClean[[#This Row],[Duplicate Flag]]+tblClean[[#This Row],[Negative Flag]]+tblClean[[#This Row],[Duration Flag]]+tblClean[[#This Row],[Host Flag]]=0,1,0)</f>
        <v>1</v>
      </c>
    </row>
    <row r="189" spans="1:24" x14ac:dyDescent="0.3">
      <c r="A189" s="9" t="str">
        <f>TRIM('Raw Data'!A185)</f>
        <v>LS-0181</v>
      </c>
      <c r="B189" s="10">
        <f>IF(ISNUMBER('Raw Data'!B185),INT('Raw Data'!B185),IFERROR(DATEVALUE('Raw Data'!B185),""))</f>
        <v>45855</v>
      </c>
      <c r="C189" s="9" t="str">
        <f>PROPER(TRIM('Raw Data'!C185))</f>
        <v>Carlo Mendoza</v>
      </c>
      <c r="D189" s="11">
        <f>IF(ISNUMBER('Raw Data'!D185),MOD('Raw Data'!D185,1),IFERROR(TIMEVALUE('Raw Data'!D185),""))</f>
        <v>0.54166666666666663</v>
      </c>
      <c r="E189" s="11">
        <f>IF(ISNUMBER('Raw Data'!E185),MOD('Raw Data'!E185,1),IFERROR(TIMEVALUE('Raw Data'!E185),""))</f>
        <v>0.64583333333333337</v>
      </c>
      <c r="F189" s="12">
        <f>IF(ISNUMBER('Raw Data'!F185),'Raw Data'!F185,IFERROR(VALUE(SUBSTITUTE('Raw Data'!F185,",","")),""))</f>
        <v>61011</v>
      </c>
      <c r="G189" s="13">
        <f>IF(ISNUMBER('Raw Data'!G185),'Raw Data'!G185,IFERROR(VALUE(SUBSTITUTE('Raw Data'!G185,",","")),""))</f>
        <v>187</v>
      </c>
      <c r="H189" s="13">
        <f>IF(ISNUMBER('Raw Data'!H185),'Raw Data'!H185,IFERROR(VALUE(SUBSTITUTE('Raw Data'!H185,",","")),""))</f>
        <v>275293</v>
      </c>
      <c r="I189" s="13">
        <f>IF(ISNUMBER('Raw Data'!I185),'Raw Data'!I185,IFERROR(VALUE(SUBSTITUTE('Raw Data'!I185,",","")),""))</f>
        <v>1502</v>
      </c>
      <c r="J189" s="21">
        <f>IF(AND(ISNUMBER(tblClean[[#This Row],[Start Time]]),ISNUMBER(tblClean[[#This Row],[End Time]])),ROUND(MOD(tblClean[[#This Row],[End Time]]-tblClean[[#This Row],[Start Time]],1)*24,2),"")</f>
        <v>2.5</v>
      </c>
      <c r="K189" s="12">
        <f>IF(AND(ISNUMBER(tblClean[[#This Row],[Duration Hours]]),ISNUMBER(tblClean[[#This Row],[Attributed GMV PHP]])),IF(tblClean[[#This Row],[Duration Hours]]&gt;0,tblClean[[#This Row],[Attributed GMV PHP]]/tblClean[[#This Row],[Duration Hours]],""),"")</f>
        <v>24404.400000000001</v>
      </c>
      <c r="L189" s="22">
        <f>IF(ISNUMBER(tblClean[[#This Row],[Date]]),DATE(YEAR(tblClean[[#This Row],[Date]]),MONTH(tblClean[[#This Row],[Date]]),1),"")</f>
        <v>45839</v>
      </c>
      <c r="M189" s="10">
        <f>IF(ISNUMBER(tblClean[[#This Row],[Date]]),tblClean[[#This Row],[Date]]-WEEKDAY(tblClean[[#This Row],[Date]],2)+1,"")</f>
        <v>45852</v>
      </c>
      <c r="N189" s="23">
        <f>IF(ISNUMBER(tblClean[[#This Row],[Week Start]]),(tblClean[[#This Row],[Week Start]]-MIN(tblClean[Week Start]))/7+1,"")</f>
        <v>7</v>
      </c>
      <c r="O189" s="24" t="str">
        <f>IF(ISNUMBER(tblClean[[#This Row],[Date]]),CHOOSE(WEEKDAY(tblClean[[#This Row],[Date]],2),"Mon","Tue","Wed","Thu","Fri","Sat","Sun"),"")</f>
        <v>Thu</v>
      </c>
      <c r="P189" s="24" t="str">
        <f>IF(ISNUMBER(tblClean[[#This Row],[Date]]),IF(WEEKDAY(tblClean[[#This Row],[Date]],2)&gt;=6,"Weekend","Weekday"),"")</f>
        <v>Weekday</v>
      </c>
      <c r="Q18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89" s="9" t="str">
        <f>IF(ISNUMBER(tblClean[[#This Row],[Duration Hours]]),IF(tblClean[[#This Row],[Duration Hours]]&lt;2,"Short (under 2h)",IF(tblClean[[#This Row],[Duration Hours]]&lt;3,"Standard (2h to under 3h)","Long (3h or more)")),"")</f>
        <v>Standard (2h to under 3h)</v>
      </c>
      <c r="S18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89" s="24">
        <f>IF(COUNTIF(tblClean[Session ID],tblClean[[#This Row],[Session ID]])&gt;1,1,0)</f>
        <v>0</v>
      </c>
      <c r="U189" s="24">
        <f>IF(OR(N(tblClean[[#This Row],[Attributed GMV PHP]])&lt;0,N(tblClean[[#This Row],[Items Sold]])&lt;0,N(tblClean[[#This Row],[Livestream Views]])&lt;0,N(tblClean[[#This Row],[New Followers]])&lt;0),1,0)</f>
        <v>0</v>
      </c>
      <c r="V189" s="24">
        <f>IF(ISNUMBER(tblClean[[#This Row],[Duration Hours]]),IF(OR(tblClean[[#This Row],[Duration Hours]]&lt;=0,tblClean[[#This Row],[Duration Hours]]&gt;12),1,0),1)</f>
        <v>0</v>
      </c>
      <c r="W189" s="24">
        <f>IF(COUNTIF(HostRoster,tblClean[[#This Row],[Host Name]])=0,1,0)</f>
        <v>0</v>
      </c>
      <c r="X189" s="24">
        <f>IF(tblClean[[#This Row],[Missing Flag]]+tblClean[[#This Row],[Duplicate Flag]]+tblClean[[#This Row],[Negative Flag]]+tblClean[[#This Row],[Duration Flag]]+tblClean[[#This Row],[Host Flag]]=0,1,0)</f>
        <v>1</v>
      </c>
    </row>
    <row r="190" spans="1:24" x14ac:dyDescent="0.3">
      <c r="A190" s="9" t="str">
        <f>TRIM('Raw Data'!A186)</f>
        <v>LS-0182</v>
      </c>
      <c r="B190" s="10">
        <f>IF(ISNUMBER('Raw Data'!B186),INT('Raw Data'!B186),IFERROR(DATEVALUE('Raw Data'!B186),""))</f>
        <v>45855</v>
      </c>
      <c r="C190" s="9" t="str">
        <f>PROPER(TRIM('Raw Data'!C186))</f>
        <v>Elise Navarro</v>
      </c>
      <c r="D190" s="11">
        <f>IF(ISNUMBER('Raw Data'!D186),MOD('Raw Data'!D186,1),IFERROR(TIMEVALUE('Raw Data'!D186),""))</f>
        <v>0.66666666666666663</v>
      </c>
      <c r="E190" s="11">
        <f>IF(ISNUMBER('Raw Data'!E186),MOD('Raw Data'!E186,1),IFERROR(TIMEVALUE('Raw Data'!E186),""))</f>
        <v>0.75</v>
      </c>
      <c r="F190" s="12">
        <f>IF(ISNUMBER('Raw Data'!F186),'Raw Data'!F186,IFERROR(VALUE(SUBSTITUTE('Raw Data'!F186,",","")),""))</f>
        <v>20885</v>
      </c>
      <c r="G190" s="13">
        <f>IF(ISNUMBER('Raw Data'!G186),'Raw Data'!G186,IFERROR(VALUE(SUBSTITUTE('Raw Data'!G186,",","")),""))</f>
        <v>65</v>
      </c>
      <c r="H190" s="13">
        <f>IF(ISNUMBER('Raw Data'!H186),'Raw Data'!H186,IFERROR(VALUE(SUBSTITUTE('Raw Data'!H186,",","")),""))</f>
        <v>63890</v>
      </c>
      <c r="I190" s="13">
        <f>IF(ISNUMBER('Raw Data'!I186),'Raw Data'!I186,IFERROR(VALUE(SUBSTITUTE('Raw Data'!I186,",","")),""))</f>
        <v>636</v>
      </c>
      <c r="J190" s="21">
        <f>IF(AND(ISNUMBER(tblClean[[#This Row],[Start Time]]),ISNUMBER(tblClean[[#This Row],[End Time]])),ROUND(MOD(tblClean[[#This Row],[End Time]]-tblClean[[#This Row],[Start Time]],1)*24,2),"")</f>
        <v>2</v>
      </c>
      <c r="K190" s="12">
        <f>IF(AND(ISNUMBER(tblClean[[#This Row],[Duration Hours]]),ISNUMBER(tblClean[[#This Row],[Attributed GMV PHP]])),IF(tblClean[[#This Row],[Duration Hours]]&gt;0,tblClean[[#This Row],[Attributed GMV PHP]]/tblClean[[#This Row],[Duration Hours]],""),"")</f>
        <v>10442.5</v>
      </c>
      <c r="L190" s="22">
        <f>IF(ISNUMBER(tblClean[[#This Row],[Date]]),DATE(YEAR(tblClean[[#This Row],[Date]]),MONTH(tblClean[[#This Row],[Date]]),1),"")</f>
        <v>45839</v>
      </c>
      <c r="M190" s="10">
        <f>IF(ISNUMBER(tblClean[[#This Row],[Date]]),tblClean[[#This Row],[Date]]-WEEKDAY(tblClean[[#This Row],[Date]],2)+1,"")</f>
        <v>45852</v>
      </c>
      <c r="N190" s="23">
        <f>IF(ISNUMBER(tblClean[[#This Row],[Week Start]]),(tblClean[[#This Row],[Week Start]]-MIN(tblClean[Week Start]))/7+1,"")</f>
        <v>7</v>
      </c>
      <c r="O190" s="24" t="str">
        <f>IF(ISNUMBER(tblClean[[#This Row],[Date]]),CHOOSE(WEEKDAY(tblClean[[#This Row],[Date]],2),"Mon","Tue","Wed","Thu","Fri","Sat","Sun"),"")</f>
        <v>Thu</v>
      </c>
      <c r="P190" s="24" t="str">
        <f>IF(ISNUMBER(tblClean[[#This Row],[Date]]),IF(WEEKDAY(tblClean[[#This Row],[Date]],2)&gt;=6,"Weekend","Weekday"),"")</f>
        <v>Weekday</v>
      </c>
      <c r="Q19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90" s="9" t="str">
        <f>IF(ISNUMBER(tblClean[[#This Row],[Duration Hours]]),IF(tblClean[[#This Row],[Duration Hours]]&lt;2,"Short (under 2h)",IF(tblClean[[#This Row],[Duration Hours]]&lt;3,"Standard (2h to under 3h)","Long (3h or more)")),"")</f>
        <v>Standard (2h to under 3h)</v>
      </c>
      <c r="S19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90" s="24">
        <f>IF(COUNTIF(tblClean[Session ID],tblClean[[#This Row],[Session ID]])&gt;1,1,0)</f>
        <v>0</v>
      </c>
      <c r="U190" s="24">
        <f>IF(OR(N(tblClean[[#This Row],[Attributed GMV PHP]])&lt;0,N(tblClean[[#This Row],[Items Sold]])&lt;0,N(tblClean[[#This Row],[Livestream Views]])&lt;0,N(tblClean[[#This Row],[New Followers]])&lt;0),1,0)</f>
        <v>0</v>
      </c>
      <c r="V190" s="24">
        <f>IF(ISNUMBER(tblClean[[#This Row],[Duration Hours]]),IF(OR(tblClean[[#This Row],[Duration Hours]]&lt;=0,tblClean[[#This Row],[Duration Hours]]&gt;12),1,0),1)</f>
        <v>0</v>
      </c>
      <c r="W190" s="24">
        <f>IF(COUNTIF(HostRoster,tblClean[[#This Row],[Host Name]])=0,1,0)</f>
        <v>0</v>
      </c>
      <c r="X190" s="24">
        <f>IF(tblClean[[#This Row],[Missing Flag]]+tblClean[[#This Row],[Duplicate Flag]]+tblClean[[#This Row],[Negative Flag]]+tblClean[[#This Row],[Duration Flag]]+tblClean[[#This Row],[Host Flag]]=0,1,0)</f>
        <v>1</v>
      </c>
    </row>
    <row r="191" spans="1:24" x14ac:dyDescent="0.3">
      <c r="A191" s="9" t="str">
        <f>TRIM('Raw Data'!A187)</f>
        <v>LS-0183</v>
      </c>
      <c r="B191" s="10">
        <f>IF(ISNUMBER('Raw Data'!B187),INT('Raw Data'!B187),IFERROR(DATEVALUE('Raw Data'!B187),""))</f>
        <v>45855</v>
      </c>
      <c r="C191" s="9" t="str">
        <f>PROPER(TRIM('Raw Data'!C187))</f>
        <v>Aira Valdez</v>
      </c>
      <c r="D191" s="11">
        <f>IF(ISNUMBER('Raw Data'!D187),MOD('Raw Data'!D187,1),IFERROR(TIMEVALUE('Raw Data'!D187),""))</f>
        <v>0.79166666666666663</v>
      </c>
      <c r="E191" s="11">
        <f>IF(ISNUMBER('Raw Data'!E187),MOD('Raw Data'!E187,1),IFERROR(TIMEVALUE('Raw Data'!E187),""))</f>
        <v>0.89583333333333337</v>
      </c>
      <c r="F191" s="12">
        <f>IF(ISNUMBER('Raw Data'!F187),'Raw Data'!F187,IFERROR(VALUE(SUBSTITUTE('Raw Data'!F187,",","")),""))</f>
        <v>50825</v>
      </c>
      <c r="G191" s="13">
        <f>IF(ISNUMBER('Raw Data'!G187),'Raw Data'!G187,IFERROR(VALUE(SUBSTITUTE('Raw Data'!G187,",","")),""))</f>
        <v>127</v>
      </c>
      <c r="H191" s="13">
        <f>IF(ISNUMBER('Raw Data'!H187),'Raw Data'!H187,IFERROR(VALUE(SUBSTITUTE('Raw Data'!H187,",","")),""))</f>
        <v>167975</v>
      </c>
      <c r="I191" s="13">
        <f>IF(ISNUMBER('Raw Data'!I187),'Raw Data'!I187,IFERROR(VALUE(SUBSTITUTE('Raw Data'!I187,",","")),""))</f>
        <v>1329</v>
      </c>
      <c r="J191" s="21">
        <f>IF(AND(ISNUMBER(tblClean[[#This Row],[Start Time]]),ISNUMBER(tblClean[[#This Row],[End Time]])),ROUND(MOD(tblClean[[#This Row],[End Time]]-tblClean[[#This Row],[Start Time]],1)*24,2),"")</f>
        <v>2.5</v>
      </c>
      <c r="K191" s="12">
        <f>IF(AND(ISNUMBER(tblClean[[#This Row],[Duration Hours]]),ISNUMBER(tblClean[[#This Row],[Attributed GMV PHP]])),IF(tblClean[[#This Row],[Duration Hours]]&gt;0,tblClean[[#This Row],[Attributed GMV PHP]]/tblClean[[#This Row],[Duration Hours]],""),"")</f>
        <v>20330</v>
      </c>
      <c r="L191" s="22">
        <f>IF(ISNUMBER(tblClean[[#This Row],[Date]]),DATE(YEAR(tblClean[[#This Row],[Date]]),MONTH(tblClean[[#This Row],[Date]]),1),"")</f>
        <v>45839</v>
      </c>
      <c r="M191" s="10">
        <f>IF(ISNUMBER(tblClean[[#This Row],[Date]]),tblClean[[#This Row],[Date]]-WEEKDAY(tblClean[[#This Row],[Date]],2)+1,"")</f>
        <v>45852</v>
      </c>
      <c r="N191" s="23">
        <f>IF(ISNUMBER(tblClean[[#This Row],[Week Start]]),(tblClean[[#This Row],[Week Start]]-MIN(tblClean[Week Start]))/7+1,"")</f>
        <v>7</v>
      </c>
      <c r="O191" s="24" t="str">
        <f>IF(ISNUMBER(tblClean[[#This Row],[Date]]),CHOOSE(WEEKDAY(tblClean[[#This Row],[Date]],2),"Mon","Tue","Wed","Thu","Fri","Sat","Sun"),"")</f>
        <v>Thu</v>
      </c>
      <c r="P191" s="24" t="str">
        <f>IF(ISNUMBER(tblClean[[#This Row],[Date]]),IF(WEEKDAY(tblClean[[#This Row],[Date]],2)&gt;=6,"Weekend","Weekday"),"")</f>
        <v>Weekday</v>
      </c>
      <c r="Q19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91" s="9" t="str">
        <f>IF(ISNUMBER(tblClean[[#This Row],[Duration Hours]]),IF(tblClean[[#This Row],[Duration Hours]]&lt;2,"Short (under 2h)",IF(tblClean[[#This Row],[Duration Hours]]&lt;3,"Standard (2h to under 3h)","Long (3h or more)")),"")</f>
        <v>Standard (2h to under 3h)</v>
      </c>
      <c r="S19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91" s="24">
        <f>IF(COUNTIF(tblClean[Session ID],tblClean[[#This Row],[Session ID]])&gt;1,1,0)</f>
        <v>0</v>
      </c>
      <c r="U191" s="24">
        <f>IF(OR(N(tblClean[[#This Row],[Attributed GMV PHP]])&lt;0,N(tblClean[[#This Row],[Items Sold]])&lt;0,N(tblClean[[#This Row],[Livestream Views]])&lt;0,N(tblClean[[#This Row],[New Followers]])&lt;0),1,0)</f>
        <v>0</v>
      </c>
      <c r="V191" s="24">
        <f>IF(ISNUMBER(tblClean[[#This Row],[Duration Hours]]),IF(OR(tblClean[[#This Row],[Duration Hours]]&lt;=0,tblClean[[#This Row],[Duration Hours]]&gt;12),1,0),1)</f>
        <v>0</v>
      </c>
      <c r="W191" s="24">
        <f>IF(COUNTIF(HostRoster,tblClean[[#This Row],[Host Name]])=0,1,0)</f>
        <v>0</v>
      </c>
      <c r="X191" s="24">
        <f>IF(tblClean[[#This Row],[Missing Flag]]+tblClean[[#This Row],[Duplicate Flag]]+tblClean[[#This Row],[Negative Flag]]+tblClean[[#This Row],[Duration Flag]]+tblClean[[#This Row],[Host Flag]]=0,1,0)</f>
        <v>1</v>
      </c>
    </row>
    <row r="192" spans="1:24" x14ac:dyDescent="0.3">
      <c r="A192" s="9" t="str">
        <f>TRIM('Raw Data'!A188)</f>
        <v>LS-0184</v>
      </c>
      <c r="B192" s="10">
        <f>IF(ISNUMBER('Raw Data'!B188),INT('Raw Data'!B188),IFERROR(DATEVALUE('Raw Data'!B188),""))</f>
        <v>45855</v>
      </c>
      <c r="C192" s="9" t="str">
        <f>PROPER(TRIM('Raw Data'!C188))</f>
        <v>Bianca Reyes</v>
      </c>
      <c r="D192" s="11">
        <f>IF(ISNUMBER('Raw Data'!D188),MOD('Raw Data'!D188,1),IFERROR(TIMEVALUE('Raw Data'!D188),""))</f>
        <v>0.91666666666666663</v>
      </c>
      <c r="E192" s="11">
        <f>IF(ISNUMBER('Raw Data'!E188),MOD('Raw Data'!E188,1),IFERROR(TIMEVALUE('Raw Data'!E188),""))</f>
        <v>0</v>
      </c>
      <c r="F192" s="12">
        <f>IF(ISNUMBER('Raw Data'!F188),'Raw Data'!F188,IFERROR(VALUE(SUBSTITUTE('Raw Data'!F188,",","")),""))</f>
        <v>13224</v>
      </c>
      <c r="G192" s="13">
        <f>IF(ISNUMBER('Raw Data'!G188),'Raw Data'!G188,IFERROR(VALUE(SUBSTITUTE('Raw Data'!G188,",","")),""))</f>
        <v>43</v>
      </c>
      <c r="H192" s="13">
        <f>IF(ISNUMBER('Raw Data'!H188),'Raw Data'!H188,IFERROR(VALUE(SUBSTITUTE('Raw Data'!H188,",","")),""))</f>
        <v>47662</v>
      </c>
      <c r="I192" s="13">
        <f>IF(ISNUMBER('Raw Data'!I188),'Raw Data'!I188,IFERROR(VALUE(SUBSTITUTE('Raw Data'!I188,",","")),""))</f>
        <v>362</v>
      </c>
      <c r="J192" s="21">
        <f>IF(AND(ISNUMBER(tblClean[[#This Row],[Start Time]]),ISNUMBER(tblClean[[#This Row],[End Time]])),ROUND(MOD(tblClean[[#This Row],[End Time]]-tblClean[[#This Row],[Start Time]],1)*24,2),"")</f>
        <v>2</v>
      </c>
      <c r="K192" s="12">
        <f>IF(AND(ISNUMBER(tblClean[[#This Row],[Duration Hours]]),ISNUMBER(tblClean[[#This Row],[Attributed GMV PHP]])),IF(tblClean[[#This Row],[Duration Hours]]&gt;0,tblClean[[#This Row],[Attributed GMV PHP]]/tblClean[[#This Row],[Duration Hours]],""),"")</f>
        <v>6612</v>
      </c>
      <c r="L192" s="22">
        <f>IF(ISNUMBER(tblClean[[#This Row],[Date]]),DATE(YEAR(tblClean[[#This Row],[Date]]),MONTH(tblClean[[#This Row],[Date]]),1),"")</f>
        <v>45839</v>
      </c>
      <c r="M192" s="10">
        <f>IF(ISNUMBER(tblClean[[#This Row],[Date]]),tblClean[[#This Row],[Date]]-WEEKDAY(tblClean[[#This Row],[Date]],2)+1,"")</f>
        <v>45852</v>
      </c>
      <c r="N192" s="23">
        <f>IF(ISNUMBER(tblClean[[#This Row],[Week Start]]),(tblClean[[#This Row],[Week Start]]-MIN(tblClean[Week Start]))/7+1,"")</f>
        <v>7</v>
      </c>
      <c r="O192" s="24" t="str">
        <f>IF(ISNUMBER(tblClean[[#This Row],[Date]]),CHOOSE(WEEKDAY(tblClean[[#This Row],[Date]],2),"Mon","Tue","Wed","Thu","Fri","Sat","Sun"),"")</f>
        <v>Thu</v>
      </c>
      <c r="P192" s="24" t="str">
        <f>IF(ISNUMBER(tblClean[[#This Row],[Date]]),IF(WEEKDAY(tblClean[[#This Row],[Date]],2)&gt;=6,"Weekend","Weekday"),"")</f>
        <v>Weekday</v>
      </c>
      <c r="Q19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92" s="9" t="str">
        <f>IF(ISNUMBER(tblClean[[#This Row],[Duration Hours]]),IF(tblClean[[#This Row],[Duration Hours]]&lt;2,"Short (under 2h)",IF(tblClean[[#This Row],[Duration Hours]]&lt;3,"Standard (2h to under 3h)","Long (3h or more)")),"")</f>
        <v>Standard (2h to under 3h)</v>
      </c>
      <c r="S19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92" s="24">
        <f>IF(COUNTIF(tblClean[Session ID],tblClean[[#This Row],[Session ID]])&gt;1,1,0)</f>
        <v>0</v>
      </c>
      <c r="U192" s="24">
        <f>IF(OR(N(tblClean[[#This Row],[Attributed GMV PHP]])&lt;0,N(tblClean[[#This Row],[Items Sold]])&lt;0,N(tblClean[[#This Row],[Livestream Views]])&lt;0,N(tblClean[[#This Row],[New Followers]])&lt;0),1,0)</f>
        <v>0</v>
      </c>
      <c r="V192" s="24">
        <f>IF(ISNUMBER(tblClean[[#This Row],[Duration Hours]]),IF(OR(tblClean[[#This Row],[Duration Hours]]&lt;=0,tblClean[[#This Row],[Duration Hours]]&gt;12),1,0),1)</f>
        <v>0</v>
      </c>
      <c r="W192" s="24">
        <f>IF(COUNTIF(HostRoster,tblClean[[#This Row],[Host Name]])=0,1,0)</f>
        <v>0</v>
      </c>
      <c r="X192" s="24">
        <f>IF(tblClean[[#This Row],[Missing Flag]]+tblClean[[#This Row],[Duplicate Flag]]+tblClean[[#This Row],[Negative Flag]]+tblClean[[#This Row],[Duration Flag]]+tblClean[[#This Row],[Host Flag]]=0,1,0)</f>
        <v>1</v>
      </c>
    </row>
    <row r="193" spans="1:24" x14ac:dyDescent="0.3">
      <c r="A193" s="9" t="str">
        <f>TRIM('Raw Data'!A189)</f>
        <v>LS-0185</v>
      </c>
      <c r="B193" s="10">
        <f>IF(ISNUMBER('Raw Data'!B189),INT('Raw Data'!B189),IFERROR(DATEVALUE('Raw Data'!B189),""))</f>
        <v>45856</v>
      </c>
      <c r="C193" s="9" t="str">
        <f>PROPER(TRIM('Raw Data'!C189))</f>
        <v>Dani Villanueva</v>
      </c>
      <c r="D193" s="11">
        <f>IF(ISNUMBER('Raw Data'!D189),MOD('Raw Data'!D189,1),IFERROR(TIMEVALUE('Raw Data'!D189),""))</f>
        <v>0.41666666666666669</v>
      </c>
      <c r="E193" s="11">
        <f>IF(ISNUMBER('Raw Data'!E189),MOD('Raw Data'!E189,1),IFERROR(TIMEVALUE('Raw Data'!E189),""))</f>
        <v>0.54166666666666663</v>
      </c>
      <c r="F193" s="12">
        <f>IF(ISNUMBER('Raw Data'!F189),'Raw Data'!F189,IFERROR(VALUE(SUBSTITUTE('Raw Data'!F189,",","")),""))</f>
        <v>37816</v>
      </c>
      <c r="G193" s="13">
        <f>IF(ISNUMBER('Raw Data'!G189),'Raw Data'!G189,IFERROR(VALUE(SUBSTITUTE('Raw Data'!G189,",","")),""))</f>
        <v>106</v>
      </c>
      <c r="H193" s="13">
        <f>IF(ISNUMBER('Raw Data'!H189),'Raw Data'!H189,IFERROR(VALUE(SUBSTITUTE('Raw Data'!H189,",","")),""))</f>
        <v>158869</v>
      </c>
      <c r="I193" s="13">
        <f>IF(ISNUMBER('Raw Data'!I189),'Raw Data'!I189,IFERROR(VALUE(SUBSTITUTE('Raw Data'!I189,",","")),""))</f>
        <v>1534</v>
      </c>
      <c r="J193" s="21">
        <f>IF(AND(ISNUMBER(tblClean[[#This Row],[Start Time]]),ISNUMBER(tblClean[[#This Row],[End Time]])),ROUND(MOD(tblClean[[#This Row],[End Time]]-tblClean[[#This Row],[Start Time]],1)*24,2),"")</f>
        <v>3</v>
      </c>
      <c r="K193" s="12">
        <f>IF(AND(ISNUMBER(tblClean[[#This Row],[Duration Hours]]),ISNUMBER(tblClean[[#This Row],[Attributed GMV PHP]])),IF(tblClean[[#This Row],[Duration Hours]]&gt;0,tblClean[[#This Row],[Attributed GMV PHP]]/tblClean[[#This Row],[Duration Hours]],""),"")</f>
        <v>12605.333333333334</v>
      </c>
      <c r="L193" s="22">
        <f>IF(ISNUMBER(tblClean[[#This Row],[Date]]),DATE(YEAR(tblClean[[#This Row],[Date]]),MONTH(tblClean[[#This Row],[Date]]),1),"")</f>
        <v>45839</v>
      </c>
      <c r="M193" s="10">
        <f>IF(ISNUMBER(tblClean[[#This Row],[Date]]),tblClean[[#This Row],[Date]]-WEEKDAY(tblClean[[#This Row],[Date]],2)+1,"")</f>
        <v>45852</v>
      </c>
      <c r="N193" s="23">
        <f>IF(ISNUMBER(tblClean[[#This Row],[Week Start]]),(tblClean[[#This Row],[Week Start]]-MIN(tblClean[Week Start]))/7+1,"")</f>
        <v>7</v>
      </c>
      <c r="O193" s="24" t="str">
        <f>IF(ISNUMBER(tblClean[[#This Row],[Date]]),CHOOSE(WEEKDAY(tblClean[[#This Row],[Date]],2),"Mon","Tue","Wed","Thu","Fri","Sat","Sun"),"")</f>
        <v>Fri</v>
      </c>
      <c r="P193" s="24" t="str">
        <f>IF(ISNUMBER(tblClean[[#This Row],[Date]]),IF(WEEKDAY(tblClean[[#This Row],[Date]],2)&gt;=6,"Weekend","Weekday"),"")</f>
        <v>Weekday</v>
      </c>
      <c r="Q19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193" s="9" t="str">
        <f>IF(ISNUMBER(tblClean[[#This Row],[Duration Hours]]),IF(tblClean[[#This Row],[Duration Hours]]&lt;2,"Short (under 2h)",IF(tblClean[[#This Row],[Duration Hours]]&lt;3,"Standard (2h to under 3h)","Long (3h or more)")),"")</f>
        <v>Long (3h or more)</v>
      </c>
      <c r="S19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93" s="24">
        <f>IF(COUNTIF(tblClean[Session ID],tblClean[[#This Row],[Session ID]])&gt;1,1,0)</f>
        <v>0</v>
      </c>
      <c r="U193" s="24">
        <f>IF(OR(N(tblClean[[#This Row],[Attributed GMV PHP]])&lt;0,N(tblClean[[#This Row],[Items Sold]])&lt;0,N(tblClean[[#This Row],[Livestream Views]])&lt;0,N(tblClean[[#This Row],[New Followers]])&lt;0),1,0)</f>
        <v>0</v>
      </c>
      <c r="V193" s="24">
        <f>IF(ISNUMBER(tblClean[[#This Row],[Duration Hours]]),IF(OR(tblClean[[#This Row],[Duration Hours]]&lt;=0,tblClean[[#This Row],[Duration Hours]]&gt;12),1,0),1)</f>
        <v>0</v>
      </c>
      <c r="W193" s="24">
        <f>IF(COUNTIF(HostRoster,tblClean[[#This Row],[Host Name]])=0,1,0)</f>
        <v>0</v>
      </c>
      <c r="X193" s="24">
        <f>IF(tblClean[[#This Row],[Missing Flag]]+tblClean[[#This Row],[Duplicate Flag]]+tblClean[[#This Row],[Negative Flag]]+tblClean[[#This Row],[Duration Flag]]+tblClean[[#This Row],[Host Flag]]=0,1,0)</f>
        <v>1</v>
      </c>
    </row>
    <row r="194" spans="1:24" x14ac:dyDescent="0.3">
      <c r="A194" s="9" t="str">
        <f>TRIM('Raw Data'!A190)</f>
        <v>LS-0186</v>
      </c>
      <c r="B194" s="10">
        <f>IF(ISNUMBER('Raw Data'!B190),INT('Raw Data'!B190),IFERROR(DATEVALUE('Raw Data'!B190),""))</f>
        <v>45856</v>
      </c>
      <c r="C194" s="9" t="str">
        <f>PROPER(TRIM('Raw Data'!C190))</f>
        <v>Dani Villanueva</v>
      </c>
      <c r="D194" s="11">
        <f>IF(ISNUMBER('Raw Data'!D190),MOD('Raw Data'!D190,1),IFERROR(TIMEVALUE('Raw Data'!D190),""))</f>
        <v>0.54166666666666663</v>
      </c>
      <c r="E194" s="11">
        <f>IF(ISNUMBER('Raw Data'!E190),MOD('Raw Data'!E190,1),IFERROR(TIMEVALUE('Raw Data'!E190),""))</f>
        <v>0.64583333333333337</v>
      </c>
      <c r="F194" s="12">
        <f>IF(ISNUMBER('Raw Data'!F190),'Raw Data'!F190,IFERROR(VALUE(SUBSTITUTE('Raw Data'!F190,",","")),""))</f>
        <v>26314</v>
      </c>
      <c r="G194" s="13">
        <f>IF(ISNUMBER('Raw Data'!G190),'Raw Data'!G190,IFERROR(VALUE(SUBSTITUTE('Raw Data'!G190,",","")),""))</f>
        <v>78</v>
      </c>
      <c r="H194" s="13">
        <f>IF(ISNUMBER('Raw Data'!H190),'Raw Data'!H190,IFERROR(VALUE(SUBSTITUTE('Raw Data'!H190,",","")),""))</f>
        <v>54693</v>
      </c>
      <c r="I194" s="13">
        <f>IF(ISNUMBER('Raw Data'!I190),'Raw Data'!I190,IFERROR(VALUE(SUBSTITUTE('Raw Data'!I190,",","")),""))</f>
        <v>539</v>
      </c>
      <c r="J194" s="21">
        <f>IF(AND(ISNUMBER(tblClean[[#This Row],[Start Time]]),ISNUMBER(tblClean[[#This Row],[End Time]])),ROUND(MOD(tblClean[[#This Row],[End Time]]-tblClean[[#This Row],[Start Time]],1)*24,2),"")</f>
        <v>2.5</v>
      </c>
      <c r="K194" s="12">
        <f>IF(AND(ISNUMBER(tblClean[[#This Row],[Duration Hours]]),ISNUMBER(tblClean[[#This Row],[Attributed GMV PHP]])),IF(tblClean[[#This Row],[Duration Hours]]&gt;0,tblClean[[#This Row],[Attributed GMV PHP]]/tblClean[[#This Row],[Duration Hours]],""),"")</f>
        <v>10525.6</v>
      </c>
      <c r="L194" s="22">
        <f>IF(ISNUMBER(tblClean[[#This Row],[Date]]),DATE(YEAR(tblClean[[#This Row],[Date]]),MONTH(tblClean[[#This Row],[Date]]),1),"")</f>
        <v>45839</v>
      </c>
      <c r="M194" s="10">
        <f>IF(ISNUMBER(tblClean[[#This Row],[Date]]),tblClean[[#This Row],[Date]]-WEEKDAY(tblClean[[#This Row],[Date]],2)+1,"")</f>
        <v>45852</v>
      </c>
      <c r="N194" s="23">
        <f>IF(ISNUMBER(tblClean[[#This Row],[Week Start]]),(tblClean[[#This Row],[Week Start]]-MIN(tblClean[Week Start]))/7+1,"")</f>
        <v>7</v>
      </c>
      <c r="O194" s="24" t="str">
        <f>IF(ISNUMBER(tblClean[[#This Row],[Date]]),CHOOSE(WEEKDAY(tblClean[[#This Row],[Date]],2),"Mon","Tue","Wed","Thu","Fri","Sat","Sun"),"")</f>
        <v>Fri</v>
      </c>
      <c r="P194" s="24" t="str">
        <f>IF(ISNUMBER(tblClean[[#This Row],[Date]]),IF(WEEKDAY(tblClean[[#This Row],[Date]],2)&gt;=6,"Weekend","Weekday"),"")</f>
        <v>Weekday</v>
      </c>
      <c r="Q19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94" s="9" t="str">
        <f>IF(ISNUMBER(tblClean[[#This Row],[Duration Hours]]),IF(tblClean[[#This Row],[Duration Hours]]&lt;2,"Short (under 2h)",IF(tblClean[[#This Row],[Duration Hours]]&lt;3,"Standard (2h to under 3h)","Long (3h or more)")),"")</f>
        <v>Standard (2h to under 3h)</v>
      </c>
      <c r="S19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94" s="24">
        <f>IF(COUNTIF(tblClean[Session ID],tblClean[[#This Row],[Session ID]])&gt;1,1,0)</f>
        <v>0</v>
      </c>
      <c r="U194" s="24">
        <f>IF(OR(N(tblClean[[#This Row],[Attributed GMV PHP]])&lt;0,N(tblClean[[#This Row],[Items Sold]])&lt;0,N(tblClean[[#This Row],[Livestream Views]])&lt;0,N(tblClean[[#This Row],[New Followers]])&lt;0),1,0)</f>
        <v>0</v>
      </c>
      <c r="V194" s="24">
        <f>IF(ISNUMBER(tblClean[[#This Row],[Duration Hours]]),IF(OR(tblClean[[#This Row],[Duration Hours]]&lt;=0,tblClean[[#This Row],[Duration Hours]]&gt;12),1,0),1)</f>
        <v>0</v>
      </c>
      <c r="W194" s="24">
        <f>IF(COUNTIF(HostRoster,tblClean[[#This Row],[Host Name]])=0,1,0)</f>
        <v>0</v>
      </c>
      <c r="X194" s="24">
        <f>IF(tblClean[[#This Row],[Missing Flag]]+tblClean[[#This Row],[Duplicate Flag]]+tblClean[[#This Row],[Negative Flag]]+tblClean[[#This Row],[Duration Flag]]+tblClean[[#This Row],[Host Flag]]=0,1,0)</f>
        <v>1</v>
      </c>
    </row>
    <row r="195" spans="1:24" x14ac:dyDescent="0.3">
      <c r="A195" s="9" t="str">
        <f>TRIM('Raw Data'!A191)</f>
        <v>LS-0187</v>
      </c>
      <c r="B195" s="10">
        <f>IF(ISNUMBER('Raw Data'!B191),INT('Raw Data'!B191),IFERROR(DATEVALUE('Raw Data'!B191),""))</f>
        <v>45856</v>
      </c>
      <c r="C195" s="9" t="str">
        <f>PROPER(TRIM('Raw Data'!C191))</f>
        <v>Bianca Reyes</v>
      </c>
      <c r="D195" s="11">
        <f>IF(ISNUMBER('Raw Data'!D191),MOD('Raw Data'!D191,1),IFERROR(TIMEVALUE('Raw Data'!D191),""))</f>
        <v>0.66666666666666663</v>
      </c>
      <c r="E195" s="11">
        <f>IF(ISNUMBER('Raw Data'!E191),MOD('Raw Data'!E191,1),IFERROR(TIMEVALUE('Raw Data'!E191),""))</f>
        <v>0.79166666666666663</v>
      </c>
      <c r="F195" s="12">
        <f>IF(ISNUMBER('Raw Data'!F191),'Raw Data'!F191,IFERROR(VALUE(SUBSTITUTE('Raw Data'!F191,",","")),""))</f>
        <v>25555</v>
      </c>
      <c r="G195" s="13">
        <f>IF(ISNUMBER('Raw Data'!G191),'Raw Data'!G191,IFERROR(VALUE(SUBSTITUTE('Raw Data'!G191,",","")),""))</f>
        <v>74</v>
      </c>
      <c r="H195" s="13">
        <f>IF(ISNUMBER('Raw Data'!H191),'Raw Data'!H191,IFERROR(VALUE(SUBSTITUTE('Raw Data'!H191,",","")),""))</f>
        <v>68369</v>
      </c>
      <c r="I195" s="13">
        <f>IF(ISNUMBER('Raw Data'!I191),'Raw Data'!I191,IFERROR(VALUE(SUBSTITUTE('Raw Data'!I191,",","")),""))</f>
        <v>677</v>
      </c>
      <c r="J195" s="21">
        <f>IF(AND(ISNUMBER(tblClean[[#This Row],[Start Time]]),ISNUMBER(tblClean[[#This Row],[End Time]])),ROUND(MOD(tblClean[[#This Row],[End Time]]-tblClean[[#This Row],[Start Time]],1)*24,2),"")</f>
        <v>3</v>
      </c>
      <c r="K195" s="12">
        <f>IF(AND(ISNUMBER(tblClean[[#This Row],[Duration Hours]]),ISNUMBER(tblClean[[#This Row],[Attributed GMV PHP]])),IF(tblClean[[#This Row],[Duration Hours]]&gt;0,tblClean[[#This Row],[Attributed GMV PHP]]/tblClean[[#This Row],[Duration Hours]],""),"")</f>
        <v>8518.3333333333339</v>
      </c>
      <c r="L195" s="22">
        <f>IF(ISNUMBER(tblClean[[#This Row],[Date]]),DATE(YEAR(tblClean[[#This Row],[Date]]),MONTH(tblClean[[#This Row],[Date]]),1),"")</f>
        <v>45839</v>
      </c>
      <c r="M195" s="10">
        <f>IF(ISNUMBER(tblClean[[#This Row],[Date]]),tblClean[[#This Row],[Date]]-WEEKDAY(tblClean[[#This Row],[Date]],2)+1,"")</f>
        <v>45852</v>
      </c>
      <c r="N195" s="23">
        <f>IF(ISNUMBER(tblClean[[#This Row],[Week Start]]),(tblClean[[#This Row],[Week Start]]-MIN(tblClean[Week Start]))/7+1,"")</f>
        <v>7</v>
      </c>
      <c r="O195" s="24" t="str">
        <f>IF(ISNUMBER(tblClean[[#This Row],[Date]]),CHOOSE(WEEKDAY(tblClean[[#This Row],[Date]],2),"Mon","Tue","Wed","Thu","Fri","Sat","Sun"),"")</f>
        <v>Fri</v>
      </c>
      <c r="P195" s="24" t="str">
        <f>IF(ISNUMBER(tblClean[[#This Row],[Date]]),IF(WEEKDAY(tblClean[[#This Row],[Date]],2)&gt;=6,"Weekend","Weekday"),"")</f>
        <v>Weekday</v>
      </c>
      <c r="Q19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95" s="9" t="str">
        <f>IF(ISNUMBER(tblClean[[#This Row],[Duration Hours]]),IF(tblClean[[#This Row],[Duration Hours]]&lt;2,"Short (under 2h)",IF(tblClean[[#This Row],[Duration Hours]]&lt;3,"Standard (2h to under 3h)","Long (3h or more)")),"")</f>
        <v>Long (3h or more)</v>
      </c>
      <c r="S19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95" s="24">
        <f>IF(COUNTIF(tblClean[Session ID],tblClean[[#This Row],[Session ID]])&gt;1,1,0)</f>
        <v>0</v>
      </c>
      <c r="U195" s="24">
        <f>IF(OR(N(tblClean[[#This Row],[Attributed GMV PHP]])&lt;0,N(tblClean[[#This Row],[Items Sold]])&lt;0,N(tblClean[[#This Row],[Livestream Views]])&lt;0,N(tblClean[[#This Row],[New Followers]])&lt;0),1,0)</f>
        <v>0</v>
      </c>
      <c r="V195" s="24">
        <f>IF(ISNUMBER(tblClean[[#This Row],[Duration Hours]]),IF(OR(tblClean[[#This Row],[Duration Hours]]&lt;=0,tblClean[[#This Row],[Duration Hours]]&gt;12),1,0),1)</f>
        <v>0</v>
      </c>
      <c r="W195" s="24">
        <f>IF(COUNTIF(HostRoster,tblClean[[#This Row],[Host Name]])=0,1,0)</f>
        <v>0</v>
      </c>
      <c r="X195" s="24">
        <f>IF(tblClean[[#This Row],[Missing Flag]]+tblClean[[#This Row],[Duplicate Flag]]+tblClean[[#This Row],[Negative Flag]]+tblClean[[#This Row],[Duration Flag]]+tblClean[[#This Row],[Host Flag]]=0,1,0)</f>
        <v>1</v>
      </c>
    </row>
    <row r="196" spans="1:24" x14ac:dyDescent="0.3">
      <c r="A196" s="9" t="str">
        <f>TRIM('Raw Data'!A192)</f>
        <v>LS-0188</v>
      </c>
      <c r="B196" s="10">
        <f>IF(ISNUMBER('Raw Data'!B192),INT('Raw Data'!B192),IFERROR(DATEVALUE('Raw Data'!B192),""))</f>
        <v>45856</v>
      </c>
      <c r="C196" s="9" t="str">
        <f>PROPER(TRIM('Raw Data'!C192))</f>
        <v>Bianca Reyes</v>
      </c>
      <c r="D196" s="11">
        <f>IF(ISNUMBER('Raw Data'!D192),MOD('Raw Data'!D192,1),IFERROR(TIMEVALUE('Raw Data'!D192),""))</f>
        <v>0.79166666666666663</v>
      </c>
      <c r="E196" s="11">
        <f>IF(ISNUMBER('Raw Data'!E192),MOD('Raw Data'!E192,1),IFERROR(TIMEVALUE('Raw Data'!E192),""))</f>
        <v>0.875</v>
      </c>
      <c r="F196" s="12">
        <f>IF(ISNUMBER('Raw Data'!F192),'Raw Data'!F192,IFERROR(VALUE(SUBSTITUTE('Raw Data'!F192,",","")),""))</f>
        <v>21881</v>
      </c>
      <c r="G196" s="13">
        <f>IF(ISNUMBER('Raw Data'!G192),'Raw Data'!G192,IFERROR(VALUE(SUBSTITUTE('Raw Data'!G192,",","")),""))</f>
        <v>71</v>
      </c>
      <c r="H196" s="13">
        <f>IF(ISNUMBER('Raw Data'!H192),'Raw Data'!H192,IFERROR(VALUE(SUBSTITUTE('Raw Data'!H192,",","")),""))</f>
        <v>81836</v>
      </c>
      <c r="I196" s="13">
        <f>IF(ISNUMBER('Raw Data'!I192),'Raw Data'!I192,IFERROR(VALUE(SUBSTITUTE('Raw Data'!I192,",","")),""))</f>
        <v>966</v>
      </c>
      <c r="J196" s="21">
        <f>IF(AND(ISNUMBER(tblClean[[#This Row],[Start Time]]),ISNUMBER(tblClean[[#This Row],[End Time]])),ROUND(MOD(tblClean[[#This Row],[End Time]]-tblClean[[#This Row],[Start Time]],1)*24,2),"")</f>
        <v>2</v>
      </c>
      <c r="K196" s="12">
        <f>IF(AND(ISNUMBER(tblClean[[#This Row],[Duration Hours]]),ISNUMBER(tblClean[[#This Row],[Attributed GMV PHP]])),IF(tblClean[[#This Row],[Duration Hours]]&gt;0,tblClean[[#This Row],[Attributed GMV PHP]]/tblClean[[#This Row],[Duration Hours]],""),"")</f>
        <v>10940.5</v>
      </c>
      <c r="L196" s="22">
        <f>IF(ISNUMBER(tblClean[[#This Row],[Date]]),DATE(YEAR(tblClean[[#This Row],[Date]]),MONTH(tblClean[[#This Row],[Date]]),1),"")</f>
        <v>45839</v>
      </c>
      <c r="M196" s="10">
        <f>IF(ISNUMBER(tblClean[[#This Row],[Date]]),tblClean[[#This Row],[Date]]-WEEKDAY(tblClean[[#This Row],[Date]],2)+1,"")</f>
        <v>45852</v>
      </c>
      <c r="N196" s="23">
        <f>IF(ISNUMBER(tblClean[[#This Row],[Week Start]]),(tblClean[[#This Row],[Week Start]]-MIN(tblClean[Week Start]))/7+1,"")</f>
        <v>7</v>
      </c>
      <c r="O196" s="24" t="str">
        <f>IF(ISNUMBER(tblClean[[#This Row],[Date]]),CHOOSE(WEEKDAY(tblClean[[#This Row],[Date]],2),"Mon","Tue","Wed","Thu","Fri","Sat","Sun"),"")</f>
        <v>Fri</v>
      </c>
      <c r="P196" s="24" t="str">
        <f>IF(ISNUMBER(tblClean[[#This Row],[Date]]),IF(WEEKDAY(tblClean[[#This Row],[Date]],2)&gt;=6,"Weekend","Weekday"),"")</f>
        <v>Weekday</v>
      </c>
      <c r="Q19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196" s="9" t="str">
        <f>IF(ISNUMBER(tblClean[[#This Row],[Duration Hours]]),IF(tblClean[[#This Row],[Duration Hours]]&lt;2,"Short (under 2h)",IF(tblClean[[#This Row],[Duration Hours]]&lt;3,"Standard (2h to under 3h)","Long (3h or more)")),"")</f>
        <v>Standard (2h to under 3h)</v>
      </c>
      <c r="S19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96" s="24">
        <f>IF(COUNTIF(tblClean[Session ID],tblClean[[#This Row],[Session ID]])&gt;1,1,0)</f>
        <v>0</v>
      </c>
      <c r="U196" s="24">
        <f>IF(OR(N(tblClean[[#This Row],[Attributed GMV PHP]])&lt;0,N(tblClean[[#This Row],[Items Sold]])&lt;0,N(tblClean[[#This Row],[Livestream Views]])&lt;0,N(tblClean[[#This Row],[New Followers]])&lt;0),1,0)</f>
        <v>0</v>
      </c>
      <c r="V196" s="24">
        <f>IF(ISNUMBER(tblClean[[#This Row],[Duration Hours]]),IF(OR(tblClean[[#This Row],[Duration Hours]]&lt;=0,tblClean[[#This Row],[Duration Hours]]&gt;12),1,0),1)</f>
        <v>0</v>
      </c>
      <c r="W196" s="24">
        <f>IF(COUNTIF(HostRoster,tblClean[[#This Row],[Host Name]])=0,1,0)</f>
        <v>0</v>
      </c>
      <c r="X196" s="24">
        <f>IF(tblClean[[#This Row],[Missing Flag]]+tblClean[[#This Row],[Duplicate Flag]]+tblClean[[#This Row],[Negative Flag]]+tblClean[[#This Row],[Duration Flag]]+tblClean[[#This Row],[Host Flag]]=0,1,0)</f>
        <v>1</v>
      </c>
    </row>
    <row r="197" spans="1:24" x14ac:dyDescent="0.3">
      <c r="A197" s="9" t="str">
        <f>TRIM('Raw Data'!A193)</f>
        <v>LS-0189</v>
      </c>
      <c r="B197" s="10">
        <f>IF(ISNUMBER('Raw Data'!B193),INT('Raw Data'!B193),IFERROR(DATEVALUE('Raw Data'!B193),""))</f>
        <v>45856</v>
      </c>
      <c r="C197" s="9" t="str">
        <f>PROPER(TRIM('Raw Data'!C193))</f>
        <v>Bianca Reyes</v>
      </c>
      <c r="D197" s="11">
        <f>IF(ISNUMBER('Raw Data'!D193),MOD('Raw Data'!D193,1),IFERROR(TIMEVALUE('Raw Data'!D193),""))</f>
        <v>0.91666666666666663</v>
      </c>
      <c r="E197" s="11">
        <f>IF(ISNUMBER('Raw Data'!E193),MOD('Raw Data'!E193,1),IFERROR(TIMEVALUE('Raw Data'!E193),""))</f>
        <v>2.0833333333333329E-2</v>
      </c>
      <c r="F197" s="12">
        <f>IF(ISNUMBER('Raw Data'!F193),'Raw Data'!F193,IFERROR(VALUE(SUBSTITUTE('Raw Data'!F193,",","")),""))</f>
        <v>35803</v>
      </c>
      <c r="G197" s="13">
        <f>IF(ISNUMBER('Raw Data'!G193),'Raw Data'!G193,IFERROR(VALUE(SUBSTITUTE('Raw Data'!G193,",","")),""))</f>
        <v>106</v>
      </c>
      <c r="H197" s="13">
        <f>IF(ISNUMBER('Raw Data'!H193),'Raw Data'!H193,IFERROR(VALUE(SUBSTITUTE('Raw Data'!H193,",","")),""))</f>
        <v>136284</v>
      </c>
      <c r="I197" s="13">
        <f>IF(ISNUMBER('Raw Data'!I193),'Raw Data'!I193,IFERROR(VALUE(SUBSTITUTE('Raw Data'!I193,",","")),""))</f>
        <v>1236</v>
      </c>
      <c r="J197" s="21">
        <f>IF(AND(ISNUMBER(tblClean[[#This Row],[Start Time]]),ISNUMBER(tblClean[[#This Row],[End Time]])),ROUND(MOD(tblClean[[#This Row],[End Time]]-tblClean[[#This Row],[Start Time]],1)*24,2),"")</f>
        <v>2.5</v>
      </c>
      <c r="K197" s="12">
        <f>IF(AND(ISNUMBER(tblClean[[#This Row],[Duration Hours]]),ISNUMBER(tblClean[[#This Row],[Attributed GMV PHP]])),IF(tblClean[[#This Row],[Duration Hours]]&gt;0,tblClean[[#This Row],[Attributed GMV PHP]]/tblClean[[#This Row],[Duration Hours]],""),"")</f>
        <v>14321.2</v>
      </c>
      <c r="L197" s="22">
        <f>IF(ISNUMBER(tblClean[[#This Row],[Date]]),DATE(YEAR(tblClean[[#This Row],[Date]]),MONTH(tblClean[[#This Row],[Date]]),1),"")</f>
        <v>45839</v>
      </c>
      <c r="M197" s="10">
        <f>IF(ISNUMBER(tblClean[[#This Row],[Date]]),tblClean[[#This Row],[Date]]-WEEKDAY(tblClean[[#This Row],[Date]],2)+1,"")</f>
        <v>45852</v>
      </c>
      <c r="N197" s="23">
        <f>IF(ISNUMBER(tblClean[[#This Row],[Week Start]]),(tblClean[[#This Row],[Week Start]]-MIN(tblClean[Week Start]))/7+1,"")</f>
        <v>7</v>
      </c>
      <c r="O197" s="24" t="str">
        <f>IF(ISNUMBER(tblClean[[#This Row],[Date]]),CHOOSE(WEEKDAY(tblClean[[#This Row],[Date]],2),"Mon","Tue","Wed","Thu","Fri","Sat","Sun"),"")</f>
        <v>Fri</v>
      </c>
      <c r="P197" s="24" t="str">
        <f>IF(ISNUMBER(tblClean[[#This Row],[Date]]),IF(WEEKDAY(tblClean[[#This Row],[Date]],2)&gt;=6,"Weekend","Weekday"),"")</f>
        <v>Weekday</v>
      </c>
      <c r="Q19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197" s="9" t="str">
        <f>IF(ISNUMBER(tblClean[[#This Row],[Duration Hours]]),IF(tblClean[[#This Row],[Duration Hours]]&lt;2,"Short (under 2h)",IF(tblClean[[#This Row],[Duration Hours]]&lt;3,"Standard (2h to under 3h)","Long (3h or more)")),"")</f>
        <v>Standard (2h to under 3h)</v>
      </c>
      <c r="S19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97" s="24">
        <f>IF(COUNTIF(tblClean[Session ID],tblClean[[#This Row],[Session ID]])&gt;1,1,0)</f>
        <v>0</v>
      </c>
      <c r="U197" s="24">
        <f>IF(OR(N(tblClean[[#This Row],[Attributed GMV PHP]])&lt;0,N(tblClean[[#This Row],[Items Sold]])&lt;0,N(tblClean[[#This Row],[Livestream Views]])&lt;0,N(tblClean[[#This Row],[New Followers]])&lt;0),1,0)</f>
        <v>0</v>
      </c>
      <c r="V197" s="24">
        <f>IF(ISNUMBER(tblClean[[#This Row],[Duration Hours]]),IF(OR(tblClean[[#This Row],[Duration Hours]]&lt;=0,tblClean[[#This Row],[Duration Hours]]&gt;12),1,0),1)</f>
        <v>0</v>
      </c>
      <c r="W197" s="24">
        <f>IF(COUNTIF(HostRoster,tblClean[[#This Row],[Host Name]])=0,1,0)</f>
        <v>0</v>
      </c>
      <c r="X197" s="24">
        <f>IF(tblClean[[#This Row],[Missing Flag]]+tblClean[[#This Row],[Duplicate Flag]]+tblClean[[#This Row],[Negative Flag]]+tblClean[[#This Row],[Duration Flag]]+tblClean[[#This Row],[Host Flag]]=0,1,0)</f>
        <v>1</v>
      </c>
    </row>
    <row r="198" spans="1:24" x14ac:dyDescent="0.3">
      <c r="A198" s="9" t="str">
        <f>TRIM('Raw Data'!A194)</f>
        <v>LS-0190</v>
      </c>
      <c r="B198" s="10">
        <f>IF(ISNUMBER('Raw Data'!B194),INT('Raw Data'!B194),IFERROR(DATEVALUE('Raw Data'!B194),""))</f>
        <v>45857</v>
      </c>
      <c r="C198" s="9" t="str">
        <f>PROPER(TRIM('Raw Data'!C194))</f>
        <v>Elise Navarro</v>
      </c>
      <c r="D198" s="11">
        <f>IF(ISNUMBER('Raw Data'!D194),MOD('Raw Data'!D194,1),IFERROR(TIMEVALUE('Raw Data'!D194),""))</f>
        <v>0.54166666666666663</v>
      </c>
      <c r="E198" s="11">
        <f>IF(ISNUMBER('Raw Data'!E194),MOD('Raw Data'!E194,1),IFERROR(TIMEVALUE('Raw Data'!E194),""))</f>
        <v>0.625</v>
      </c>
      <c r="F198" s="12">
        <f>IF(ISNUMBER('Raw Data'!F194),'Raw Data'!F194,IFERROR(VALUE(SUBSTITUTE('Raw Data'!F194,",","")),""))</f>
        <v>16265</v>
      </c>
      <c r="G198" s="13">
        <f>IF(ISNUMBER('Raw Data'!G194),'Raw Data'!G194,IFERROR(VALUE(SUBSTITUTE('Raw Data'!G194,",","")),""))</f>
        <v>51</v>
      </c>
      <c r="H198" s="13">
        <f>IF(ISNUMBER('Raw Data'!H194),'Raw Data'!H194,IFERROR(VALUE(SUBSTITUTE('Raw Data'!H194,",","")),""))</f>
        <v>29214</v>
      </c>
      <c r="I198" s="13">
        <f>IF(ISNUMBER('Raw Data'!I194),'Raw Data'!I194,IFERROR(VALUE(SUBSTITUTE('Raw Data'!I194,",","")),""))</f>
        <v>148</v>
      </c>
      <c r="J198" s="21">
        <f>IF(AND(ISNUMBER(tblClean[[#This Row],[Start Time]]),ISNUMBER(tblClean[[#This Row],[End Time]])),ROUND(MOD(tblClean[[#This Row],[End Time]]-tblClean[[#This Row],[Start Time]],1)*24,2),"")</f>
        <v>2</v>
      </c>
      <c r="K198" s="12">
        <f>IF(AND(ISNUMBER(tblClean[[#This Row],[Duration Hours]]),ISNUMBER(tblClean[[#This Row],[Attributed GMV PHP]])),IF(tblClean[[#This Row],[Duration Hours]]&gt;0,tblClean[[#This Row],[Attributed GMV PHP]]/tblClean[[#This Row],[Duration Hours]],""),"")</f>
        <v>8132.5</v>
      </c>
      <c r="L198" s="22">
        <f>IF(ISNUMBER(tblClean[[#This Row],[Date]]),DATE(YEAR(tblClean[[#This Row],[Date]]),MONTH(tblClean[[#This Row],[Date]]),1),"")</f>
        <v>45839</v>
      </c>
      <c r="M198" s="10">
        <f>IF(ISNUMBER(tblClean[[#This Row],[Date]]),tblClean[[#This Row],[Date]]-WEEKDAY(tblClean[[#This Row],[Date]],2)+1,"")</f>
        <v>45852</v>
      </c>
      <c r="N198" s="23">
        <f>IF(ISNUMBER(tblClean[[#This Row],[Week Start]]),(tblClean[[#This Row],[Week Start]]-MIN(tblClean[Week Start]))/7+1,"")</f>
        <v>7</v>
      </c>
      <c r="O198" s="24" t="str">
        <f>IF(ISNUMBER(tblClean[[#This Row],[Date]]),CHOOSE(WEEKDAY(tblClean[[#This Row],[Date]],2),"Mon","Tue","Wed","Thu","Fri","Sat","Sun"),"")</f>
        <v>Sat</v>
      </c>
      <c r="P198" s="24" t="str">
        <f>IF(ISNUMBER(tblClean[[#This Row],[Date]]),IF(WEEKDAY(tblClean[[#This Row],[Date]],2)&gt;=6,"Weekend","Weekday"),"")</f>
        <v>Weekend</v>
      </c>
      <c r="Q19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198" s="9" t="str">
        <f>IF(ISNUMBER(tblClean[[#This Row],[Duration Hours]]),IF(tblClean[[#This Row],[Duration Hours]]&lt;2,"Short (under 2h)",IF(tblClean[[#This Row],[Duration Hours]]&lt;3,"Standard (2h to under 3h)","Long (3h or more)")),"")</f>
        <v>Standard (2h to under 3h)</v>
      </c>
      <c r="S19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98" s="24">
        <f>IF(COUNTIF(tblClean[Session ID],tblClean[[#This Row],[Session ID]])&gt;1,1,0)</f>
        <v>0</v>
      </c>
      <c r="U198" s="24">
        <f>IF(OR(N(tblClean[[#This Row],[Attributed GMV PHP]])&lt;0,N(tblClean[[#This Row],[Items Sold]])&lt;0,N(tblClean[[#This Row],[Livestream Views]])&lt;0,N(tblClean[[#This Row],[New Followers]])&lt;0),1,0)</f>
        <v>0</v>
      </c>
      <c r="V198" s="24">
        <f>IF(ISNUMBER(tblClean[[#This Row],[Duration Hours]]),IF(OR(tblClean[[#This Row],[Duration Hours]]&lt;=0,tblClean[[#This Row],[Duration Hours]]&gt;12),1,0),1)</f>
        <v>0</v>
      </c>
      <c r="W198" s="24">
        <f>IF(COUNTIF(HostRoster,tblClean[[#This Row],[Host Name]])=0,1,0)</f>
        <v>0</v>
      </c>
      <c r="X198" s="24">
        <f>IF(tblClean[[#This Row],[Missing Flag]]+tblClean[[#This Row],[Duplicate Flag]]+tblClean[[#This Row],[Negative Flag]]+tblClean[[#This Row],[Duration Flag]]+tblClean[[#This Row],[Host Flag]]=0,1,0)</f>
        <v>1</v>
      </c>
    </row>
    <row r="199" spans="1:24" x14ac:dyDescent="0.3">
      <c r="A199" s="9" t="str">
        <f>TRIM('Raw Data'!A195)</f>
        <v>LS-0191</v>
      </c>
      <c r="B199" s="10">
        <f>IF(ISNUMBER('Raw Data'!B195),INT('Raw Data'!B195),IFERROR(DATEVALUE('Raw Data'!B195),""))</f>
        <v>45857</v>
      </c>
      <c r="C199" s="9" t="str">
        <f>PROPER(TRIM('Raw Data'!C195))</f>
        <v>Carlo Mendoza</v>
      </c>
      <c r="D199" s="11">
        <f>IF(ISNUMBER('Raw Data'!D195),MOD('Raw Data'!D195,1),IFERROR(TIMEVALUE('Raw Data'!D195),""))</f>
        <v>0.66666666666666663</v>
      </c>
      <c r="E199" s="11">
        <f>IF(ISNUMBER('Raw Data'!E195),MOD('Raw Data'!E195,1),IFERROR(TIMEVALUE('Raw Data'!E195),""))</f>
        <v>0.75</v>
      </c>
      <c r="F199" s="12">
        <f>IF(ISNUMBER('Raw Data'!F195),'Raw Data'!F195,IFERROR(VALUE(SUBSTITUTE('Raw Data'!F195,",","")),""))</f>
        <v>43552</v>
      </c>
      <c r="G199" s="13">
        <f>IF(ISNUMBER('Raw Data'!G195),'Raw Data'!G195,IFERROR(VALUE(SUBSTITUTE('Raw Data'!G195,",","")),""))</f>
        <v>118</v>
      </c>
      <c r="H199" s="13">
        <f>IF(ISNUMBER('Raw Data'!H195),'Raw Data'!H195,IFERROR(VALUE(SUBSTITUTE('Raw Data'!H195,",","")),""))</f>
        <v>194146</v>
      </c>
      <c r="I199" s="13">
        <f>IF(ISNUMBER('Raw Data'!I195),'Raw Data'!I195,IFERROR(VALUE(SUBSTITUTE('Raw Data'!I195,",","")),""))</f>
        <v>2513</v>
      </c>
      <c r="J199" s="21">
        <f>IF(AND(ISNUMBER(tblClean[[#This Row],[Start Time]]),ISNUMBER(tblClean[[#This Row],[End Time]])),ROUND(MOD(tblClean[[#This Row],[End Time]]-tblClean[[#This Row],[Start Time]],1)*24,2),"")</f>
        <v>2</v>
      </c>
      <c r="K199" s="12">
        <f>IF(AND(ISNUMBER(tblClean[[#This Row],[Duration Hours]]),ISNUMBER(tblClean[[#This Row],[Attributed GMV PHP]])),IF(tblClean[[#This Row],[Duration Hours]]&gt;0,tblClean[[#This Row],[Attributed GMV PHP]]/tblClean[[#This Row],[Duration Hours]],""),"")</f>
        <v>21776</v>
      </c>
      <c r="L199" s="22">
        <f>IF(ISNUMBER(tblClean[[#This Row],[Date]]),DATE(YEAR(tblClean[[#This Row],[Date]]),MONTH(tblClean[[#This Row],[Date]]),1),"")</f>
        <v>45839</v>
      </c>
      <c r="M199" s="10">
        <f>IF(ISNUMBER(tblClean[[#This Row],[Date]]),tblClean[[#This Row],[Date]]-WEEKDAY(tblClean[[#This Row],[Date]],2)+1,"")</f>
        <v>45852</v>
      </c>
      <c r="N199" s="23">
        <f>IF(ISNUMBER(tblClean[[#This Row],[Week Start]]),(tblClean[[#This Row],[Week Start]]-MIN(tblClean[Week Start]))/7+1,"")</f>
        <v>7</v>
      </c>
      <c r="O199" s="24" t="str">
        <f>IF(ISNUMBER(tblClean[[#This Row],[Date]]),CHOOSE(WEEKDAY(tblClean[[#This Row],[Date]],2),"Mon","Tue","Wed","Thu","Fri","Sat","Sun"),"")</f>
        <v>Sat</v>
      </c>
      <c r="P199" s="24" t="str">
        <f>IF(ISNUMBER(tblClean[[#This Row],[Date]]),IF(WEEKDAY(tblClean[[#This Row],[Date]],2)&gt;=6,"Weekend","Weekday"),"")</f>
        <v>Weekend</v>
      </c>
      <c r="Q19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199" s="9" t="str">
        <f>IF(ISNUMBER(tblClean[[#This Row],[Duration Hours]]),IF(tblClean[[#This Row],[Duration Hours]]&lt;2,"Short (under 2h)",IF(tblClean[[#This Row],[Duration Hours]]&lt;3,"Standard (2h to under 3h)","Long (3h or more)")),"")</f>
        <v>Standard (2h to under 3h)</v>
      </c>
      <c r="S19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199" s="24">
        <f>IF(COUNTIF(tblClean[Session ID],tblClean[[#This Row],[Session ID]])&gt;1,1,0)</f>
        <v>0</v>
      </c>
      <c r="U199" s="24">
        <f>IF(OR(N(tblClean[[#This Row],[Attributed GMV PHP]])&lt;0,N(tblClean[[#This Row],[Items Sold]])&lt;0,N(tblClean[[#This Row],[Livestream Views]])&lt;0,N(tblClean[[#This Row],[New Followers]])&lt;0),1,0)</f>
        <v>0</v>
      </c>
      <c r="V199" s="24">
        <f>IF(ISNUMBER(tblClean[[#This Row],[Duration Hours]]),IF(OR(tblClean[[#This Row],[Duration Hours]]&lt;=0,tblClean[[#This Row],[Duration Hours]]&gt;12),1,0),1)</f>
        <v>0</v>
      </c>
      <c r="W199" s="24">
        <f>IF(COUNTIF(HostRoster,tblClean[[#This Row],[Host Name]])=0,1,0)</f>
        <v>0</v>
      </c>
      <c r="X199" s="24">
        <f>IF(tblClean[[#This Row],[Missing Flag]]+tblClean[[#This Row],[Duplicate Flag]]+tblClean[[#This Row],[Negative Flag]]+tblClean[[#This Row],[Duration Flag]]+tblClean[[#This Row],[Host Flag]]=0,1,0)</f>
        <v>1</v>
      </c>
    </row>
    <row r="200" spans="1:24" x14ac:dyDescent="0.3">
      <c r="A200" s="9" t="str">
        <f>TRIM('Raw Data'!A196)</f>
        <v>LS-0192</v>
      </c>
      <c r="B200" s="10">
        <f>IF(ISNUMBER('Raw Data'!B196),INT('Raw Data'!B196),IFERROR(DATEVALUE('Raw Data'!B196),""))</f>
        <v>45857</v>
      </c>
      <c r="C200" s="9" t="str">
        <f>PROPER(TRIM('Raw Data'!C196))</f>
        <v>Dani Villanueva</v>
      </c>
      <c r="D200" s="11">
        <f>IF(ISNUMBER('Raw Data'!D196),MOD('Raw Data'!D196,1),IFERROR(TIMEVALUE('Raw Data'!D196),""))</f>
        <v>0.79166666666666663</v>
      </c>
      <c r="E200" s="11">
        <f>IF(ISNUMBER('Raw Data'!E196),MOD('Raw Data'!E196,1),IFERROR(TIMEVALUE('Raw Data'!E196),""))</f>
        <v>0.875</v>
      </c>
      <c r="F200" s="12">
        <f>IF(ISNUMBER('Raw Data'!F196),'Raw Data'!F196,IFERROR(VALUE(SUBSTITUTE('Raw Data'!F196,",","")),""))</f>
        <v>51938</v>
      </c>
      <c r="G200" s="13">
        <f>IF(ISNUMBER('Raw Data'!G196),'Raw Data'!G196,IFERROR(VALUE(SUBSTITUTE('Raw Data'!G196,",","")),""))</f>
        <v>160</v>
      </c>
      <c r="H200" s="13">
        <f>IF(ISNUMBER('Raw Data'!H196),'Raw Data'!H196,IFERROR(VALUE(SUBSTITUTE('Raw Data'!H196,",","")),""))</f>
        <v>168720</v>
      </c>
      <c r="I200" s="13">
        <f>IF(ISNUMBER('Raw Data'!I196),'Raw Data'!I196,IFERROR(VALUE(SUBSTITUTE('Raw Data'!I196,",","")),""))</f>
        <v>1021</v>
      </c>
      <c r="J200" s="21">
        <f>IF(AND(ISNUMBER(tblClean[[#This Row],[Start Time]]),ISNUMBER(tblClean[[#This Row],[End Time]])),ROUND(MOD(tblClean[[#This Row],[End Time]]-tblClean[[#This Row],[Start Time]],1)*24,2),"")</f>
        <v>2</v>
      </c>
      <c r="K200" s="12">
        <f>IF(AND(ISNUMBER(tblClean[[#This Row],[Duration Hours]]),ISNUMBER(tblClean[[#This Row],[Attributed GMV PHP]])),IF(tblClean[[#This Row],[Duration Hours]]&gt;0,tblClean[[#This Row],[Attributed GMV PHP]]/tblClean[[#This Row],[Duration Hours]],""),"")</f>
        <v>25969</v>
      </c>
      <c r="L200" s="22">
        <f>IF(ISNUMBER(tblClean[[#This Row],[Date]]),DATE(YEAR(tblClean[[#This Row],[Date]]),MONTH(tblClean[[#This Row],[Date]]),1),"")</f>
        <v>45839</v>
      </c>
      <c r="M200" s="10">
        <f>IF(ISNUMBER(tblClean[[#This Row],[Date]]),tblClean[[#This Row],[Date]]-WEEKDAY(tblClean[[#This Row],[Date]],2)+1,"")</f>
        <v>45852</v>
      </c>
      <c r="N200" s="23">
        <f>IF(ISNUMBER(tblClean[[#This Row],[Week Start]]),(tblClean[[#This Row],[Week Start]]-MIN(tblClean[Week Start]))/7+1,"")</f>
        <v>7</v>
      </c>
      <c r="O200" s="24" t="str">
        <f>IF(ISNUMBER(tblClean[[#This Row],[Date]]),CHOOSE(WEEKDAY(tblClean[[#This Row],[Date]],2),"Mon","Tue","Wed","Thu","Fri","Sat","Sun"),"")</f>
        <v>Sat</v>
      </c>
      <c r="P200" s="24" t="str">
        <f>IF(ISNUMBER(tblClean[[#This Row],[Date]]),IF(WEEKDAY(tblClean[[#This Row],[Date]],2)&gt;=6,"Weekend","Weekday"),"")</f>
        <v>Weekend</v>
      </c>
      <c r="Q20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00" s="9" t="str">
        <f>IF(ISNUMBER(tblClean[[#This Row],[Duration Hours]]),IF(tblClean[[#This Row],[Duration Hours]]&lt;2,"Short (under 2h)",IF(tblClean[[#This Row],[Duration Hours]]&lt;3,"Standard (2h to under 3h)","Long (3h or more)")),"")</f>
        <v>Standard (2h to under 3h)</v>
      </c>
      <c r="S20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00" s="24">
        <f>IF(COUNTIF(tblClean[Session ID],tblClean[[#This Row],[Session ID]])&gt;1,1,0)</f>
        <v>0</v>
      </c>
      <c r="U200" s="24">
        <f>IF(OR(N(tblClean[[#This Row],[Attributed GMV PHP]])&lt;0,N(tblClean[[#This Row],[Items Sold]])&lt;0,N(tblClean[[#This Row],[Livestream Views]])&lt;0,N(tblClean[[#This Row],[New Followers]])&lt;0),1,0)</f>
        <v>0</v>
      </c>
      <c r="V200" s="24">
        <f>IF(ISNUMBER(tblClean[[#This Row],[Duration Hours]]),IF(OR(tblClean[[#This Row],[Duration Hours]]&lt;=0,tblClean[[#This Row],[Duration Hours]]&gt;12),1,0),1)</f>
        <v>0</v>
      </c>
      <c r="W200" s="24">
        <f>IF(COUNTIF(HostRoster,tblClean[[#This Row],[Host Name]])=0,1,0)</f>
        <v>0</v>
      </c>
      <c r="X200" s="24">
        <f>IF(tblClean[[#This Row],[Missing Flag]]+tblClean[[#This Row],[Duplicate Flag]]+tblClean[[#This Row],[Negative Flag]]+tblClean[[#This Row],[Duration Flag]]+tblClean[[#This Row],[Host Flag]]=0,1,0)</f>
        <v>1</v>
      </c>
    </row>
    <row r="201" spans="1:24" x14ac:dyDescent="0.3">
      <c r="A201" s="9" t="str">
        <f>TRIM('Raw Data'!A197)</f>
        <v>LS-0193</v>
      </c>
      <c r="B201" s="10">
        <f>IF(ISNUMBER('Raw Data'!B197),INT('Raw Data'!B197),IFERROR(DATEVALUE('Raw Data'!B197),""))</f>
        <v>45858</v>
      </c>
      <c r="C201" s="9" t="str">
        <f>PROPER(TRIM('Raw Data'!C197))</f>
        <v>Bianca Reyes</v>
      </c>
      <c r="D201" s="11">
        <f>IF(ISNUMBER('Raw Data'!D197),MOD('Raw Data'!D197,1),IFERROR(TIMEVALUE('Raw Data'!D197),""))</f>
        <v>0.41666666666666669</v>
      </c>
      <c r="E201" s="11">
        <f>IF(ISNUMBER('Raw Data'!E197),MOD('Raw Data'!E197,1),IFERROR(TIMEVALUE('Raw Data'!E197),""))</f>
        <v>0.54166666666666663</v>
      </c>
      <c r="F201" s="12">
        <f>IF(ISNUMBER('Raw Data'!F197),'Raw Data'!F197,IFERROR(VALUE(SUBSTITUTE('Raw Data'!F197,",","")),""))</f>
        <v>24821</v>
      </c>
      <c r="G201" s="13">
        <f>IF(ISNUMBER('Raw Data'!G197),'Raw Data'!G197,IFERROR(VALUE(SUBSTITUTE('Raw Data'!G197,",","")),""))</f>
        <v>74</v>
      </c>
      <c r="H201" s="13">
        <f>IF(ISNUMBER('Raw Data'!H197),'Raw Data'!H197,IFERROR(VALUE(SUBSTITUTE('Raw Data'!H197,",","")),""))</f>
        <v>97170</v>
      </c>
      <c r="I201" s="13">
        <f>IF(ISNUMBER('Raw Data'!I197),'Raw Data'!I197,IFERROR(VALUE(SUBSTITUTE('Raw Data'!I197,",","")),""))</f>
        <v>589</v>
      </c>
      <c r="J201" s="21">
        <f>IF(AND(ISNUMBER(tblClean[[#This Row],[Start Time]]),ISNUMBER(tblClean[[#This Row],[End Time]])),ROUND(MOD(tblClean[[#This Row],[End Time]]-tblClean[[#This Row],[Start Time]],1)*24,2),"")</f>
        <v>3</v>
      </c>
      <c r="K201" s="12">
        <f>IF(AND(ISNUMBER(tblClean[[#This Row],[Duration Hours]]),ISNUMBER(tblClean[[#This Row],[Attributed GMV PHP]])),IF(tblClean[[#This Row],[Duration Hours]]&gt;0,tblClean[[#This Row],[Attributed GMV PHP]]/tblClean[[#This Row],[Duration Hours]],""),"")</f>
        <v>8273.6666666666661</v>
      </c>
      <c r="L201" s="22">
        <f>IF(ISNUMBER(tblClean[[#This Row],[Date]]),DATE(YEAR(tblClean[[#This Row],[Date]]),MONTH(tblClean[[#This Row],[Date]]),1),"")</f>
        <v>45839</v>
      </c>
      <c r="M201" s="10">
        <f>IF(ISNUMBER(tblClean[[#This Row],[Date]]),tblClean[[#This Row],[Date]]-WEEKDAY(tblClean[[#This Row],[Date]],2)+1,"")</f>
        <v>45852</v>
      </c>
      <c r="N201" s="23">
        <f>IF(ISNUMBER(tblClean[[#This Row],[Week Start]]),(tblClean[[#This Row],[Week Start]]-MIN(tblClean[Week Start]))/7+1,"")</f>
        <v>7</v>
      </c>
      <c r="O201" s="24" t="str">
        <f>IF(ISNUMBER(tblClean[[#This Row],[Date]]),CHOOSE(WEEKDAY(tblClean[[#This Row],[Date]],2),"Mon","Tue","Wed","Thu","Fri","Sat","Sun"),"")</f>
        <v>Sun</v>
      </c>
      <c r="P201" s="24" t="str">
        <f>IF(ISNUMBER(tblClean[[#This Row],[Date]]),IF(WEEKDAY(tblClean[[#This Row],[Date]],2)&gt;=6,"Weekend","Weekday"),"")</f>
        <v>Weekend</v>
      </c>
      <c r="Q20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01" s="9" t="str">
        <f>IF(ISNUMBER(tblClean[[#This Row],[Duration Hours]]),IF(tblClean[[#This Row],[Duration Hours]]&lt;2,"Short (under 2h)",IF(tblClean[[#This Row],[Duration Hours]]&lt;3,"Standard (2h to under 3h)","Long (3h or more)")),"")</f>
        <v>Long (3h or more)</v>
      </c>
      <c r="S20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01" s="24">
        <f>IF(COUNTIF(tblClean[Session ID],tblClean[[#This Row],[Session ID]])&gt;1,1,0)</f>
        <v>0</v>
      </c>
      <c r="U201" s="24">
        <f>IF(OR(N(tblClean[[#This Row],[Attributed GMV PHP]])&lt;0,N(tblClean[[#This Row],[Items Sold]])&lt;0,N(tblClean[[#This Row],[Livestream Views]])&lt;0,N(tblClean[[#This Row],[New Followers]])&lt;0),1,0)</f>
        <v>0</v>
      </c>
      <c r="V201" s="24">
        <f>IF(ISNUMBER(tblClean[[#This Row],[Duration Hours]]),IF(OR(tblClean[[#This Row],[Duration Hours]]&lt;=0,tblClean[[#This Row],[Duration Hours]]&gt;12),1,0),1)</f>
        <v>0</v>
      </c>
      <c r="W201" s="24">
        <f>IF(COUNTIF(HostRoster,tblClean[[#This Row],[Host Name]])=0,1,0)</f>
        <v>0</v>
      </c>
      <c r="X201" s="24">
        <f>IF(tblClean[[#This Row],[Missing Flag]]+tblClean[[#This Row],[Duplicate Flag]]+tblClean[[#This Row],[Negative Flag]]+tblClean[[#This Row],[Duration Flag]]+tblClean[[#This Row],[Host Flag]]=0,1,0)</f>
        <v>1</v>
      </c>
    </row>
    <row r="202" spans="1:24" x14ac:dyDescent="0.3">
      <c r="A202" s="9" t="str">
        <f>TRIM('Raw Data'!A198)</f>
        <v>LS-0194</v>
      </c>
      <c r="B202" s="10">
        <f>IF(ISNUMBER('Raw Data'!B198),INT('Raw Data'!B198),IFERROR(DATEVALUE('Raw Data'!B198),""))</f>
        <v>45858</v>
      </c>
      <c r="C202" s="9" t="str">
        <f>PROPER(TRIM('Raw Data'!C198))</f>
        <v>Dani Villanueva</v>
      </c>
      <c r="D202" s="11">
        <f>IF(ISNUMBER('Raw Data'!D198),MOD('Raw Data'!D198,1),IFERROR(TIMEVALUE('Raw Data'!D198),""))</f>
        <v>0.66666666666666663</v>
      </c>
      <c r="E202" s="11">
        <f>IF(ISNUMBER('Raw Data'!E198),MOD('Raw Data'!E198,1),IFERROR(TIMEVALUE('Raw Data'!E198),""))</f>
        <v>0.75</v>
      </c>
      <c r="F202" s="12">
        <f>IF(ISNUMBER('Raw Data'!F198),'Raw Data'!F198,IFERROR(VALUE(SUBSTITUTE('Raw Data'!F198,",","")),""))</f>
        <v>32932</v>
      </c>
      <c r="G202" s="13">
        <f>IF(ISNUMBER('Raw Data'!G198),'Raw Data'!G198,IFERROR(VALUE(SUBSTITUTE('Raw Data'!G198,",","")),""))</f>
        <v>91</v>
      </c>
      <c r="H202" s="13">
        <f>IF(ISNUMBER('Raw Data'!H198),'Raw Data'!H198,IFERROR(VALUE(SUBSTITUTE('Raw Data'!H198,",","")),""))</f>
        <v>139631</v>
      </c>
      <c r="I202" s="13">
        <f>IF(ISNUMBER('Raw Data'!I198),'Raw Data'!I198,IFERROR(VALUE(SUBSTITUTE('Raw Data'!I198,",","")),""))</f>
        <v>922</v>
      </c>
      <c r="J202" s="21">
        <f>IF(AND(ISNUMBER(tblClean[[#This Row],[Start Time]]),ISNUMBER(tblClean[[#This Row],[End Time]])),ROUND(MOD(tblClean[[#This Row],[End Time]]-tblClean[[#This Row],[Start Time]],1)*24,2),"")</f>
        <v>2</v>
      </c>
      <c r="K202" s="12">
        <f>IF(AND(ISNUMBER(tblClean[[#This Row],[Duration Hours]]),ISNUMBER(tblClean[[#This Row],[Attributed GMV PHP]])),IF(tblClean[[#This Row],[Duration Hours]]&gt;0,tblClean[[#This Row],[Attributed GMV PHP]]/tblClean[[#This Row],[Duration Hours]],""),"")</f>
        <v>16466</v>
      </c>
      <c r="L202" s="22">
        <f>IF(ISNUMBER(tblClean[[#This Row],[Date]]),DATE(YEAR(tblClean[[#This Row],[Date]]),MONTH(tblClean[[#This Row],[Date]]),1),"")</f>
        <v>45839</v>
      </c>
      <c r="M202" s="10">
        <f>IF(ISNUMBER(tblClean[[#This Row],[Date]]),tblClean[[#This Row],[Date]]-WEEKDAY(tblClean[[#This Row],[Date]],2)+1,"")</f>
        <v>45852</v>
      </c>
      <c r="N202" s="23">
        <f>IF(ISNUMBER(tblClean[[#This Row],[Week Start]]),(tblClean[[#This Row],[Week Start]]-MIN(tblClean[Week Start]))/7+1,"")</f>
        <v>7</v>
      </c>
      <c r="O202" s="24" t="str">
        <f>IF(ISNUMBER(tblClean[[#This Row],[Date]]),CHOOSE(WEEKDAY(tblClean[[#This Row],[Date]],2),"Mon","Tue","Wed","Thu","Fri","Sat","Sun"),"")</f>
        <v>Sun</v>
      </c>
      <c r="P202" s="24" t="str">
        <f>IF(ISNUMBER(tblClean[[#This Row],[Date]]),IF(WEEKDAY(tblClean[[#This Row],[Date]],2)&gt;=6,"Weekend","Weekday"),"")</f>
        <v>Weekend</v>
      </c>
      <c r="Q20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02" s="9" t="str">
        <f>IF(ISNUMBER(tblClean[[#This Row],[Duration Hours]]),IF(tblClean[[#This Row],[Duration Hours]]&lt;2,"Short (under 2h)",IF(tblClean[[#This Row],[Duration Hours]]&lt;3,"Standard (2h to under 3h)","Long (3h or more)")),"")</f>
        <v>Standard (2h to under 3h)</v>
      </c>
      <c r="S20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02" s="24">
        <f>IF(COUNTIF(tblClean[Session ID],tblClean[[#This Row],[Session ID]])&gt;1,1,0)</f>
        <v>0</v>
      </c>
      <c r="U202" s="24">
        <f>IF(OR(N(tblClean[[#This Row],[Attributed GMV PHP]])&lt;0,N(tblClean[[#This Row],[Items Sold]])&lt;0,N(tblClean[[#This Row],[Livestream Views]])&lt;0,N(tblClean[[#This Row],[New Followers]])&lt;0),1,0)</f>
        <v>0</v>
      </c>
      <c r="V202" s="24">
        <f>IF(ISNUMBER(tblClean[[#This Row],[Duration Hours]]),IF(OR(tblClean[[#This Row],[Duration Hours]]&lt;=0,tblClean[[#This Row],[Duration Hours]]&gt;12),1,0),1)</f>
        <v>0</v>
      </c>
      <c r="W202" s="24">
        <f>IF(COUNTIF(HostRoster,tblClean[[#This Row],[Host Name]])=0,1,0)</f>
        <v>0</v>
      </c>
      <c r="X202" s="24">
        <f>IF(tblClean[[#This Row],[Missing Flag]]+tblClean[[#This Row],[Duplicate Flag]]+tblClean[[#This Row],[Negative Flag]]+tblClean[[#This Row],[Duration Flag]]+tblClean[[#This Row],[Host Flag]]=0,1,0)</f>
        <v>1</v>
      </c>
    </row>
    <row r="203" spans="1:24" x14ac:dyDescent="0.3">
      <c r="A203" s="9" t="str">
        <f>TRIM('Raw Data'!A199)</f>
        <v>LS-0195</v>
      </c>
      <c r="B203" s="10">
        <f>IF(ISNUMBER('Raw Data'!B199),INT('Raw Data'!B199),IFERROR(DATEVALUE('Raw Data'!B199),""))</f>
        <v>45858</v>
      </c>
      <c r="C203" s="9" t="str">
        <f>PROPER(TRIM('Raw Data'!C199))</f>
        <v>Aira Valdez</v>
      </c>
      <c r="D203" s="11">
        <f>IF(ISNUMBER('Raw Data'!D199),MOD('Raw Data'!D199,1),IFERROR(TIMEVALUE('Raw Data'!D199),""))</f>
        <v>0.79166666666666663</v>
      </c>
      <c r="E203" s="11">
        <f>IF(ISNUMBER('Raw Data'!E199),MOD('Raw Data'!E199,1),IFERROR(TIMEVALUE('Raw Data'!E199),""))</f>
        <v>0.89583333333333337</v>
      </c>
      <c r="F203" s="12">
        <f>IF(ISNUMBER('Raw Data'!F199),'Raw Data'!F199,IFERROR(VALUE(SUBSTITUTE('Raw Data'!F199,",","")),""))</f>
        <v>153229</v>
      </c>
      <c r="G203" s="13">
        <f>IF(ISNUMBER('Raw Data'!G199),'Raw Data'!G199,IFERROR(VALUE(SUBSTITUTE('Raw Data'!G199,",","")),""))</f>
        <v>495</v>
      </c>
      <c r="H203" s="13">
        <f>IF(ISNUMBER('Raw Data'!H199),'Raw Data'!H199,IFERROR(VALUE(SUBSTITUTE('Raw Data'!H199,",","")),""))</f>
        <v>633742</v>
      </c>
      <c r="I203" s="13">
        <f>IF(ISNUMBER('Raw Data'!I199),'Raw Data'!I199,IFERROR(VALUE(SUBSTITUTE('Raw Data'!I199,",","")),""))</f>
        <v>3773</v>
      </c>
      <c r="J203" s="21">
        <f>IF(AND(ISNUMBER(tblClean[[#This Row],[Start Time]]),ISNUMBER(tblClean[[#This Row],[End Time]])),ROUND(MOD(tblClean[[#This Row],[End Time]]-tblClean[[#This Row],[Start Time]],1)*24,2),"")</f>
        <v>2.5</v>
      </c>
      <c r="K203" s="12">
        <f>IF(AND(ISNUMBER(tblClean[[#This Row],[Duration Hours]]),ISNUMBER(tblClean[[#This Row],[Attributed GMV PHP]])),IF(tblClean[[#This Row],[Duration Hours]]&gt;0,tblClean[[#This Row],[Attributed GMV PHP]]/tblClean[[#This Row],[Duration Hours]],""),"")</f>
        <v>61291.6</v>
      </c>
      <c r="L203" s="22">
        <f>IF(ISNUMBER(tblClean[[#This Row],[Date]]),DATE(YEAR(tblClean[[#This Row],[Date]]),MONTH(tblClean[[#This Row],[Date]]),1),"")</f>
        <v>45839</v>
      </c>
      <c r="M203" s="10">
        <f>IF(ISNUMBER(tblClean[[#This Row],[Date]]),tblClean[[#This Row],[Date]]-WEEKDAY(tblClean[[#This Row],[Date]],2)+1,"")</f>
        <v>45852</v>
      </c>
      <c r="N203" s="23">
        <f>IF(ISNUMBER(tblClean[[#This Row],[Week Start]]),(tblClean[[#This Row],[Week Start]]-MIN(tblClean[Week Start]))/7+1,"")</f>
        <v>7</v>
      </c>
      <c r="O203" s="24" t="str">
        <f>IF(ISNUMBER(tblClean[[#This Row],[Date]]),CHOOSE(WEEKDAY(tblClean[[#This Row],[Date]],2),"Mon","Tue","Wed","Thu","Fri","Sat","Sun"),"")</f>
        <v>Sun</v>
      </c>
      <c r="P203" s="24" t="str">
        <f>IF(ISNUMBER(tblClean[[#This Row],[Date]]),IF(WEEKDAY(tblClean[[#This Row],[Date]],2)&gt;=6,"Weekend","Weekday"),"")</f>
        <v>Weekend</v>
      </c>
      <c r="Q20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03" s="9" t="str">
        <f>IF(ISNUMBER(tblClean[[#This Row],[Duration Hours]]),IF(tblClean[[#This Row],[Duration Hours]]&lt;2,"Short (under 2h)",IF(tblClean[[#This Row],[Duration Hours]]&lt;3,"Standard (2h to under 3h)","Long (3h or more)")),"")</f>
        <v>Standard (2h to under 3h)</v>
      </c>
      <c r="S20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03" s="24">
        <f>IF(COUNTIF(tblClean[Session ID],tblClean[[#This Row],[Session ID]])&gt;1,1,0)</f>
        <v>0</v>
      </c>
      <c r="U203" s="24">
        <f>IF(OR(N(tblClean[[#This Row],[Attributed GMV PHP]])&lt;0,N(tblClean[[#This Row],[Items Sold]])&lt;0,N(tblClean[[#This Row],[Livestream Views]])&lt;0,N(tblClean[[#This Row],[New Followers]])&lt;0),1,0)</f>
        <v>0</v>
      </c>
      <c r="V203" s="24">
        <f>IF(ISNUMBER(tblClean[[#This Row],[Duration Hours]]),IF(OR(tblClean[[#This Row],[Duration Hours]]&lt;=0,tblClean[[#This Row],[Duration Hours]]&gt;12),1,0),1)</f>
        <v>0</v>
      </c>
      <c r="W203" s="24">
        <f>IF(COUNTIF(HostRoster,tblClean[[#This Row],[Host Name]])=0,1,0)</f>
        <v>0</v>
      </c>
      <c r="X203" s="24">
        <f>IF(tblClean[[#This Row],[Missing Flag]]+tblClean[[#This Row],[Duplicate Flag]]+tblClean[[#This Row],[Negative Flag]]+tblClean[[#This Row],[Duration Flag]]+tblClean[[#This Row],[Host Flag]]=0,1,0)</f>
        <v>1</v>
      </c>
    </row>
    <row r="204" spans="1:24" x14ac:dyDescent="0.3">
      <c r="A204" s="9" t="str">
        <f>TRIM('Raw Data'!A200)</f>
        <v>LS-0196</v>
      </c>
      <c r="B204" s="10">
        <f>IF(ISNUMBER('Raw Data'!B200),INT('Raw Data'!B200),IFERROR(DATEVALUE('Raw Data'!B200),""))</f>
        <v>45859</v>
      </c>
      <c r="C204" s="9" t="str">
        <f>PROPER(TRIM('Raw Data'!C200))</f>
        <v>Dani Villanueva</v>
      </c>
      <c r="D204" s="11">
        <f>IF(ISNUMBER('Raw Data'!D200),MOD('Raw Data'!D200,1),IFERROR(TIMEVALUE('Raw Data'!D200),""))</f>
        <v>0.41666666666666669</v>
      </c>
      <c r="E204" s="11">
        <f>IF(ISNUMBER('Raw Data'!E200),MOD('Raw Data'!E200,1),IFERROR(TIMEVALUE('Raw Data'!E200),""))</f>
        <v>0.5</v>
      </c>
      <c r="F204" s="12">
        <f>IF(ISNUMBER('Raw Data'!F200),'Raw Data'!F200,IFERROR(VALUE(SUBSTITUTE('Raw Data'!F200,",","")),""))</f>
        <v>10534</v>
      </c>
      <c r="G204" s="13">
        <f>IF(ISNUMBER('Raw Data'!G200),'Raw Data'!G200,IFERROR(VALUE(SUBSTITUTE('Raw Data'!G200,",","")),""))</f>
        <v>29</v>
      </c>
      <c r="H204" s="13">
        <f>IF(ISNUMBER('Raw Data'!H200),'Raw Data'!H200,IFERROR(VALUE(SUBSTITUTE('Raw Data'!H200,",","")),""))</f>
        <v>35428</v>
      </c>
      <c r="I204" s="13">
        <f>IF(ISNUMBER('Raw Data'!I200),'Raw Data'!I200,IFERROR(VALUE(SUBSTITUTE('Raw Data'!I200,",","")),""))</f>
        <v>163</v>
      </c>
      <c r="J204" s="21">
        <f>IF(AND(ISNUMBER(tblClean[[#This Row],[Start Time]]),ISNUMBER(tblClean[[#This Row],[End Time]])),ROUND(MOD(tblClean[[#This Row],[End Time]]-tblClean[[#This Row],[Start Time]],1)*24,2),"")</f>
        <v>2</v>
      </c>
      <c r="K204" s="12">
        <f>IF(AND(ISNUMBER(tblClean[[#This Row],[Duration Hours]]),ISNUMBER(tblClean[[#This Row],[Attributed GMV PHP]])),IF(tblClean[[#This Row],[Duration Hours]]&gt;0,tblClean[[#This Row],[Attributed GMV PHP]]/tblClean[[#This Row],[Duration Hours]],""),"")</f>
        <v>5267</v>
      </c>
      <c r="L204" s="22">
        <f>IF(ISNUMBER(tblClean[[#This Row],[Date]]),DATE(YEAR(tblClean[[#This Row],[Date]]),MONTH(tblClean[[#This Row],[Date]]),1),"")</f>
        <v>45839</v>
      </c>
      <c r="M204" s="10">
        <f>IF(ISNUMBER(tblClean[[#This Row],[Date]]),tblClean[[#This Row],[Date]]-WEEKDAY(tblClean[[#This Row],[Date]],2)+1,"")</f>
        <v>45859</v>
      </c>
      <c r="N204" s="23">
        <f>IF(ISNUMBER(tblClean[[#This Row],[Week Start]]),(tblClean[[#This Row],[Week Start]]-MIN(tblClean[Week Start]))/7+1,"")</f>
        <v>8</v>
      </c>
      <c r="O204" s="24" t="str">
        <f>IF(ISNUMBER(tblClean[[#This Row],[Date]]),CHOOSE(WEEKDAY(tblClean[[#This Row],[Date]],2),"Mon","Tue","Wed","Thu","Fri","Sat","Sun"),"")</f>
        <v>Mon</v>
      </c>
      <c r="P204" s="24" t="str">
        <f>IF(ISNUMBER(tblClean[[#This Row],[Date]]),IF(WEEKDAY(tblClean[[#This Row],[Date]],2)&gt;=6,"Weekend","Weekday"),"")</f>
        <v>Weekday</v>
      </c>
      <c r="Q20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04" s="9" t="str">
        <f>IF(ISNUMBER(tblClean[[#This Row],[Duration Hours]]),IF(tblClean[[#This Row],[Duration Hours]]&lt;2,"Short (under 2h)",IF(tblClean[[#This Row],[Duration Hours]]&lt;3,"Standard (2h to under 3h)","Long (3h or more)")),"")</f>
        <v>Standard (2h to under 3h)</v>
      </c>
      <c r="S20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04" s="24">
        <f>IF(COUNTIF(tblClean[Session ID],tblClean[[#This Row],[Session ID]])&gt;1,1,0)</f>
        <v>0</v>
      </c>
      <c r="U204" s="24">
        <f>IF(OR(N(tblClean[[#This Row],[Attributed GMV PHP]])&lt;0,N(tblClean[[#This Row],[Items Sold]])&lt;0,N(tblClean[[#This Row],[Livestream Views]])&lt;0,N(tblClean[[#This Row],[New Followers]])&lt;0),1,0)</f>
        <v>0</v>
      </c>
      <c r="V204" s="24">
        <f>IF(ISNUMBER(tblClean[[#This Row],[Duration Hours]]),IF(OR(tblClean[[#This Row],[Duration Hours]]&lt;=0,tblClean[[#This Row],[Duration Hours]]&gt;12),1,0),1)</f>
        <v>0</v>
      </c>
      <c r="W204" s="24">
        <f>IF(COUNTIF(HostRoster,tblClean[[#This Row],[Host Name]])=0,1,0)</f>
        <v>0</v>
      </c>
      <c r="X204" s="24">
        <f>IF(tblClean[[#This Row],[Missing Flag]]+tblClean[[#This Row],[Duplicate Flag]]+tblClean[[#This Row],[Negative Flag]]+tblClean[[#This Row],[Duration Flag]]+tblClean[[#This Row],[Host Flag]]=0,1,0)</f>
        <v>1</v>
      </c>
    </row>
    <row r="205" spans="1:24" x14ac:dyDescent="0.3">
      <c r="A205" s="9" t="str">
        <f>TRIM('Raw Data'!A201)</f>
        <v>LS-0197</v>
      </c>
      <c r="B205" s="10">
        <f>IF(ISNUMBER('Raw Data'!B201),INT('Raw Data'!B201),IFERROR(DATEVALUE('Raw Data'!B201),""))</f>
        <v>45859</v>
      </c>
      <c r="C205" s="9" t="str">
        <f>PROPER(TRIM('Raw Data'!C201))</f>
        <v>Dani Villanueva</v>
      </c>
      <c r="D205" s="11">
        <f>IF(ISNUMBER('Raw Data'!D201),MOD('Raw Data'!D201,1),IFERROR(TIMEVALUE('Raw Data'!D201),""))</f>
        <v>0.54166666666666663</v>
      </c>
      <c r="E205" s="11">
        <f>IF(ISNUMBER('Raw Data'!E201),MOD('Raw Data'!E201,1),IFERROR(TIMEVALUE('Raw Data'!E201),""))</f>
        <v>0.60416666666666663</v>
      </c>
      <c r="F205" s="12">
        <f>IF(ISNUMBER('Raw Data'!F201),'Raw Data'!F201,IFERROR(VALUE(SUBSTITUTE('Raw Data'!F201,",","")),""))</f>
        <v>14342</v>
      </c>
      <c r="G205" s="13">
        <f>IF(ISNUMBER('Raw Data'!G201),'Raw Data'!G201,IFERROR(VALUE(SUBSTITUTE('Raw Data'!G201,",","")),""))</f>
        <v>36</v>
      </c>
      <c r="H205" s="13">
        <f>IF(ISNUMBER('Raw Data'!H201),'Raw Data'!H201,IFERROR(VALUE(SUBSTITUTE('Raw Data'!H201,",","")),""))</f>
        <v>43924</v>
      </c>
      <c r="I205" s="13">
        <f>IF(ISNUMBER('Raw Data'!I201),'Raw Data'!I201,IFERROR(VALUE(SUBSTITUTE('Raw Data'!I201,",","")),""))</f>
        <v>216</v>
      </c>
      <c r="J205" s="21">
        <f>IF(AND(ISNUMBER(tblClean[[#This Row],[Start Time]]),ISNUMBER(tblClean[[#This Row],[End Time]])),ROUND(MOD(tblClean[[#This Row],[End Time]]-tblClean[[#This Row],[Start Time]],1)*24,2),"")</f>
        <v>1.5</v>
      </c>
      <c r="K205" s="12">
        <f>IF(AND(ISNUMBER(tblClean[[#This Row],[Duration Hours]]),ISNUMBER(tblClean[[#This Row],[Attributed GMV PHP]])),IF(tblClean[[#This Row],[Duration Hours]]&gt;0,tblClean[[#This Row],[Attributed GMV PHP]]/tblClean[[#This Row],[Duration Hours]],""),"")</f>
        <v>9561.3333333333339</v>
      </c>
      <c r="L205" s="22">
        <f>IF(ISNUMBER(tblClean[[#This Row],[Date]]),DATE(YEAR(tblClean[[#This Row],[Date]]),MONTH(tblClean[[#This Row],[Date]]),1),"")</f>
        <v>45839</v>
      </c>
      <c r="M205" s="10">
        <f>IF(ISNUMBER(tblClean[[#This Row],[Date]]),tblClean[[#This Row],[Date]]-WEEKDAY(tblClean[[#This Row],[Date]],2)+1,"")</f>
        <v>45859</v>
      </c>
      <c r="N205" s="23">
        <f>IF(ISNUMBER(tblClean[[#This Row],[Week Start]]),(tblClean[[#This Row],[Week Start]]-MIN(tblClean[Week Start]))/7+1,"")</f>
        <v>8</v>
      </c>
      <c r="O205" s="24" t="str">
        <f>IF(ISNUMBER(tblClean[[#This Row],[Date]]),CHOOSE(WEEKDAY(tblClean[[#This Row],[Date]],2),"Mon","Tue","Wed","Thu","Fri","Sat","Sun"),"")</f>
        <v>Mon</v>
      </c>
      <c r="P205" s="24" t="str">
        <f>IF(ISNUMBER(tblClean[[#This Row],[Date]]),IF(WEEKDAY(tblClean[[#This Row],[Date]],2)&gt;=6,"Weekend","Weekday"),"")</f>
        <v>Weekday</v>
      </c>
      <c r="Q20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05" s="9" t="str">
        <f>IF(ISNUMBER(tblClean[[#This Row],[Duration Hours]]),IF(tblClean[[#This Row],[Duration Hours]]&lt;2,"Short (under 2h)",IF(tblClean[[#This Row],[Duration Hours]]&lt;3,"Standard (2h to under 3h)","Long (3h or more)")),"")</f>
        <v>Short (under 2h)</v>
      </c>
      <c r="S20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05" s="24">
        <f>IF(COUNTIF(tblClean[Session ID],tblClean[[#This Row],[Session ID]])&gt;1,1,0)</f>
        <v>0</v>
      </c>
      <c r="U205" s="24">
        <f>IF(OR(N(tblClean[[#This Row],[Attributed GMV PHP]])&lt;0,N(tblClean[[#This Row],[Items Sold]])&lt;0,N(tblClean[[#This Row],[Livestream Views]])&lt;0,N(tblClean[[#This Row],[New Followers]])&lt;0),1,0)</f>
        <v>0</v>
      </c>
      <c r="V205" s="24">
        <f>IF(ISNUMBER(tblClean[[#This Row],[Duration Hours]]),IF(OR(tblClean[[#This Row],[Duration Hours]]&lt;=0,tblClean[[#This Row],[Duration Hours]]&gt;12),1,0),1)</f>
        <v>0</v>
      </c>
      <c r="W205" s="24">
        <f>IF(COUNTIF(HostRoster,tblClean[[#This Row],[Host Name]])=0,1,0)</f>
        <v>0</v>
      </c>
      <c r="X205" s="24">
        <f>IF(tblClean[[#This Row],[Missing Flag]]+tblClean[[#This Row],[Duplicate Flag]]+tblClean[[#This Row],[Negative Flag]]+tblClean[[#This Row],[Duration Flag]]+tblClean[[#This Row],[Host Flag]]=0,1,0)</f>
        <v>1</v>
      </c>
    </row>
    <row r="206" spans="1:24" x14ac:dyDescent="0.3">
      <c r="A206" s="9" t="str">
        <f>TRIM('Raw Data'!A202)</f>
        <v>LS-0198</v>
      </c>
      <c r="B206" s="10">
        <f>IF(ISNUMBER('Raw Data'!B202),INT('Raw Data'!B202),IFERROR(DATEVALUE('Raw Data'!B202),""))</f>
        <v>45859</v>
      </c>
      <c r="C206" s="9" t="str">
        <f>PROPER(TRIM('Raw Data'!C202))</f>
        <v>Bianca Reyes</v>
      </c>
      <c r="D206" s="11">
        <f>IF(ISNUMBER('Raw Data'!D202),MOD('Raw Data'!D202,1),IFERROR(TIMEVALUE('Raw Data'!D202),""))</f>
        <v>0.66666666666666663</v>
      </c>
      <c r="E206" s="11">
        <f>IF(ISNUMBER('Raw Data'!E202),MOD('Raw Data'!E202,1),IFERROR(TIMEVALUE('Raw Data'!E202),""))</f>
        <v>0.79166666666666663</v>
      </c>
      <c r="F206" s="12">
        <f>IF(ISNUMBER('Raw Data'!F202),'Raw Data'!F202,IFERROR(VALUE(SUBSTITUTE('Raw Data'!F202,",","")),""))</f>
        <v>20322</v>
      </c>
      <c r="G206" s="13">
        <f>IF(ISNUMBER('Raw Data'!G202),'Raw Data'!G202,IFERROR(VALUE(SUBSTITUTE('Raw Data'!G202,",","")),""))</f>
        <v>58</v>
      </c>
      <c r="H206" s="13">
        <f>IF(ISNUMBER('Raw Data'!H202),'Raw Data'!H202,IFERROR(VALUE(SUBSTITUTE('Raw Data'!H202,",","")),""))</f>
        <v>76359</v>
      </c>
      <c r="I206" s="13">
        <f>IF(ISNUMBER('Raw Data'!I202),'Raw Data'!I202,IFERROR(VALUE(SUBSTITUTE('Raw Data'!I202,",","")),""))</f>
        <v>548</v>
      </c>
      <c r="J206" s="21">
        <f>IF(AND(ISNUMBER(tblClean[[#This Row],[Start Time]]),ISNUMBER(tblClean[[#This Row],[End Time]])),ROUND(MOD(tblClean[[#This Row],[End Time]]-tblClean[[#This Row],[Start Time]],1)*24,2),"")</f>
        <v>3</v>
      </c>
      <c r="K206" s="12">
        <f>IF(AND(ISNUMBER(tblClean[[#This Row],[Duration Hours]]),ISNUMBER(tblClean[[#This Row],[Attributed GMV PHP]])),IF(tblClean[[#This Row],[Duration Hours]]&gt;0,tblClean[[#This Row],[Attributed GMV PHP]]/tblClean[[#This Row],[Duration Hours]],""),"")</f>
        <v>6774</v>
      </c>
      <c r="L206" s="22">
        <f>IF(ISNUMBER(tblClean[[#This Row],[Date]]),DATE(YEAR(tblClean[[#This Row],[Date]]),MONTH(tblClean[[#This Row],[Date]]),1),"")</f>
        <v>45839</v>
      </c>
      <c r="M206" s="10">
        <f>IF(ISNUMBER(tblClean[[#This Row],[Date]]),tblClean[[#This Row],[Date]]-WEEKDAY(tblClean[[#This Row],[Date]],2)+1,"")</f>
        <v>45859</v>
      </c>
      <c r="N206" s="23">
        <f>IF(ISNUMBER(tblClean[[#This Row],[Week Start]]),(tblClean[[#This Row],[Week Start]]-MIN(tblClean[Week Start]))/7+1,"")</f>
        <v>8</v>
      </c>
      <c r="O206" s="24" t="str">
        <f>IF(ISNUMBER(tblClean[[#This Row],[Date]]),CHOOSE(WEEKDAY(tblClean[[#This Row],[Date]],2),"Mon","Tue","Wed","Thu","Fri","Sat","Sun"),"")</f>
        <v>Mon</v>
      </c>
      <c r="P206" s="24" t="str">
        <f>IF(ISNUMBER(tblClean[[#This Row],[Date]]),IF(WEEKDAY(tblClean[[#This Row],[Date]],2)&gt;=6,"Weekend","Weekday"),"")</f>
        <v>Weekday</v>
      </c>
      <c r="Q20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06" s="9" t="str">
        <f>IF(ISNUMBER(tblClean[[#This Row],[Duration Hours]]),IF(tblClean[[#This Row],[Duration Hours]]&lt;2,"Short (under 2h)",IF(tblClean[[#This Row],[Duration Hours]]&lt;3,"Standard (2h to under 3h)","Long (3h or more)")),"")</f>
        <v>Long (3h or more)</v>
      </c>
      <c r="S20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06" s="24">
        <f>IF(COUNTIF(tblClean[Session ID],tblClean[[#This Row],[Session ID]])&gt;1,1,0)</f>
        <v>0</v>
      </c>
      <c r="U206" s="24">
        <f>IF(OR(N(tblClean[[#This Row],[Attributed GMV PHP]])&lt;0,N(tblClean[[#This Row],[Items Sold]])&lt;0,N(tblClean[[#This Row],[Livestream Views]])&lt;0,N(tblClean[[#This Row],[New Followers]])&lt;0),1,0)</f>
        <v>0</v>
      </c>
      <c r="V206" s="24">
        <f>IF(ISNUMBER(tblClean[[#This Row],[Duration Hours]]),IF(OR(tblClean[[#This Row],[Duration Hours]]&lt;=0,tblClean[[#This Row],[Duration Hours]]&gt;12),1,0),1)</f>
        <v>0</v>
      </c>
      <c r="W206" s="24">
        <f>IF(COUNTIF(HostRoster,tblClean[[#This Row],[Host Name]])=0,1,0)</f>
        <v>0</v>
      </c>
      <c r="X206" s="24">
        <f>IF(tblClean[[#This Row],[Missing Flag]]+tblClean[[#This Row],[Duplicate Flag]]+tblClean[[#This Row],[Negative Flag]]+tblClean[[#This Row],[Duration Flag]]+tblClean[[#This Row],[Host Flag]]=0,1,0)</f>
        <v>1</v>
      </c>
    </row>
    <row r="207" spans="1:24" x14ac:dyDescent="0.3">
      <c r="A207" s="9" t="str">
        <f>TRIM('Raw Data'!A203)</f>
        <v>LS-0199</v>
      </c>
      <c r="B207" s="10">
        <f>IF(ISNUMBER('Raw Data'!B203),INT('Raw Data'!B203),IFERROR(DATEVALUE('Raw Data'!B203),""))</f>
        <v>45859</v>
      </c>
      <c r="C207" s="9" t="str">
        <f>PROPER(TRIM('Raw Data'!C203))</f>
        <v>Bianca Reyes</v>
      </c>
      <c r="D207" s="11">
        <f>IF(ISNUMBER('Raw Data'!D203),MOD('Raw Data'!D203,1),IFERROR(TIMEVALUE('Raw Data'!D203),""))</f>
        <v>0.79166666666666663</v>
      </c>
      <c r="E207" s="11">
        <f>IF(ISNUMBER('Raw Data'!E203),MOD('Raw Data'!E203,1),IFERROR(TIMEVALUE('Raw Data'!E203),""))</f>
        <v>0.85416666666666663</v>
      </c>
      <c r="F207" s="12">
        <f>IF(ISNUMBER('Raw Data'!F203),'Raw Data'!F203,IFERROR(VALUE(SUBSTITUTE('Raw Data'!F203,",","")),""))</f>
        <v>20231</v>
      </c>
      <c r="G207" s="13">
        <f>IF(ISNUMBER('Raw Data'!G203),'Raw Data'!G203,IFERROR(VALUE(SUBSTITUTE('Raw Data'!G203,",","")),""))</f>
        <v>59</v>
      </c>
      <c r="H207" s="13">
        <f>IF(ISNUMBER('Raw Data'!H203),'Raw Data'!H203,IFERROR(VALUE(SUBSTITUTE('Raw Data'!H203,",","")),""))</f>
        <v>69813</v>
      </c>
      <c r="I207" s="13">
        <f>IF(ISNUMBER('Raw Data'!I203),'Raw Data'!I203,IFERROR(VALUE(SUBSTITUTE('Raw Data'!I203,",","")),""))</f>
        <v>751</v>
      </c>
      <c r="J207" s="21">
        <f>IF(AND(ISNUMBER(tblClean[[#This Row],[Start Time]]),ISNUMBER(tblClean[[#This Row],[End Time]])),ROUND(MOD(tblClean[[#This Row],[End Time]]-tblClean[[#This Row],[Start Time]],1)*24,2),"")</f>
        <v>1.5</v>
      </c>
      <c r="K207" s="12">
        <f>IF(AND(ISNUMBER(tblClean[[#This Row],[Duration Hours]]),ISNUMBER(tblClean[[#This Row],[Attributed GMV PHP]])),IF(tblClean[[#This Row],[Duration Hours]]&gt;0,tblClean[[#This Row],[Attributed GMV PHP]]/tblClean[[#This Row],[Duration Hours]],""),"")</f>
        <v>13487.333333333334</v>
      </c>
      <c r="L207" s="22">
        <f>IF(ISNUMBER(tblClean[[#This Row],[Date]]),DATE(YEAR(tblClean[[#This Row],[Date]]),MONTH(tblClean[[#This Row],[Date]]),1),"")</f>
        <v>45839</v>
      </c>
      <c r="M207" s="10">
        <f>IF(ISNUMBER(tblClean[[#This Row],[Date]]),tblClean[[#This Row],[Date]]-WEEKDAY(tblClean[[#This Row],[Date]],2)+1,"")</f>
        <v>45859</v>
      </c>
      <c r="N207" s="23">
        <f>IF(ISNUMBER(tblClean[[#This Row],[Week Start]]),(tblClean[[#This Row],[Week Start]]-MIN(tblClean[Week Start]))/7+1,"")</f>
        <v>8</v>
      </c>
      <c r="O207" s="24" t="str">
        <f>IF(ISNUMBER(tblClean[[#This Row],[Date]]),CHOOSE(WEEKDAY(tblClean[[#This Row],[Date]],2),"Mon","Tue","Wed","Thu","Fri","Sat","Sun"),"")</f>
        <v>Mon</v>
      </c>
      <c r="P207" s="24" t="str">
        <f>IF(ISNUMBER(tblClean[[#This Row],[Date]]),IF(WEEKDAY(tblClean[[#This Row],[Date]],2)&gt;=6,"Weekend","Weekday"),"")</f>
        <v>Weekday</v>
      </c>
      <c r="Q20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07" s="9" t="str">
        <f>IF(ISNUMBER(tblClean[[#This Row],[Duration Hours]]),IF(tblClean[[#This Row],[Duration Hours]]&lt;2,"Short (under 2h)",IF(tblClean[[#This Row],[Duration Hours]]&lt;3,"Standard (2h to under 3h)","Long (3h or more)")),"")</f>
        <v>Short (under 2h)</v>
      </c>
      <c r="S20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07" s="24">
        <f>IF(COUNTIF(tblClean[Session ID],tblClean[[#This Row],[Session ID]])&gt;1,1,0)</f>
        <v>0</v>
      </c>
      <c r="U207" s="24">
        <f>IF(OR(N(tblClean[[#This Row],[Attributed GMV PHP]])&lt;0,N(tblClean[[#This Row],[Items Sold]])&lt;0,N(tblClean[[#This Row],[Livestream Views]])&lt;0,N(tblClean[[#This Row],[New Followers]])&lt;0),1,0)</f>
        <v>0</v>
      </c>
      <c r="V207" s="24">
        <f>IF(ISNUMBER(tblClean[[#This Row],[Duration Hours]]),IF(OR(tblClean[[#This Row],[Duration Hours]]&lt;=0,tblClean[[#This Row],[Duration Hours]]&gt;12),1,0),1)</f>
        <v>0</v>
      </c>
      <c r="W207" s="24">
        <f>IF(COUNTIF(HostRoster,tblClean[[#This Row],[Host Name]])=0,1,0)</f>
        <v>0</v>
      </c>
      <c r="X207" s="24">
        <f>IF(tblClean[[#This Row],[Missing Flag]]+tblClean[[#This Row],[Duplicate Flag]]+tblClean[[#This Row],[Negative Flag]]+tblClean[[#This Row],[Duration Flag]]+tblClean[[#This Row],[Host Flag]]=0,1,0)</f>
        <v>1</v>
      </c>
    </row>
    <row r="208" spans="1:24" x14ac:dyDescent="0.3">
      <c r="A208" s="9" t="str">
        <f>TRIM('Raw Data'!A204)</f>
        <v>LS-0200</v>
      </c>
      <c r="B208" s="10">
        <f>IF(ISNUMBER('Raw Data'!B204),INT('Raw Data'!B204),IFERROR(DATEVALUE('Raw Data'!B204),""))</f>
        <v>45859</v>
      </c>
      <c r="C208" s="9" t="str">
        <f>PROPER(TRIM('Raw Data'!C204))</f>
        <v>Bianca Reyes</v>
      </c>
      <c r="D208" s="11">
        <f>IF(ISNUMBER('Raw Data'!D204),MOD('Raw Data'!D204,1),IFERROR(TIMEVALUE('Raw Data'!D204),""))</f>
        <v>0.91666666666666663</v>
      </c>
      <c r="E208" s="11">
        <f>IF(ISNUMBER('Raw Data'!E204),MOD('Raw Data'!E204,1),IFERROR(TIMEVALUE('Raw Data'!E204),""))</f>
        <v>0</v>
      </c>
      <c r="F208" s="12">
        <f>IF(ISNUMBER('Raw Data'!F204),'Raw Data'!F204,IFERROR(VALUE(SUBSTITUTE('Raw Data'!F204,",","")),""))</f>
        <v>24553</v>
      </c>
      <c r="G208" s="13">
        <f>IF(ISNUMBER('Raw Data'!G204),'Raw Data'!G204,IFERROR(VALUE(SUBSTITUTE('Raw Data'!G204,",","")),""))</f>
        <v>84</v>
      </c>
      <c r="H208" s="13">
        <f>IF(ISNUMBER('Raw Data'!H204),'Raw Data'!H204,IFERROR(VALUE(SUBSTITUTE('Raw Data'!H204,",","")),""))</f>
        <v>72156</v>
      </c>
      <c r="I208" s="13">
        <f>IF(ISNUMBER('Raw Data'!I204),'Raw Data'!I204,IFERROR(VALUE(SUBSTITUTE('Raw Data'!I204,",","")),""))</f>
        <v>427</v>
      </c>
      <c r="J208" s="21">
        <f>IF(AND(ISNUMBER(tblClean[[#This Row],[Start Time]]),ISNUMBER(tblClean[[#This Row],[End Time]])),ROUND(MOD(tblClean[[#This Row],[End Time]]-tblClean[[#This Row],[Start Time]],1)*24,2),"")</f>
        <v>2</v>
      </c>
      <c r="K208" s="12">
        <f>IF(AND(ISNUMBER(tblClean[[#This Row],[Duration Hours]]),ISNUMBER(tblClean[[#This Row],[Attributed GMV PHP]])),IF(tblClean[[#This Row],[Duration Hours]]&gt;0,tblClean[[#This Row],[Attributed GMV PHP]]/tblClean[[#This Row],[Duration Hours]],""),"")</f>
        <v>12276.5</v>
      </c>
      <c r="L208" s="22">
        <f>IF(ISNUMBER(tblClean[[#This Row],[Date]]),DATE(YEAR(tblClean[[#This Row],[Date]]),MONTH(tblClean[[#This Row],[Date]]),1),"")</f>
        <v>45839</v>
      </c>
      <c r="M208" s="10">
        <f>IF(ISNUMBER(tblClean[[#This Row],[Date]]),tblClean[[#This Row],[Date]]-WEEKDAY(tblClean[[#This Row],[Date]],2)+1,"")</f>
        <v>45859</v>
      </c>
      <c r="N208" s="23">
        <f>IF(ISNUMBER(tblClean[[#This Row],[Week Start]]),(tblClean[[#This Row],[Week Start]]-MIN(tblClean[Week Start]))/7+1,"")</f>
        <v>8</v>
      </c>
      <c r="O208" s="24" t="str">
        <f>IF(ISNUMBER(tblClean[[#This Row],[Date]]),CHOOSE(WEEKDAY(tblClean[[#This Row],[Date]],2),"Mon","Tue","Wed","Thu","Fri","Sat","Sun"),"")</f>
        <v>Mon</v>
      </c>
      <c r="P208" s="24" t="str">
        <f>IF(ISNUMBER(tblClean[[#This Row],[Date]]),IF(WEEKDAY(tblClean[[#This Row],[Date]],2)&gt;=6,"Weekend","Weekday"),"")</f>
        <v>Weekday</v>
      </c>
      <c r="Q20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08" s="9" t="str">
        <f>IF(ISNUMBER(tblClean[[#This Row],[Duration Hours]]),IF(tblClean[[#This Row],[Duration Hours]]&lt;2,"Short (under 2h)",IF(tblClean[[#This Row],[Duration Hours]]&lt;3,"Standard (2h to under 3h)","Long (3h or more)")),"")</f>
        <v>Standard (2h to under 3h)</v>
      </c>
      <c r="S20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08" s="24">
        <f>IF(COUNTIF(tblClean[Session ID],tblClean[[#This Row],[Session ID]])&gt;1,1,0)</f>
        <v>0</v>
      </c>
      <c r="U208" s="24">
        <f>IF(OR(N(tblClean[[#This Row],[Attributed GMV PHP]])&lt;0,N(tblClean[[#This Row],[Items Sold]])&lt;0,N(tblClean[[#This Row],[Livestream Views]])&lt;0,N(tblClean[[#This Row],[New Followers]])&lt;0),1,0)</f>
        <v>0</v>
      </c>
      <c r="V208" s="24">
        <f>IF(ISNUMBER(tblClean[[#This Row],[Duration Hours]]),IF(OR(tblClean[[#This Row],[Duration Hours]]&lt;=0,tblClean[[#This Row],[Duration Hours]]&gt;12),1,0),1)</f>
        <v>0</v>
      </c>
      <c r="W208" s="24">
        <f>IF(COUNTIF(HostRoster,tblClean[[#This Row],[Host Name]])=0,1,0)</f>
        <v>0</v>
      </c>
      <c r="X208" s="24">
        <f>IF(tblClean[[#This Row],[Missing Flag]]+tblClean[[#This Row],[Duplicate Flag]]+tblClean[[#This Row],[Negative Flag]]+tblClean[[#This Row],[Duration Flag]]+tblClean[[#This Row],[Host Flag]]=0,1,0)</f>
        <v>1</v>
      </c>
    </row>
    <row r="209" spans="1:24" x14ac:dyDescent="0.3">
      <c r="A209" s="9" t="str">
        <f>TRIM('Raw Data'!A205)</f>
        <v>LS-0201</v>
      </c>
      <c r="B209" s="10">
        <f>IF(ISNUMBER('Raw Data'!B205),INT('Raw Data'!B205),IFERROR(DATEVALUE('Raw Data'!B205),""))</f>
        <v>45860</v>
      </c>
      <c r="C209" s="9" t="str">
        <f>PROPER(TRIM('Raw Data'!C205))</f>
        <v>Dani Villanueva</v>
      </c>
      <c r="D209" s="11">
        <f>IF(ISNUMBER('Raw Data'!D205),MOD('Raw Data'!D205,1),IFERROR(TIMEVALUE('Raw Data'!D205),""))</f>
        <v>0.41666666666666669</v>
      </c>
      <c r="E209" s="11">
        <f>IF(ISNUMBER('Raw Data'!E205),MOD('Raw Data'!E205,1),IFERROR(TIMEVALUE('Raw Data'!E205),""))</f>
        <v>0.54166666666666663</v>
      </c>
      <c r="F209" s="12">
        <f>IF(ISNUMBER('Raw Data'!F205),'Raw Data'!F205,IFERROR(VALUE(SUBSTITUTE('Raw Data'!F205,",","")),""))</f>
        <v>7300</v>
      </c>
      <c r="G209" s="13">
        <f>IF(ISNUMBER('Raw Data'!G205),'Raw Data'!G205,IFERROR(VALUE(SUBSTITUTE('Raw Data'!G205,",","")),""))</f>
        <v>20</v>
      </c>
      <c r="H209" s="13">
        <f>IF(ISNUMBER('Raw Data'!H205),'Raw Data'!H205,IFERROR(VALUE(SUBSTITUTE('Raw Data'!H205,",","")),""))</f>
        <v>19817</v>
      </c>
      <c r="I209" s="13">
        <f>IF(ISNUMBER('Raw Data'!I205),'Raw Data'!I205,IFERROR(VALUE(SUBSTITUTE('Raw Data'!I205,",","")),""))</f>
        <v>100</v>
      </c>
      <c r="J209" s="21">
        <f>IF(AND(ISNUMBER(tblClean[[#This Row],[Start Time]]),ISNUMBER(tblClean[[#This Row],[End Time]])),ROUND(MOD(tblClean[[#This Row],[End Time]]-tblClean[[#This Row],[Start Time]],1)*24,2),"")</f>
        <v>3</v>
      </c>
      <c r="K209" s="12">
        <f>IF(AND(ISNUMBER(tblClean[[#This Row],[Duration Hours]]),ISNUMBER(tblClean[[#This Row],[Attributed GMV PHP]])),IF(tblClean[[#This Row],[Duration Hours]]&gt;0,tblClean[[#This Row],[Attributed GMV PHP]]/tblClean[[#This Row],[Duration Hours]],""),"")</f>
        <v>2433.3333333333335</v>
      </c>
      <c r="L209" s="22">
        <f>IF(ISNUMBER(tblClean[[#This Row],[Date]]),DATE(YEAR(tblClean[[#This Row],[Date]]),MONTH(tblClean[[#This Row],[Date]]),1),"")</f>
        <v>45839</v>
      </c>
      <c r="M209" s="10">
        <f>IF(ISNUMBER(tblClean[[#This Row],[Date]]),tblClean[[#This Row],[Date]]-WEEKDAY(tblClean[[#This Row],[Date]],2)+1,"")</f>
        <v>45859</v>
      </c>
      <c r="N209" s="23">
        <f>IF(ISNUMBER(tblClean[[#This Row],[Week Start]]),(tblClean[[#This Row],[Week Start]]-MIN(tblClean[Week Start]))/7+1,"")</f>
        <v>8</v>
      </c>
      <c r="O209" s="24" t="str">
        <f>IF(ISNUMBER(tblClean[[#This Row],[Date]]),CHOOSE(WEEKDAY(tblClean[[#This Row],[Date]],2),"Mon","Tue","Wed","Thu","Fri","Sat","Sun"),"")</f>
        <v>Tue</v>
      </c>
      <c r="P209" s="24" t="str">
        <f>IF(ISNUMBER(tblClean[[#This Row],[Date]]),IF(WEEKDAY(tblClean[[#This Row],[Date]],2)&gt;=6,"Weekend","Weekday"),"")</f>
        <v>Weekday</v>
      </c>
      <c r="Q20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09" s="9" t="str">
        <f>IF(ISNUMBER(tblClean[[#This Row],[Duration Hours]]),IF(tblClean[[#This Row],[Duration Hours]]&lt;2,"Short (under 2h)",IF(tblClean[[#This Row],[Duration Hours]]&lt;3,"Standard (2h to under 3h)","Long (3h or more)")),"")</f>
        <v>Long (3h or more)</v>
      </c>
      <c r="S20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09" s="24">
        <f>IF(COUNTIF(tblClean[Session ID],tblClean[[#This Row],[Session ID]])&gt;1,1,0)</f>
        <v>0</v>
      </c>
      <c r="U209" s="24">
        <f>IF(OR(N(tblClean[[#This Row],[Attributed GMV PHP]])&lt;0,N(tblClean[[#This Row],[Items Sold]])&lt;0,N(tblClean[[#This Row],[Livestream Views]])&lt;0,N(tblClean[[#This Row],[New Followers]])&lt;0),1,0)</f>
        <v>0</v>
      </c>
      <c r="V209" s="24">
        <f>IF(ISNUMBER(tblClean[[#This Row],[Duration Hours]]),IF(OR(tblClean[[#This Row],[Duration Hours]]&lt;=0,tblClean[[#This Row],[Duration Hours]]&gt;12),1,0),1)</f>
        <v>0</v>
      </c>
      <c r="W209" s="24">
        <f>IF(COUNTIF(HostRoster,tblClean[[#This Row],[Host Name]])=0,1,0)</f>
        <v>0</v>
      </c>
      <c r="X209" s="24">
        <f>IF(tblClean[[#This Row],[Missing Flag]]+tblClean[[#This Row],[Duplicate Flag]]+tblClean[[#This Row],[Negative Flag]]+tblClean[[#This Row],[Duration Flag]]+tblClean[[#This Row],[Host Flag]]=0,1,0)</f>
        <v>1</v>
      </c>
    </row>
    <row r="210" spans="1:24" x14ac:dyDescent="0.3">
      <c r="A210" s="9" t="str">
        <f>TRIM('Raw Data'!A206)</f>
        <v>LS-0202</v>
      </c>
      <c r="B210" s="10">
        <f>IF(ISNUMBER('Raw Data'!B206),INT('Raw Data'!B206),IFERROR(DATEVALUE('Raw Data'!B206),""))</f>
        <v>45860</v>
      </c>
      <c r="C210" s="9" t="str">
        <f>PROPER(TRIM('Raw Data'!C206))</f>
        <v>Bianca Reyes</v>
      </c>
      <c r="D210" s="11">
        <f>IF(ISNUMBER('Raw Data'!D206),MOD('Raw Data'!D206,1),IFERROR(TIMEVALUE('Raw Data'!D206),""))</f>
        <v>0.54166666666666663</v>
      </c>
      <c r="E210" s="11">
        <f>IF(ISNUMBER('Raw Data'!E206),MOD('Raw Data'!E206,1),IFERROR(TIMEVALUE('Raw Data'!E206),""))</f>
        <v>0.625</v>
      </c>
      <c r="F210" s="12">
        <f>IF(ISNUMBER('Raw Data'!F206),'Raw Data'!F206,IFERROR(VALUE(SUBSTITUTE('Raw Data'!F206,",","")),""))</f>
        <v>9901</v>
      </c>
      <c r="G210" s="13">
        <f>IF(ISNUMBER('Raw Data'!G206),'Raw Data'!G206,IFERROR(VALUE(SUBSTITUTE('Raw Data'!G206,",","")),""))</f>
        <v>32</v>
      </c>
      <c r="H210" s="13">
        <f>IF(ISNUMBER('Raw Data'!H206),'Raw Data'!H206,IFERROR(VALUE(SUBSTITUTE('Raw Data'!H206,",","")),""))</f>
        <v>37025</v>
      </c>
      <c r="I210" s="13">
        <f>IF(ISNUMBER('Raw Data'!I206),'Raw Data'!I206,IFERROR(VALUE(SUBSTITUTE('Raw Data'!I206,",","")),""))</f>
        <v>411</v>
      </c>
      <c r="J210" s="21">
        <f>IF(AND(ISNUMBER(tblClean[[#This Row],[Start Time]]),ISNUMBER(tblClean[[#This Row],[End Time]])),ROUND(MOD(tblClean[[#This Row],[End Time]]-tblClean[[#This Row],[Start Time]],1)*24,2),"")</f>
        <v>2</v>
      </c>
      <c r="K210" s="12">
        <f>IF(AND(ISNUMBER(tblClean[[#This Row],[Duration Hours]]),ISNUMBER(tblClean[[#This Row],[Attributed GMV PHP]])),IF(tblClean[[#This Row],[Duration Hours]]&gt;0,tblClean[[#This Row],[Attributed GMV PHP]]/tblClean[[#This Row],[Duration Hours]],""),"")</f>
        <v>4950.5</v>
      </c>
      <c r="L210" s="22">
        <f>IF(ISNUMBER(tblClean[[#This Row],[Date]]),DATE(YEAR(tblClean[[#This Row],[Date]]),MONTH(tblClean[[#This Row],[Date]]),1),"")</f>
        <v>45839</v>
      </c>
      <c r="M210" s="10">
        <f>IF(ISNUMBER(tblClean[[#This Row],[Date]]),tblClean[[#This Row],[Date]]-WEEKDAY(tblClean[[#This Row],[Date]],2)+1,"")</f>
        <v>45859</v>
      </c>
      <c r="N210" s="23">
        <f>IF(ISNUMBER(tblClean[[#This Row],[Week Start]]),(tblClean[[#This Row],[Week Start]]-MIN(tblClean[Week Start]))/7+1,"")</f>
        <v>8</v>
      </c>
      <c r="O210" s="24" t="str">
        <f>IF(ISNUMBER(tblClean[[#This Row],[Date]]),CHOOSE(WEEKDAY(tblClean[[#This Row],[Date]],2),"Mon","Tue","Wed","Thu","Fri","Sat","Sun"),"")</f>
        <v>Tue</v>
      </c>
      <c r="P210" s="24" t="str">
        <f>IF(ISNUMBER(tblClean[[#This Row],[Date]]),IF(WEEKDAY(tblClean[[#This Row],[Date]],2)&gt;=6,"Weekend","Weekday"),"")</f>
        <v>Weekday</v>
      </c>
      <c r="Q21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10" s="9" t="str">
        <f>IF(ISNUMBER(tblClean[[#This Row],[Duration Hours]]),IF(tblClean[[#This Row],[Duration Hours]]&lt;2,"Short (under 2h)",IF(tblClean[[#This Row],[Duration Hours]]&lt;3,"Standard (2h to under 3h)","Long (3h or more)")),"")</f>
        <v>Standard (2h to under 3h)</v>
      </c>
      <c r="S21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10" s="24">
        <f>IF(COUNTIF(tblClean[Session ID],tblClean[[#This Row],[Session ID]])&gt;1,1,0)</f>
        <v>0</v>
      </c>
      <c r="U210" s="24">
        <f>IF(OR(N(tblClean[[#This Row],[Attributed GMV PHP]])&lt;0,N(tblClean[[#This Row],[Items Sold]])&lt;0,N(tblClean[[#This Row],[Livestream Views]])&lt;0,N(tblClean[[#This Row],[New Followers]])&lt;0),1,0)</f>
        <v>0</v>
      </c>
      <c r="V210" s="24">
        <f>IF(ISNUMBER(tblClean[[#This Row],[Duration Hours]]),IF(OR(tblClean[[#This Row],[Duration Hours]]&lt;=0,tblClean[[#This Row],[Duration Hours]]&gt;12),1,0),1)</f>
        <v>0</v>
      </c>
      <c r="W210" s="24">
        <f>IF(COUNTIF(HostRoster,tblClean[[#This Row],[Host Name]])=0,1,0)</f>
        <v>0</v>
      </c>
      <c r="X210" s="24">
        <f>IF(tblClean[[#This Row],[Missing Flag]]+tblClean[[#This Row],[Duplicate Flag]]+tblClean[[#This Row],[Negative Flag]]+tblClean[[#This Row],[Duration Flag]]+tblClean[[#This Row],[Host Flag]]=0,1,0)</f>
        <v>1</v>
      </c>
    </row>
    <row r="211" spans="1:24" x14ac:dyDescent="0.3">
      <c r="A211" s="9" t="str">
        <f>TRIM('Raw Data'!A207)</f>
        <v>LS-0203</v>
      </c>
      <c r="B211" s="10">
        <f>IF(ISNUMBER('Raw Data'!B207),INT('Raw Data'!B207),IFERROR(DATEVALUE('Raw Data'!B207),""))</f>
        <v>45860</v>
      </c>
      <c r="C211" s="9" t="str">
        <f>PROPER(TRIM('Raw Data'!C207))</f>
        <v>Bianca Reyes</v>
      </c>
      <c r="D211" s="11">
        <f>IF(ISNUMBER('Raw Data'!D207),MOD('Raw Data'!D207,1),IFERROR(TIMEVALUE('Raw Data'!D207),""))</f>
        <v>0.66666666666666663</v>
      </c>
      <c r="E211" s="11">
        <f>IF(ISNUMBER('Raw Data'!E207),MOD('Raw Data'!E207,1),IFERROR(TIMEVALUE('Raw Data'!E207),""))</f>
        <v>0.75</v>
      </c>
      <c r="F211" s="12">
        <f>IF(ISNUMBER('Raw Data'!F207),'Raw Data'!F207,IFERROR(VALUE(SUBSTITUTE('Raw Data'!F207,",","")),""))</f>
        <v>14441</v>
      </c>
      <c r="G211" s="13">
        <f>IF(ISNUMBER('Raw Data'!G207),'Raw Data'!G207,IFERROR(VALUE(SUBSTITUTE('Raw Data'!G207,",","")),""))</f>
        <v>39</v>
      </c>
      <c r="H211" s="13">
        <f>IF(ISNUMBER('Raw Data'!H207),'Raw Data'!H207,IFERROR(VALUE(SUBSTITUTE('Raw Data'!H207,",","")),""))</f>
        <v>38238</v>
      </c>
      <c r="I211" s="13">
        <f>IF(ISNUMBER('Raw Data'!I207),'Raw Data'!I207,IFERROR(VALUE(SUBSTITUTE('Raw Data'!I207,",","")),""))</f>
        <v>351</v>
      </c>
      <c r="J211" s="21">
        <f>IF(AND(ISNUMBER(tblClean[[#This Row],[Start Time]]),ISNUMBER(tblClean[[#This Row],[End Time]])),ROUND(MOD(tblClean[[#This Row],[End Time]]-tblClean[[#This Row],[Start Time]],1)*24,2),"")</f>
        <v>2</v>
      </c>
      <c r="K211" s="12">
        <f>IF(AND(ISNUMBER(tblClean[[#This Row],[Duration Hours]]),ISNUMBER(tblClean[[#This Row],[Attributed GMV PHP]])),IF(tblClean[[#This Row],[Duration Hours]]&gt;0,tblClean[[#This Row],[Attributed GMV PHP]]/tblClean[[#This Row],[Duration Hours]],""),"")</f>
        <v>7220.5</v>
      </c>
      <c r="L211" s="22">
        <f>IF(ISNUMBER(tblClean[[#This Row],[Date]]),DATE(YEAR(tblClean[[#This Row],[Date]]),MONTH(tblClean[[#This Row],[Date]]),1),"")</f>
        <v>45839</v>
      </c>
      <c r="M211" s="10">
        <f>IF(ISNUMBER(tblClean[[#This Row],[Date]]),tblClean[[#This Row],[Date]]-WEEKDAY(tblClean[[#This Row],[Date]],2)+1,"")</f>
        <v>45859</v>
      </c>
      <c r="N211" s="23">
        <f>IF(ISNUMBER(tblClean[[#This Row],[Week Start]]),(tblClean[[#This Row],[Week Start]]-MIN(tblClean[Week Start]))/7+1,"")</f>
        <v>8</v>
      </c>
      <c r="O211" s="24" t="str">
        <f>IF(ISNUMBER(tblClean[[#This Row],[Date]]),CHOOSE(WEEKDAY(tblClean[[#This Row],[Date]],2),"Mon","Tue","Wed","Thu","Fri","Sat","Sun"),"")</f>
        <v>Tue</v>
      </c>
      <c r="P211" s="24" t="str">
        <f>IF(ISNUMBER(tblClean[[#This Row],[Date]]),IF(WEEKDAY(tblClean[[#This Row],[Date]],2)&gt;=6,"Weekend","Weekday"),"")</f>
        <v>Weekday</v>
      </c>
      <c r="Q21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11" s="9" t="str">
        <f>IF(ISNUMBER(tblClean[[#This Row],[Duration Hours]]),IF(tblClean[[#This Row],[Duration Hours]]&lt;2,"Short (under 2h)",IF(tblClean[[#This Row],[Duration Hours]]&lt;3,"Standard (2h to under 3h)","Long (3h or more)")),"")</f>
        <v>Standard (2h to under 3h)</v>
      </c>
      <c r="S21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11" s="24">
        <f>IF(COUNTIF(tblClean[Session ID],tblClean[[#This Row],[Session ID]])&gt;1,1,0)</f>
        <v>0</v>
      </c>
      <c r="U211" s="24">
        <f>IF(OR(N(tblClean[[#This Row],[Attributed GMV PHP]])&lt;0,N(tblClean[[#This Row],[Items Sold]])&lt;0,N(tblClean[[#This Row],[Livestream Views]])&lt;0,N(tblClean[[#This Row],[New Followers]])&lt;0),1,0)</f>
        <v>0</v>
      </c>
      <c r="V211" s="24">
        <f>IF(ISNUMBER(tblClean[[#This Row],[Duration Hours]]),IF(OR(tblClean[[#This Row],[Duration Hours]]&lt;=0,tblClean[[#This Row],[Duration Hours]]&gt;12),1,0),1)</f>
        <v>0</v>
      </c>
      <c r="W211" s="24">
        <f>IF(COUNTIF(HostRoster,tblClean[[#This Row],[Host Name]])=0,1,0)</f>
        <v>0</v>
      </c>
      <c r="X211" s="24">
        <f>IF(tblClean[[#This Row],[Missing Flag]]+tblClean[[#This Row],[Duplicate Flag]]+tblClean[[#This Row],[Negative Flag]]+tblClean[[#This Row],[Duration Flag]]+tblClean[[#This Row],[Host Flag]]=0,1,0)</f>
        <v>1</v>
      </c>
    </row>
    <row r="212" spans="1:24" x14ac:dyDescent="0.3">
      <c r="A212" s="9" t="str">
        <f>TRIM('Raw Data'!A208)</f>
        <v>LS-0204</v>
      </c>
      <c r="B212" s="10">
        <f>IF(ISNUMBER('Raw Data'!B208),INT('Raw Data'!B208),IFERROR(DATEVALUE('Raw Data'!B208),""))</f>
        <v>45860</v>
      </c>
      <c r="C212" s="9" t="str">
        <f>PROPER(TRIM('Raw Data'!C208))</f>
        <v>Aira Valdez</v>
      </c>
      <c r="D212" s="11">
        <f>IF(ISNUMBER('Raw Data'!D208),MOD('Raw Data'!D208,1),IFERROR(TIMEVALUE('Raw Data'!D208),""))</f>
        <v>0.79166666666666663</v>
      </c>
      <c r="E212" s="11">
        <f>IF(ISNUMBER('Raw Data'!E208),MOD('Raw Data'!E208,1),IFERROR(TIMEVALUE('Raw Data'!E208),""))</f>
        <v>0.85416666666666663</v>
      </c>
      <c r="F212" s="12">
        <f>IF(ISNUMBER('Raw Data'!F208),'Raw Data'!F208,IFERROR(VALUE(SUBSTITUTE('Raw Data'!F208,",","")),""))</f>
        <v>25121</v>
      </c>
      <c r="G212" s="13">
        <f>IF(ISNUMBER('Raw Data'!G208),'Raw Data'!G208,IFERROR(VALUE(SUBSTITUTE('Raw Data'!G208,",","")),""))</f>
        <v>77</v>
      </c>
      <c r="H212" s="13">
        <f>IF(ISNUMBER('Raw Data'!H208),'Raw Data'!H208,IFERROR(VALUE(SUBSTITUTE('Raw Data'!H208,",","")),""))</f>
        <v>81621</v>
      </c>
      <c r="I212" s="13">
        <f>IF(ISNUMBER('Raw Data'!I208),'Raw Data'!I208,IFERROR(VALUE(SUBSTITUTE('Raw Data'!I208,",","")),""))</f>
        <v>480</v>
      </c>
      <c r="J212" s="21">
        <f>IF(AND(ISNUMBER(tblClean[[#This Row],[Start Time]]),ISNUMBER(tblClean[[#This Row],[End Time]])),ROUND(MOD(tblClean[[#This Row],[End Time]]-tblClean[[#This Row],[Start Time]],1)*24,2),"")</f>
        <v>1.5</v>
      </c>
      <c r="K212" s="12">
        <f>IF(AND(ISNUMBER(tblClean[[#This Row],[Duration Hours]]),ISNUMBER(tblClean[[#This Row],[Attributed GMV PHP]])),IF(tblClean[[#This Row],[Duration Hours]]&gt;0,tblClean[[#This Row],[Attributed GMV PHP]]/tblClean[[#This Row],[Duration Hours]],""),"")</f>
        <v>16747.333333333332</v>
      </c>
      <c r="L212" s="22">
        <f>IF(ISNUMBER(tblClean[[#This Row],[Date]]),DATE(YEAR(tblClean[[#This Row],[Date]]),MONTH(tblClean[[#This Row],[Date]]),1),"")</f>
        <v>45839</v>
      </c>
      <c r="M212" s="10">
        <f>IF(ISNUMBER(tblClean[[#This Row],[Date]]),tblClean[[#This Row],[Date]]-WEEKDAY(tblClean[[#This Row],[Date]],2)+1,"")</f>
        <v>45859</v>
      </c>
      <c r="N212" s="23">
        <f>IF(ISNUMBER(tblClean[[#This Row],[Week Start]]),(tblClean[[#This Row],[Week Start]]-MIN(tblClean[Week Start]))/7+1,"")</f>
        <v>8</v>
      </c>
      <c r="O212" s="24" t="str">
        <f>IF(ISNUMBER(tblClean[[#This Row],[Date]]),CHOOSE(WEEKDAY(tblClean[[#This Row],[Date]],2),"Mon","Tue","Wed","Thu","Fri","Sat","Sun"),"")</f>
        <v>Tue</v>
      </c>
      <c r="P212" s="24" t="str">
        <f>IF(ISNUMBER(tblClean[[#This Row],[Date]]),IF(WEEKDAY(tblClean[[#This Row],[Date]],2)&gt;=6,"Weekend","Weekday"),"")</f>
        <v>Weekday</v>
      </c>
      <c r="Q21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12" s="9" t="str">
        <f>IF(ISNUMBER(tblClean[[#This Row],[Duration Hours]]),IF(tblClean[[#This Row],[Duration Hours]]&lt;2,"Short (under 2h)",IF(tblClean[[#This Row],[Duration Hours]]&lt;3,"Standard (2h to under 3h)","Long (3h or more)")),"")</f>
        <v>Short (under 2h)</v>
      </c>
      <c r="S21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12" s="24">
        <f>IF(COUNTIF(tblClean[Session ID],tblClean[[#This Row],[Session ID]])&gt;1,1,0)</f>
        <v>0</v>
      </c>
      <c r="U212" s="24">
        <f>IF(OR(N(tblClean[[#This Row],[Attributed GMV PHP]])&lt;0,N(tblClean[[#This Row],[Items Sold]])&lt;0,N(tblClean[[#This Row],[Livestream Views]])&lt;0,N(tblClean[[#This Row],[New Followers]])&lt;0),1,0)</f>
        <v>0</v>
      </c>
      <c r="V212" s="24">
        <f>IF(ISNUMBER(tblClean[[#This Row],[Duration Hours]]),IF(OR(tblClean[[#This Row],[Duration Hours]]&lt;=0,tblClean[[#This Row],[Duration Hours]]&gt;12),1,0),1)</f>
        <v>0</v>
      </c>
      <c r="W212" s="24">
        <f>IF(COUNTIF(HostRoster,tblClean[[#This Row],[Host Name]])=0,1,0)</f>
        <v>0</v>
      </c>
      <c r="X212" s="24">
        <f>IF(tblClean[[#This Row],[Missing Flag]]+tblClean[[#This Row],[Duplicate Flag]]+tblClean[[#This Row],[Negative Flag]]+tblClean[[#This Row],[Duration Flag]]+tblClean[[#This Row],[Host Flag]]=0,1,0)</f>
        <v>1</v>
      </c>
    </row>
    <row r="213" spans="1:24" x14ac:dyDescent="0.3">
      <c r="A213" s="9" t="str">
        <f>TRIM('Raw Data'!A209)</f>
        <v>LS-0205</v>
      </c>
      <c r="B213" s="10">
        <f>IF(ISNUMBER('Raw Data'!B209),INT('Raw Data'!B209),IFERROR(DATEVALUE('Raw Data'!B209),""))</f>
        <v>45861</v>
      </c>
      <c r="C213" s="9" t="str">
        <f>PROPER(TRIM('Raw Data'!C209))</f>
        <v>Elise Navarro</v>
      </c>
      <c r="D213" s="11">
        <f>IF(ISNUMBER('Raw Data'!D209),MOD('Raw Data'!D209,1),IFERROR(TIMEVALUE('Raw Data'!D209),""))</f>
        <v>0.41666666666666669</v>
      </c>
      <c r="E213" s="11">
        <f>IF(ISNUMBER('Raw Data'!E209),MOD('Raw Data'!E209,1),IFERROR(TIMEVALUE('Raw Data'!E209),""))</f>
        <v>0.54166666666666663</v>
      </c>
      <c r="F213" s="12">
        <f>IF(ISNUMBER('Raw Data'!F209),'Raw Data'!F209,IFERROR(VALUE(SUBSTITUTE('Raw Data'!F209,",","")),""))</f>
        <v>15304</v>
      </c>
      <c r="G213" s="13">
        <f>IF(ISNUMBER('Raw Data'!G209),'Raw Data'!G209,IFERROR(VALUE(SUBSTITUTE('Raw Data'!G209,",","")),""))</f>
        <v>45</v>
      </c>
      <c r="H213" s="13">
        <f>IF(ISNUMBER('Raw Data'!H209),'Raw Data'!H209,IFERROR(VALUE(SUBSTITUTE('Raw Data'!H209,",","")),""))</f>
        <v>37825</v>
      </c>
      <c r="I213" s="13">
        <f>IF(ISNUMBER('Raw Data'!I209),'Raw Data'!I209,IFERROR(VALUE(SUBSTITUTE('Raw Data'!I209,",","")),""))</f>
        <v>291</v>
      </c>
      <c r="J213" s="21">
        <f>IF(AND(ISNUMBER(tblClean[[#This Row],[Start Time]]),ISNUMBER(tblClean[[#This Row],[End Time]])),ROUND(MOD(tblClean[[#This Row],[End Time]]-tblClean[[#This Row],[Start Time]],1)*24,2),"")</f>
        <v>3</v>
      </c>
      <c r="K213" s="12">
        <f>IF(AND(ISNUMBER(tblClean[[#This Row],[Duration Hours]]),ISNUMBER(tblClean[[#This Row],[Attributed GMV PHP]])),IF(tblClean[[#This Row],[Duration Hours]]&gt;0,tblClean[[#This Row],[Attributed GMV PHP]]/tblClean[[#This Row],[Duration Hours]],""),"")</f>
        <v>5101.333333333333</v>
      </c>
      <c r="L213" s="22">
        <f>IF(ISNUMBER(tblClean[[#This Row],[Date]]),DATE(YEAR(tblClean[[#This Row],[Date]]),MONTH(tblClean[[#This Row],[Date]]),1),"")</f>
        <v>45839</v>
      </c>
      <c r="M213" s="10">
        <f>IF(ISNUMBER(tblClean[[#This Row],[Date]]),tblClean[[#This Row],[Date]]-WEEKDAY(tblClean[[#This Row],[Date]],2)+1,"")</f>
        <v>45859</v>
      </c>
      <c r="N213" s="23">
        <f>IF(ISNUMBER(tblClean[[#This Row],[Week Start]]),(tblClean[[#This Row],[Week Start]]-MIN(tblClean[Week Start]))/7+1,"")</f>
        <v>8</v>
      </c>
      <c r="O213" s="24" t="str">
        <f>IF(ISNUMBER(tblClean[[#This Row],[Date]]),CHOOSE(WEEKDAY(tblClean[[#This Row],[Date]],2),"Mon","Tue","Wed","Thu","Fri","Sat","Sun"),"")</f>
        <v>Wed</v>
      </c>
      <c r="P213" s="24" t="str">
        <f>IF(ISNUMBER(tblClean[[#This Row],[Date]]),IF(WEEKDAY(tblClean[[#This Row],[Date]],2)&gt;=6,"Weekend","Weekday"),"")</f>
        <v>Weekday</v>
      </c>
      <c r="Q21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13" s="9" t="str">
        <f>IF(ISNUMBER(tblClean[[#This Row],[Duration Hours]]),IF(tblClean[[#This Row],[Duration Hours]]&lt;2,"Short (under 2h)",IF(tblClean[[#This Row],[Duration Hours]]&lt;3,"Standard (2h to under 3h)","Long (3h or more)")),"")</f>
        <v>Long (3h or more)</v>
      </c>
      <c r="S21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13" s="24">
        <f>IF(COUNTIF(tblClean[Session ID],tblClean[[#This Row],[Session ID]])&gt;1,1,0)</f>
        <v>0</v>
      </c>
      <c r="U213" s="24">
        <f>IF(OR(N(tblClean[[#This Row],[Attributed GMV PHP]])&lt;0,N(tblClean[[#This Row],[Items Sold]])&lt;0,N(tblClean[[#This Row],[Livestream Views]])&lt;0,N(tblClean[[#This Row],[New Followers]])&lt;0),1,0)</f>
        <v>0</v>
      </c>
      <c r="V213" s="24">
        <f>IF(ISNUMBER(tblClean[[#This Row],[Duration Hours]]),IF(OR(tblClean[[#This Row],[Duration Hours]]&lt;=0,tblClean[[#This Row],[Duration Hours]]&gt;12),1,0),1)</f>
        <v>0</v>
      </c>
      <c r="W213" s="24">
        <f>IF(COUNTIF(HostRoster,tblClean[[#This Row],[Host Name]])=0,1,0)</f>
        <v>0</v>
      </c>
      <c r="X213" s="24">
        <f>IF(tblClean[[#This Row],[Missing Flag]]+tblClean[[#This Row],[Duplicate Flag]]+tblClean[[#This Row],[Negative Flag]]+tblClean[[#This Row],[Duration Flag]]+tblClean[[#This Row],[Host Flag]]=0,1,0)</f>
        <v>1</v>
      </c>
    </row>
    <row r="214" spans="1:24" x14ac:dyDescent="0.3">
      <c r="A214" s="9" t="str">
        <f>TRIM('Raw Data'!A210)</f>
        <v>LS-0206</v>
      </c>
      <c r="B214" s="10">
        <f>IF(ISNUMBER('Raw Data'!B210),INT('Raw Data'!B210),IFERROR(DATEVALUE('Raw Data'!B210),""))</f>
        <v>45861</v>
      </c>
      <c r="C214" s="9" t="str">
        <f>PROPER(TRIM('Raw Data'!C210))</f>
        <v>Carlo Mendoza</v>
      </c>
      <c r="D214" s="11">
        <f>IF(ISNUMBER('Raw Data'!D210),MOD('Raw Data'!D210,1),IFERROR(TIMEVALUE('Raw Data'!D210),""))</f>
        <v>0.54166666666666663</v>
      </c>
      <c r="E214" s="11">
        <f>IF(ISNUMBER('Raw Data'!E210),MOD('Raw Data'!E210,1),IFERROR(TIMEVALUE('Raw Data'!E210),""))</f>
        <v>0.60416666666666663</v>
      </c>
      <c r="F214" s="12">
        <f>IF(ISNUMBER('Raw Data'!F210),'Raw Data'!F210,IFERROR(VALUE(SUBSTITUTE('Raw Data'!F210,",","")),""))</f>
        <v>11125</v>
      </c>
      <c r="G214" s="13">
        <f>IF(ISNUMBER('Raw Data'!G210),'Raw Data'!G210,IFERROR(VALUE(SUBSTITUTE('Raw Data'!G210,",","")),""))</f>
        <v>31</v>
      </c>
      <c r="H214" s="13">
        <f>IF(ISNUMBER('Raw Data'!H210),'Raw Data'!H210,IFERROR(VALUE(SUBSTITUTE('Raw Data'!H210,",","")),""))</f>
        <v>38375</v>
      </c>
      <c r="I214" s="13">
        <f>IF(ISNUMBER('Raw Data'!I210),'Raw Data'!I210,IFERROR(VALUE(SUBSTITUTE('Raw Data'!I210,",","")),""))</f>
        <v>232</v>
      </c>
      <c r="J214" s="21">
        <f>IF(AND(ISNUMBER(tblClean[[#This Row],[Start Time]]),ISNUMBER(tblClean[[#This Row],[End Time]])),ROUND(MOD(tblClean[[#This Row],[End Time]]-tblClean[[#This Row],[Start Time]],1)*24,2),"")</f>
        <v>1.5</v>
      </c>
      <c r="K214" s="12">
        <f>IF(AND(ISNUMBER(tblClean[[#This Row],[Duration Hours]]),ISNUMBER(tblClean[[#This Row],[Attributed GMV PHP]])),IF(tblClean[[#This Row],[Duration Hours]]&gt;0,tblClean[[#This Row],[Attributed GMV PHP]]/tblClean[[#This Row],[Duration Hours]],""),"")</f>
        <v>7416.666666666667</v>
      </c>
      <c r="L214" s="22">
        <f>IF(ISNUMBER(tblClean[[#This Row],[Date]]),DATE(YEAR(tblClean[[#This Row],[Date]]),MONTH(tblClean[[#This Row],[Date]]),1),"")</f>
        <v>45839</v>
      </c>
      <c r="M214" s="10">
        <f>IF(ISNUMBER(tblClean[[#This Row],[Date]]),tblClean[[#This Row],[Date]]-WEEKDAY(tblClean[[#This Row],[Date]],2)+1,"")</f>
        <v>45859</v>
      </c>
      <c r="N214" s="23">
        <f>IF(ISNUMBER(tblClean[[#This Row],[Week Start]]),(tblClean[[#This Row],[Week Start]]-MIN(tblClean[Week Start]))/7+1,"")</f>
        <v>8</v>
      </c>
      <c r="O214" s="24" t="str">
        <f>IF(ISNUMBER(tblClean[[#This Row],[Date]]),CHOOSE(WEEKDAY(tblClean[[#This Row],[Date]],2),"Mon","Tue","Wed","Thu","Fri","Sat","Sun"),"")</f>
        <v>Wed</v>
      </c>
      <c r="P214" s="24" t="str">
        <f>IF(ISNUMBER(tblClean[[#This Row],[Date]]),IF(WEEKDAY(tblClean[[#This Row],[Date]],2)&gt;=6,"Weekend","Weekday"),"")</f>
        <v>Weekday</v>
      </c>
      <c r="Q21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14" s="9" t="str">
        <f>IF(ISNUMBER(tblClean[[#This Row],[Duration Hours]]),IF(tblClean[[#This Row],[Duration Hours]]&lt;2,"Short (under 2h)",IF(tblClean[[#This Row],[Duration Hours]]&lt;3,"Standard (2h to under 3h)","Long (3h or more)")),"")</f>
        <v>Short (under 2h)</v>
      </c>
      <c r="S21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14" s="24">
        <f>IF(COUNTIF(tblClean[Session ID],tblClean[[#This Row],[Session ID]])&gt;1,1,0)</f>
        <v>0</v>
      </c>
      <c r="U214" s="24">
        <f>IF(OR(N(tblClean[[#This Row],[Attributed GMV PHP]])&lt;0,N(tblClean[[#This Row],[Items Sold]])&lt;0,N(tblClean[[#This Row],[Livestream Views]])&lt;0,N(tblClean[[#This Row],[New Followers]])&lt;0),1,0)</f>
        <v>0</v>
      </c>
      <c r="V214" s="24">
        <f>IF(ISNUMBER(tblClean[[#This Row],[Duration Hours]]),IF(OR(tblClean[[#This Row],[Duration Hours]]&lt;=0,tblClean[[#This Row],[Duration Hours]]&gt;12),1,0),1)</f>
        <v>0</v>
      </c>
      <c r="W214" s="24">
        <f>IF(COUNTIF(HostRoster,tblClean[[#This Row],[Host Name]])=0,1,0)</f>
        <v>0</v>
      </c>
      <c r="X214" s="24">
        <f>IF(tblClean[[#This Row],[Missing Flag]]+tblClean[[#This Row],[Duplicate Flag]]+tblClean[[#This Row],[Negative Flag]]+tblClean[[#This Row],[Duration Flag]]+tblClean[[#This Row],[Host Flag]]=0,1,0)</f>
        <v>1</v>
      </c>
    </row>
    <row r="215" spans="1:24" x14ac:dyDescent="0.3">
      <c r="A215" s="9" t="str">
        <f>TRIM('Raw Data'!A211)</f>
        <v>LS-0207</v>
      </c>
      <c r="B215" s="10">
        <f>IF(ISNUMBER('Raw Data'!B211),INT('Raw Data'!B211),IFERROR(DATEVALUE('Raw Data'!B211),""))</f>
        <v>45861</v>
      </c>
      <c r="C215" s="9" t="str">
        <f>PROPER(TRIM('Raw Data'!C211))</f>
        <v>Bianca Reyes</v>
      </c>
      <c r="D215" s="11">
        <f>IF(ISNUMBER('Raw Data'!D211),MOD('Raw Data'!D211,1),IFERROR(TIMEVALUE('Raw Data'!D211),""))</f>
        <v>0.66666666666666663</v>
      </c>
      <c r="E215" s="11">
        <f>IF(ISNUMBER('Raw Data'!E211),MOD('Raw Data'!E211,1),IFERROR(TIMEVALUE('Raw Data'!E211),""))</f>
        <v>0.79166666666666663</v>
      </c>
      <c r="F215" s="12">
        <f>IF(ISNUMBER('Raw Data'!F211),'Raw Data'!F211,IFERROR(VALUE(SUBSTITUTE('Raw Data'!F211,",","")),""))</f>
        <v>18205</v>
      </c>
      <c r="G215" s="13">
        <f>IF(ISNUMBER('Raw Data'!G211),'Raw Data'!G211,IFERROR(VALUE(SUBSTITUTE('Raw Data'!G211,",","")),""))</f>
        <v>49</v>
      </c>
      <c r="H215" s="13">
        <f>IF(ISNUMBER('Raw Data'!H211),'Raw Data'!H211,IFERROR(VALUE(SUBSTITUTE('Raw Data'!H211,",","")),""))</f>
        <v>67129</v>
      </c>
      <c r="I215" s="13">
        <f>IF(ISNUMBER('Raw Data'!I211),'Raw Data'!I211,IFERROR(VALUE(SUBSTITUTE('Raw Data'!I211,",","")),""))</f>
        <v>773</v>
      </c>
      <c r="J215" s="21">
        <f>IF(AND(ISNUMBER(tblClean[[#This Row],[Start Time]]),ISNUMBER(tblClean[[#This Row],[End Time]])),ROUND(MOD(tblClean[[#This Row],[End Time]]-tblClean[[#This Row],[Start Time]],1)*24,2),"")</f>
        <v>3</v>
      </c>
      <c r="K215" s="12">
        <f>IF(AND(ISNUMBER(tblClean[[#This Row],[Duration Hours]]),ISNUMBER(tblClean[[#This Row],[Attributed GMV PHP]])),IF(tblClean[[#This Row],[Duration Hours]]&gt;0,tblClean[[#This Row],[Attributed GMV PHP]]/tblClean[[#This Row],[Duration Hours]],""),"")</f>
        <v>6068.333333333333</v>
      </c>
      <c r="L215" s="22">
        <f>IF(ISNUMBER(tblClean[[#This Row],[Date]]),DATE(YEAR(tblClean[[#This Row],[Date]]),MONTH(tblClean[[#This Row],[Date]]),1),"")</f>
        <v>45839</v>
      </c>
      <c r="M215" s="10">
        <f>IF(ISNUMBER(tblClean[[#This Row],[Date]]),tblClean[[#This Row],[Date]]-WEEKDAY(tblClean[[#This Row],[Date]],2)+1,"")</f>
        <v>45859</v>
      </c>
      <c r="N215" s="23">
        <f>IF(ISNUMBER(tblClean[[#This Row],[Week Start]]),(tblClean[[#This Row],[Week Start]]-MIN(tblClean[Week Start]))/7+1,"")</f>
        <v>8</v>
      </c>
      <c r="O215" s="24" t="str">
        <f>IF(ISNUMBER(tblClean[[#This Row],[Date]]),CHOOSE(WEEKDAY(tblClean[[#This Row],[Date]],2),"Mon","Tue","Wed","Thu","Fri","Sat","Sun"),"")</f>
        <v>Wed</v>
      </c>
      <c r="P215" s="24" t="str">
        <f>IF(ISNUMBER(tblClean[[#This Row],[Date]]),IF(WEEKDAY(tblClean[[#This Row],[Date]],2)&gt;=6,"Weekend","Weekday"),"")</f>
        <v>Weekday</v>
      </c>
      <c r="Q21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15" s="9" t="str">
        <f>IF(ISNUMBER(tblClean[[#This Row],[Duration Hours]]),IF(tblClean[[#This Row],[Duration Hours]]&lt;2,"Short (under 2h)",IF(tblClean[[#This Row],[Duration Hours]]&lt;3,"Standard (2h to under 3h)","Long (3h or more)")),"")</f>
        <v>Long (3h or more)</v>
      </c>
      <c r="S21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15" s="24">
        <f>IF(COUNTIF(tblClean[Session ID],tblClean[[#This Row],[Session ID]])&gt;1,1,0)</f>
        <v>0</v>
      </c>
      <c r="U215" s="24">
        <f>IF(OR(N(tblClean[[#This Row],[Attributed GMV PHP]])&lt;0,N(tblClean[[#This Row],[Items Sold]])&lt;0,N(tblClean[[#This Row],[Livestream Views]])&lt;0,N(tblClean[[#This Row],[New Followers]])&lt;0),1,0)</f>
        <v>0</v>
      </c>
      <c r="V215" s="24">
        <f>IF(ISNUMBER(tblClean[[#This Row],[Duration Hours]]),IF(OR(tblClean[[#This Row],[Duration Hours]]&lt;=0,tblClean[[#This Row],[Duration Hours]]&gt;12),1,0),1)</f>
        <v>0</v>
      </c>
      <c r="W215" s="24">
        <f>IF(COUNTIF(HostRoster,tblClean[[#This Row],[Host Name]])=0,1,0)</f>
        <v>0</v>
      </c>
      <c r="X215" s="24">
        <f>IF(tblClean[[#This Row],[Missing Flag]]+tblClean[[#This Row],[Duplicate Flag]]+tblClean[[#This Row],[Negative Flag]]+tblClean[[#This Row],[Duration Flag]]+tblClean[[#This Row],[Host Flag]]=0,1,0)</f>
        <v>1</v>
      </c>
    </row>
    <row r="216" spans="1:24" x14ac:dyDescent="0.3">
      <c r="A216" s="9" t="str">
        <f>TRIM('Raw Data'!A212)</f>
        <v>LS-0208</v>
      </c>
      <c r="B216" s="10">
        <f>IF(ISNUMBER('Raw Data'!B212),INT('Raw Data'!B212),IFERROR(DATEVALUE('Raw Data'!B212),""))</f>
        <v>45861</v>
      </c>
      <c r="C216" s="9" t="str">
        <f>PROPER(TRIM('Raw Data'!C212))</f>
        <v>Bianca Reyes</v>
      </c>
      <c r="D216" s="11">
        <f>IF(ISNUMBER('Raw Data'!D212),MOD('Raw Data'!D212,1),IFERROR(TIMEVALUE('Raw Data'!D212),""))</f>
        <v>0.79166666666666663</v>
      </c>
      <c r="E216" s="11">
        <f>IF(ISNUMBER('Raw Data'!E212),MOD('Raw Data'!E212,1),IFERROR(TIMEVALUE('Raw Data'!E212),""))</f>
        <v>0.875</v>
      </c>
      <c r="F216" s="12">
        <f>IF(ISNUMBER('Raw Data'!F212),'Raw Data'!F212,IFERROR(VALUE(SUBSTITUTE('Raw Data'!F212,",","")),""))</f>
        <v>16011</v>
      </c>
      <c r="G216" s="13">
        <f>IF(ISNUMBER('Raw Data'!G212),'Raw Data'!G212,IFERROR(VALUE(SUBSTITUTE('Raw Data'!G212,",","")),""))</f>
        <v>49</v>
      </c>
      <c r="H216" s="13">
        <f>IF(ISNUMBER('Raw Data'!H212),'Raw Data'!H212,IFERROR(VALUE(SUBSTITUTE('Raw Data'!H212,",","")),""))</f>
        <v>54460</v>
      </c>
      <c r="I216" s="13">
        <f>IF(ISNUMBER('Raw Data'!I212),'Raw Data'!I212,IFERROR(VALUE(SUBSTITUTE('Raw Data'!I212,",","")),""))</f>
        <v>368</v>
      </c>
      <c r="J216" s="21">
        <f>IF(AND(ISNUMBER(tblClean[[#This Row],[Start Time]]),ISNUMBER(tblClean[[#This Row],[End Time]])),ROUND(MOD(tblClean[[#This Row],[End Time]]-tblClean[[#This Row],[Start Time]],1)*24,2),"")</f>
        <v>2</v>
      </c>
      <c r="K216" s="12">
        <f>IF(AND(ISNUMBER(tblClean[[#This Row],[Duration Hours]]),ISNUMBER(tblClean[[#This Row],[Attributed GMV PHP]])),IF(tblClean[[#This Row],[Duration Hours]]&gt;0,tblClean[[#This Row],[Attributed GMV PHP]]/tblClean[[#This Row],[Duration Hours]],""),"")</f>
        <v>8005.5</v>
      </c>
      <c r="L216" s="22">
        <f>IF(ISNUMBER(tblClean[[#This Row],[Date]]),DATE(YEAR(tblClean[[#This Row],[Date]]),MONTH(tblClean[[#This Row],[Date]]),1),"")</f>
        <v>45839</v>
      </c>
      <c r="M216" s="10">
        <f>IF(ISNUMBER(tblClean[[#This Row],[Date]]),tblClean[[#This Row],[Date]]-WEEKDAY(tblClean[[#This Row],[Date]],2)+1,"")</f>
        <v>45859</v>
      </c>
      <c r="N216" s="23">
        <f>IF(ISNUMBER(tblClean[[#This Row],[Week Start]]),(tblClean[[#This Row],[Week Start]]-MIN(tblClean[Week Start]))/7+1,"")</f>
        <v>8</v>
      </c>
      <c r="O216" s="24" t="str">
        <f>IF(ISNUMBER(tblClean[[#This Row],[Date]]),CHOOSE(WEEKDAY(tblClean[[#This Row],[Date]],2),"Mon","Tue","Wed","Thu","Fri","Sat","Sun"),"")</f>
        <v>Wed</v>
      </c>
      <c r="P216" s="24" t="str">
        <f>IF(ISNUMBER(tblClean[[#This Row],[Date]]),IF(WEEKDAY(tblClean[[#This Row],[Date]],2)&gt;=6,"Weekend","Weekday"),"")</f>
        <v>Weekday</v>
      </c>
      <c r="Q21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16" s="9" t="str">
        <f>IF(ISNUMBER(tblClean[[#This Row],[Duration Hours]]),IF(tblClean[[#This Row],[Duration Hours]]&lt;2,"Short (under 2h)",IF(tblClean[[#This Row],[Duration Hours]]&lt;3,"Standard (2h to under 3h)","Long (3h or more)")),"")</f>
        <v>Standard (2h to under 3h)</v>
      </c>
      <c r="S21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16" s="24">
        <f>IF(COUNTIF(tblClean[Session ID],tblClean[[#This Row],[Session ID]])&gt;1,1,0)</f>
        <v>0</v>
      </c>
      <c r="U216" s="24">
        <f>IF(OR(N(tblClean[[#This Row],[Attributed GMV PHP]])&lt;0,N(tblClean[[#This Row],[Items Sold]])&lt;0,N(tblClean[[#This Row],[Livestream Views]])&lt;0,N(tblClean[[#This Row],[New Followers]])&lt;0),1,0)</f>
        <v>0</v>
      </c>
      <c r="V216" s="24">
        <f>IF(ISNUMBER(tblClean[[#This Row],[Duration Hours]]),IF(OR(tblClean[[#This Row],[Duration Hours]]&lt;=0,tblClean[[#This Row],[Duration Hours]]&gt;12),1,0),1)</f>
        <v>0</v>
      </c>
      <c r="W216" s="24">
        <f>IF(COUNTIF(HostRoster,tblClean[[#This Row],[Host Name]])=0,1,0)</f>
        <v>0</v>
      </c>
      <c r="X216" s="24">
        <f>IF(tblClean[[#This Row],[Missing Flag]]+tblClean[[#This Row],[Duplicate Flag]]+tblClean[[#This Row],[Negative Flag]]+tblClean[[#This Row],[Duration Flag]]+tblClean[[#This Row],[Host Flag]]=0,1,0)</f>
        <v>1</v>
      </c>
    </row>
    <row r="217" spans="1:24" x14ac:dyDescent="0.3">
      <c r="A217" s="9" t="str">
        <f>TRIM('Raw Data'!A213)</f>
        <v>LS-0209</v>
      </c>
      <c r="B217" s="10">
        <f>IF(ISNUMBER('Raw Data'!B213),INT('Raw Data'!B213),IFERROR(DATEVALUE('Raw Data'!B213),""))</f>
        <v>45861</v>
      </c>
      <c r="C217" s="9" t="str">
        <f>PROPER(TRIM('Raw Data'!C213))</f>
        <v>Carlo Mendoza</v>
      </c>
      <c r="D217" s="11">
        <f>IF(ISNUMBER('Raw Data'!D213),MOD('Raw Data'!D213,1),IFERROR(TIMEVALUE('Raw Data'!D213),""))</f>
        <v>0.91666666666666663</v>
      </c>
      <c r="E217" s="11">
        <f>IF(ISNUMBER('Raw Data'!E213),MOD('Raw Data'!E213,1),IFERROR(TIMEVALUE('Raw Data'!E213),""))</f>
        <v>4.1666666666666657E-2</v>
      </c>
      <c r="F217" s="12">
        <f>IF(ISNUMBER('Raw Data'!F213),'Raw Data'!F213,IFERROR(VALUE(SUBSTITUTE('Raw Data'!F213,",","")),""))</f>
        <v>41100</v>
      </c>
      <c r="G217" s="13">
        <f>IF(ISNUMBER('Raw Data'!G213),'Raw Data'!G213,IFERROR(VALUE(SUBSTITUTE('Raw Data'!G213,",","")),""))</f>
        <v>122</v>
      </c>
      <c r="H217" s="13">
        <f>IF(ISNUMBER('Raw Data'!H213),'Raw Data'!H213,IFERROR(VALUE(SUBSTITUTE('Raw Data'!H213,",","")),""))</f>
        <v>197817</v>
      </c>
      <c r="I217" s="13">
        <f>IF(ISNUMBER('Raw Data'!I213),'Raw Data'!I213,IFERROR(VALUE(SUBSTITUTE('Raw Data'!I213,",","")),""))</f>
        <v>1436</v>
      </c>
      <c r="J217" s="21">
        <f>IF(AND(ISNUMBER(tblClean[[#This Row],[Start Time]]),ISNUMBER(tblClean[[#This Row],[End Time]])),ROUND(MOD(tblClean[[#This Row],[End Time]]-tblClean[[#This Row],[Start Time]],1)*24,2),"")</f>
        <v>3</v>
      </c>
      <c r="K217" s="12">
        <f>IF(AND(ISNUMBER(tblClean[[#This Row],[Duration Hours]]),ISNUMBER(tblClean[[#This Row],[Attributed GMV PHP]])),IF(tblClean[[#This Row],[Duration Hours]]&gt;0,tblClean[[#This Row],[Attributed GMV PHP]]/tblClean[[#This Row],[Duration Hours]],""),"")</f>
        <v>13700</v>
      </c>
      <c r="L217" s="22">
        <f>IF(ISNUMBER(tblClean[[#This Row],[Date]]),DATE(YEAR(tblClean[[#This Row],[Date]]),MONTH(tblClean[[#This Row],[Date]]),1),"")</f>
        <v>45839</v>
      </c>
      <c r="M217" s="10">
        <f>IF(ISNUMBER(tblClean[[#This Row],[Date]]),tblClean[[#This Row],[Date]]-WEEKDAY(tblClean[[#This Row],[Date]],2)+1,"")</f>
        <v>45859</v>
      </c>
      <c r="N217" s="23">
        <f>IF(ISNUMBER(tblClean[[#This Row],[Week Start]]),(tblClean[[#This Row],[Week Start]]-MIN(tblClean[Week Start]))/7+1,"")</f>
        <v>8</v>
      </c>
      <c r="O217" s="24" t="str">
        <f>IF(ISNUMBER(tblClean[[#This Row],[Date]]),CHOOSE(WEEKDAY(tblClean[[#This Row],[Date]],2),"Mon","Tue","Wed","Thu","Fri","Sat","Sun"),"")</f>
        <v>Wed</v>
      </c>
      <c r="P217" s="24" t="str">
        <f>IF(ISNUMBER(tblClean[[#This Row],[Date]]),IF(WEEKDAY(tblClean[[#This Row],[Date]],2)&gt;=6,"Weekend","Weekday"),"")</f>
        <v>Weekday</v>
      </c>
      <c r="Q21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17" s="9" t="str">
        <f>IF(ISNUMBER(tblClean[[#This Row],[Duration Hours]]),IF(tblClean[[#This Row],[Duration Hours]]&lt;2,"Short (under 2h)",IF(tblClean[[#This Row],[Duration Hours]]&lt;3,"Standard (2h to under 3h)","Long (3h or more)")),"")</f>
        <v>Long (3h or more)</v>
      </c>
      <c r="S21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17" s="24">
        <f>IF(COUNTIF(tblClean[Session ID],tblClean[[#This Row],[Session ID]])&gt;1,1,0)</f>
        <v>0</v>
      </c>
      <c r="U217" s="24">
        <f>IF(OR(N(tblClean[[#This Row],[Attributed GMV PHP]])&lt;0,N(tblClean[[#This Row],[Items Sold]])&lt;0,N(tblClean[[#This Row],[Livestream Views]])&lt;0,N(tblClean[[#This Row],[New Followers]])&lt;0),1,0)</f>
        <v>0</v>
      </c>
      <c r="V217" s="24">
        <f>IF(ISNUMBER(tblClean[[#This Row],[Duration Hours]]),IF(OR(tblClean[[#This Row],[Duration Hours]]&lt;=0,tblClean[[#This Row],[Duration Hours]]&gt;12),1,0),1)</f>
        <v>0</v>
      </c>
      <c r="W217" s="24">
        <f>IF(COUNTIF(HostRoster,tblClean[[#This Row],[Host Name]])=0,1,0)</f>
        <v>0</v>
      </c>
      <c r="X217" s="24">
        <f>IF(tblClean[[#This Row],[Missing Flag]]+tblClean[[#This Row],[Duplicate Flag]]+tblClean[[#This Row],[Negative Flag]]+tblClean[[#This Row],[Duration Flag]]+tblClean[[#This Row],[Host Flag]]=0,1,0)</f>
        <v>1</v>
      </c>
    </row>
    <row r="218" spans="1:24" x14ac:dyDescent="0.3">
      <c r="A218" s="9" t="str">
        <f>TRIM('Raw Data'!A214)</f>
        <v>LS-0210</v>
      </c>
      <c r="B218" s="10">
        <f>IF(ISNUMBER('Raw Data'!B214),INT('Raw Data'!B214),IFERROR(DATEVALUE('Raw Data'!B214),""))</f>
        <v>45862</v>
      </c>
      <c r="C218" s="9" t="str">
        <f>PROPER(TRIM('Raw Data'!C214))</f>
        <v>Carlo Mendoza</v>
      </c>
      <c r="D218" s="11">
        <f>IF(ISNUMBER('Raw Data'!D214),MOD('Raw Data'!D214,1),IFERROR(TIMEVALUE('Raw Data'!D214),""))</f>
        <v>0.41666666666666669</v>
      </c>
      <c r="E218" s="11">
        <f>IF(ISNUMBER('Raw Data'!E214),MOD('Raw Data'!E214,1),IFERROR(TIMEVALUE('Raw Data'!E214),""))</f>
        <v>0.47916666666666669</v>
      </c>
      <c r="F218" s="12">
        <f>IF(ISNUMBER('Raw Data'!F214),'Raw Data'!F214,IFERROR(VALUE(SUBSTITUTE('Raw Data'!F214,",","")),""))</f>
        <v>11485</v>
      </c>
      <c r="G218" s="13">
        <f>IF(ISNUMBER('Raw Data'!G214),'Raw Data'!G214,IFERROR(VALUE(SUBSTITUTE('Raw Data'!G214,",","")),""))</f>
        <v>33</v>
      </c>
      <c r="H218" s="13">
        <f>IF(ISNUMBER('Raw Data'!H214),'Raw Data'!H214,IFERROR(VALUE(SUBSTITUTE('Raw Data'!H214,",","")),""))</f>
        <v>42586</v>
      </c>
      <c r="I218" s="13">
        <f>IF(ISNUMBER('Raw Data'!I214),'Raw Data'!I214,IFERROR(VALUE(SUBSTITUTE('Raw Data'!I214,",","")),""))</f>
        <v>311</v>
      </c>
      <c r="J218" s="21">
        <f>IF(AND(ISNUMBER(tblClean[[#This Row],[Start Time]]),ISNUMBER(tblClean[[#This Row],[End Time]])),ROUND(MOD(tblClean[[#This Row],[End Time]]-tblClean[[#This Row],[Start Time]],1)*24,2),"")</f>
        <v>1.5</v>
      </c>
      <c r="K218" s="12">
        <f>IF(AND(ISNUMBER(tblClean[[#This Row],[Duration Hours]]),ISNUMBER(tblClean[[#This Row],[Attributed GMV PHP]])),IF(tblClean[[#This Row],[Duration Hours]]&gt;0,tblClean[[#This Row],[Attributed GMV PHP]]/tblClean[[#This Row],[Duration Hours]],""),"")</f>
        <v>7656.666666666667</v>
      </c>
      <c r="L218" s="22">
        <f>IF(ISNUMBER(tblClean[[#This Row],[Date]]),DATE(YEAR(tblClean[[#This Row],[Date]]),MONTH(tblClean[[#This Row],[Date]]),1),"")</f>
        <v>45839</v>
      </c>
      <c r="M218" s="10">
        <f>IF(ISNUMBER(tblClean[[#This Row],[Date]]),tblClean[[#This Row],[Date]]-WEEKDAY(tblClean[[#This Row],[Date]],2)+1,"")</f>
        <v>45859</v>
      </c>
      <c r="N218" s="23">
        <f>IF(ISNUMBER(tblClean[[#This Row],[Week Start]]),(tblClean[[#This Row],[Week Start]]-MIN(tblClean[Week Start]))/7+1,"")</f>
        <v>8</v>
      </c>
      <c r="O218" s="24" t="str">
        <f>IF(ISNUMBER(tblClean[[#This Row],[Date]]),CHOOSE(WEEKDAY(tblClean[[#This Row],[Date]],2),"Mon","Tue","Wed","Thu","Fri","Sat","Sun"),"")</f>
        <v>Thu</v>
      </c>
      <c r="P218" s="24" t="str">
        <f>IF(ISNUMBER(tblClean[[#This Row],[Date]]),IF(WEEKDAY(tblClean[[#This Row],[Date]],2)&gt;=6,"Weekend","Weekday"),"")</f>
        <v>Weekday</v>
      </c>
      <c r="Q21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18" s="9" t="str">
        <f>IF(ISNUMBER(tblClean[[#This Row],[Duration Hours]]),IF(tblClean[[#This Row],[Duration Hours]]&lt;2,"Short (under 2h)",IF(tblClean[[#This Row],[Duration Hours]]&lt;3,"Standard (2h to under 3h)","Long (3h or more)")),"")</f>
        <v>Short (under 2h)</v>
      </c>
      <c r="S21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18" s="24">
        <f>IF(COUNTIF(tblClean[Session ID],tblClean[[#This Row],[Session ID]])&gt;1,1,0)</f>
        <v>0</v>
      </c>
      <c r="U218" s="24">
        <f>IF(OR(N(tblClean[[#This Row],[Attributed GMV PHP]])&lt;0,N(tblClean[[#This Row],[Items Sold]])&lt;0,N(tblClean[[#This Row],[Livestream Views]])&lt;0,N(tblClean[[#This Row],[New Followers]])&lt;0),1,0)</f>
        <v>0</v>
      </c>
      <c r="V218" s="24">
        <f>IF(ISNUMBER(tblClean[[#This Row],[Duration Hours]]),IF(OR(tblClean[[#This Row],[Duration Hours]]&lt;=0,tblClean[[#This Row],[Duration Hours]]&gt;12),1,0),1)</f>
        <v>0</v>
      </c>
      <c r="W218" s="24">
        <f>IF(COUNTIF(HostRoster,tblClean[[#This Row],[Host Name]])=0,1,0)</f>
        <v>0</v>
      </c>
      <c r="X218" s="24">
        <f>IF(tblClean[[#This Row],[Missing Flag]]+tblClean[[#This Row],[Duplicate Flag]]+tblClean[[#This Row],[Negative Flag]]+tblClean[[#This Row],[Duration Flag]]+tblClean[[#This Row],[Host Flag]]=0,1,0)</f>
        <v>1</v>
      </c>
    </row>
    <row r="219" spans="1:24" x14ac:dyDescent="0.3">
      <c r="A219" s="9" t="str">
        <f>TRIM('Raw Data'!A215)</f>
        <v>LS-0211</v>
      </c>
      <c r="B219" s="10">
        <f>IF(ISNUMBER('Raw Data'!B215),INT('Raw Data'!B215),IFERROR(DATEVALUE('Raw Data'!B215),""))</f>
        <v>45862</v>
      </c>
      <c r="C219" s="9" t="str">
        <f>PROPER(TRIM('Raw Data'!C215))</f>
        <v>Elise Navarro</v>
      </c>
      <c r="D219" s="11">
        <f>IF(ISNUMBER('Raw Data'!D215),MOD('Raw Data'!D215,1),IFERROR(TIMEVALUE('Raw Data'!D215),""))</f>
        <v>0.66666666666666663</v>
      </c>
      <c r="E219" s="11">
        <f>IF(ISNUMBER('Raw Data'!E215),MOD('Raw Data'!E215,1),IFERROR(TIMEVALUE('Raw Data'!E215),""))</f>
        <v>0.77083333333333337</v>
      </c>
      <c r="F219" s="12">
        <f>IF(ISNUMBER('Raw Data'!F215),'Raw Data'!F215,IFERROR(VALUE(SUBSTITUTE('Raw Data'!F215,",","")),""))</f>
        <v>46277</v>
      </c>
      <c r="G219" s="13">
        <f>IF(ISNUMBER('Raw Data'!G215),'Raw Data'!G215,IFERROR(VALUE(SUBSTITUTE('Raw Data'!G215,",","")),""))</f>
        <v>123</v>
      </c>
      <c r="H219" s="13">
        <f>IF(ISNUMBER('Raw Data'!H215),'Raw Data'!H215,IFERROR(VALUE(SUBSTITUTE('Raw Data'!H215,",","")),""))</f>
        <v>186653</v>
      </c>
      <c r="I219" s="13">
        <f>IF(ISNUMBER('Raw Data'!I215),'Raw Data'!I215,IFERROR(VALUE(SUBSTITUTE('Raw Data'!I215,",","")),""))</f>
        <v>1277</v>
      </c>
      <c r="J219" s="21">
        <f>IF(AND(ISNUMBER(tblClean[[#This Row],[Start Time]]),ISNUMBER(tblClean[[#This Row],[End Time]])),ROUND(MOD(tblClean[[#This Row],[End Time]]-tblClean[[#This Row],[Start Time]],1)*24,2),"")</f>
        <v>2.5</v>
      </c>
      <c r="K219" s="12">
        <f>IF(AND(ISNUMBER(tblClean[[#This Row],[Duration Hours]]),ISNUMBER(tblClean[[#This Row],[Attributed GMV PHP]])),IF(tblClean[[#This Row],[Duration Hours]]&gt;0,tblClean[[#This Row],[Attributed GMV PHP]]/tblClean[[#This Row],[Duration Hours]],""),"")</f>
        <v>18510.8</v>
      </c>
      <c r="L219" s="22">
        <f>IF(ISNUMBER(tblClean[[#This Row],[Date]]),DATE(YEAR(tblClean[[#This Row],[Date]]),MONTH(tblClean[[#This Row],[Date]]),1),"")</f>
        <v>45839</v>
      </c>
      <c r="M219" s="10">
        <f>IF(ISNUMBER(tblClean[[#This Row],[Date]]),tblClean[[#This Row],[Date]]-WEEKDAY(tblClean[[#This Row],[Date]],2)+1,"")</f>
        <v>45859</v>
      </c>
      <c r="N219" s="23">
        <f>IF(ISNUMBER(tblClean[[#This Row],[Week Start]]),(tblClean[[#This Row],[Week Start]]-MIN(tblClean[Week Start]))/7+1,"")</f>
        <v>8</v>
      </c>
      <c r="O219" s="24" t="str">
        <f>IF(ISNUMBER(tblClean[[#This Row],[Date]]),CHOOSE(WEEKDAY(tblClean[[#This Row],[Date]],2),"Mon","Tue","Wed","Thu","Fri","Sat","Sun"),"")</f>
        <v>Thu</v>
      </c>
      <c r="P219" s="24" t="str">
        <f>IF(ISNUMBER(tblClean[[#This Row],[Date]]),IF(WEEKDAY(tblClean[[#This Row],[Date]],2)&gt;=6,"Weekend","Weekday"),"")</f>
        <v>Weekday</v>
      </c>
      <c r="Q21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19" s="9" t="str">
        <f>IF(ISNUMBER(tblClean[[#This Row],[Duration Hours]]),IF(tblClean[[#This Row],[Duration Hours]]&lt;2,"Short (under 2h)",IF(tblClean[[#This Row],[Duration Hours]]&lt;3,"Standard (2h to under 3h)","Long (3h or more)")),"")</f>
        <v>Standard (2h to under 3h)</v>
      </c>
      <c r="S21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19" s="24">
        <f>IF(COUNTIF(tblClean[Session ID],tblClean[[#This Row],[Session ID]])&gt;1,1,0)</f>
        <v>0</v>
      </c>
      <c r="U219" s="24">
        <f>IF(OR(N(tblClean[[#This Row],[Attributed GMV PHP]])&lt;0,N(tblClean[[#This Row],[Items Sold]])&lt;0,N(tblClean[[#This Row],[Livestream Views]])&lt;0,N(tblClean[[#This Row],[New Followers]])&lt;0),1,0)</f>
        <v>0</v>
      </c>
      <c r="V219" s="24">
        <f>IF(ISNUMBER(tblClean[[#This Row],[Duration Hours]]),IF(OR(tblClean[[#This Row],[Duration Hours]]&lt;=0,tblClean[[#This Row],[Duration Hours]]&gt;12),1,0),1)</f>
        <v>0</v>
      </c>
      <c r="W219" s="24">
        <f>IF(COUNTIF(HostRoster,tblClean[[#This Row],[Host Name]])=0,1,0)</f>
        <v>0</v>
      </c>
      <c r="X219" s="24">
        <f>IF(tblClean[[#This Row],[Missing Flag]]+tblClean[[#This Row],[Duplicate Flag]]+tblClean[[#This Row],[Negative Flag]]+tblClean[[#This Row],[Duration Flag]]+tblClean[[#This Row],[Host Flag]]=0,1,0)</f>
        <v>1</v>
      </c>
    </row>
    <row r="220" spans="1:24" x14ac:dyDescent="0.3">
      <c r="A220" s="9" t="str">
        <f>TRIM('Raw Data'!A216)</f>
        <v>LS-0212</v>
      </c>
      <c r="B220" s="10">
        <f>IF(ISNUMBER('Raw Data'!B216),INT('Raw Data'!B216),IFERROR(DATEVALUE('Raw Data'!B216),""))</f>
        <v>45862</v>
      </c>
      <c r="C220" s="9" t="str">
        <f>PROPER(TRIM('Raw Data'!C216))</f>
        <v>Carlo Mendoza</v>
      </c>
      <c r="D220" s="11">
        <f>IF(ISNUMBER('Raw Data'!D216),MOD('Raw Data'!D216,1),IFERROR(TIMEVALUE('Raw Data'!D216),""))</f>
        <v>0.79166666666666663</v>
      </c>
      <c r="E220" s="11">
        <f>IF(ISNUMBER('Raw Data'!E216),MOD('Raw Data'!E216,1),IFERROR(TIMEVALUE('Raw Data'!E216),""))</f>
        <v>0.91666666666666663</v>
      </c>
      <c r="F220" s="12">
        <f>IF(ISNUMBER('Raw Data'!F216),'Raw Data'!F216,IFERROR(VALUE(SUBSTITUTE('Raw Data'!F216,",","")),""))</f>
        <v>84839</v>
      </c>
      <c r="G220" s="13">
        <f>IF(ISNUMBER('Raw Data'!G216),'Raw Data'!G216,IFERROR(VALUE(SUBSTITUTE('Raw Data'!G216,",","")),""))</f>
        <v>272</v>
      </c>
      <c r="H220" s="13">
        <f>IF(ISNUMBER('Raw Data'!H216),'Raw Data'!H216,IFERROR(VALUE(SUBSTITUTE('Raw Data'!H216,",","")),""))</f>
        <v>330828</v>
      </c>
      <c r="I220" s="13">
        <f>IF(ISNUMBER('Raw Data'!I216),'Raw Data'!I216,IFERROR(VALUE(SUBSTITUTE('Raw Data'!I216,",","")),""))</f>
        <v>1521</v>
      </c>
      <c r="J220" s="21">
        <f>IF(AND(ISNUMBER(tblClean[[#This Row],[Start Time]]),ISNUMBER(tblClean[[#This Row],[End Time]])),ROUND(MOD(tblClean[[#This Row],[End Time]]-tblClean[[#This Row],[Start Time]],1)*24,2),"")</f>
        <v>3</v>
      </c>
      <c r="K220" s="12">
        <f>IF(AND(ISNUMBER(tblClean[[#This Row],[Duration Hours]]),ISNUMBER(tblClean[[#This Row],[Attributed GMV PHP]])),IF(tblClean[[#This Row],[Duration Hours]]&gt;0,tblClean[[#This Row],[Attributed GMV PHP]]/tblClean[[#This Row],[Duration Hours]],""),"")</f>
        <v>28279.666666666668</v>
      </c>
      <c r="L220" s="22">
        <f>IF(ISNUMBER(tblClean[[#This Row],[Date]]),DATE(YEAR(tblClean[[#This Row],[Date]]),MONTH(tblClean[[#This Row],[Date]]),1),"")</f>
        <v>45839</v>
      </c>
      <c r="M220" s="10">
        <f>IF(ISNUMBER(tblClean[[#This Row],[Date]]),tblClean[[#This Row],[Date]]-WEEKDAY(tblClean[[#This Row],[Date]],2)+1,"")</f>
        <v>45859</v>
      </c>
      <c r="N220" s="23">
        <f>IF(ISNUMBER(tblClean[[#This Row],[Week Start]]),(tblClean[[#This Row],[Week Start]]-MIN(tblClean[Week Start]))/7+1,"")</f>
        <v>8</v>
      </c>
      <c r="O220" s="24" t="str">
        <f>IF(ISNUMBER(tblClean[[#This Row],[Date]]),CHOOSE(WEEKDAY(tblClean[[#This Row],[Date]],2),"Mon","Tue","Wed","Thu","Fri","Sat","Sun"),"")</f>
        <v>Thu</v>
      </c>
      <c r="P220" s="24" t="str">
        <f>IF(ISNUMBER(tblClean[[#This Row],[Date]]),IF(WEEKDAY(tblClean[[#This Row],[Date]],2)&gt;=6,"Weekend","Weekday"),"")</f>
        <v>Weekday</v>
      </c>
      <c r="Q22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20" s="9" t="str">
        <f>IF(ISNUMBER(tblClean[[#This Row],[Duration Hours]]),IF(tblClean[[#This Row],[Duration Hours]]&lt;2,"Short (under 2h)",IF(tblClean[[#This Row],[Duration Hours]]&lt;3,"Standard (2h to under 3h)","Long (3h or more)")),"")</f>
        <v>Long (3h or more)</v>
      </c>
      <c r="S22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20" s="24">
        <f>IF(COUNTIF(tblClean[Session ID],tblClean[[#This Row],[Session ID]])&gt;1,1,0)</f>
        <v>0</v>
      </c>
      <c r="U220" s="24">
        <f>IF(OR(N(tblClean[[#This Row],[Attributed GMV PHP]])&lt;0,N(tblClean[[#This Row],[Items Sold]])&lt;0,N(tblClean[[#This Row],[Livestream Views]])&lt;0,N(tblClean[[#This Row],[New Followers]])&lt;0),1,0)</f>
        <v>0</v>
      </c>
      <c r="V220" s="24">
        <f>IF(ISNUMBER(tblClean[[#This Row],[Duration Hours]]),IF(OR(tblClean[[#This Row],[Duration Hours]]&lt;=0,tblClean[[#This Row],[Duration Hours]]&gt;12),1,0),1)</f>
        <v>0</v>
      </c>
      <c r="W220" s="24">
        <f>IF(COUNTIF(HostRoster,tblClean[[#This Row],[Host Name]])=0,1,0)</f>
        <v>0</v>
      </c>
      <c r="X220" s="24">
        <f>IF(tblClean[[#This Row],[Missing Flag]]+tblClean[[#This Row],[Duplicate Flag]]+tblClean[[#This Row],[Negative Flag]]+tblClean[[#This Row],[Duration Flag]]+tblClean[[#This Row],[Host Flag]]=0,1,0)</f>
        <v>1</v>
      </c>
    </row>
    <row r="221" spans="1:24" x14ac:dyDescent="0.3">
      <c r="A221" s="9" t="str">
        <f>TRIM('Raw Data'!A217)</f>
        <v>LS-0213</v>
      </c>
      <c r="B221" s="10">
        <f>IF(ISNUMBER('Raw Data'!B217),INT('Raw Data'!B217),IFERROR(DATEVALUE('Raw Data'!B217),""))</f>
        <v>45862</v>
      </c>
      <c r="C221" s="9" t="str">
        <f>PROPER(TRIM('Raw Data'!C217))</f>
        <v>Bianca Reyes</v>
      </c>
      <c r="D221" s="11">
        <f>IF(ISNUMBER('Raw Data'!D217),MOD('Raw Data'!D217,1),IFERROR(TIMEVALUE('Raw Data'!D217),""))</f>
        <v>0.91666666666666663</v>
      </c>
      <c r="E221" s="11">
        <f>IF(ISNUMBER('Raw Data'!E217),MOD('Raw Data'!E217,1),IFERROR(TIMEVALUE('Raw Data'!E217),""))</f>
        <v>2.0833333333333329E-2</v>
      </c>
      <c r="F221" s="12">
        <f>IF(ISNUMBER('Raw Data'!F217),'Raw Data'!F217,IFERROR(VALUE(SUBSTITUTE('Raw Data'!F217,",","")),""))</f>
        <v>20505</v>
      </c>
      <c r="G221" s="13">
        <f>IF(ISNUMBER('Raw Data'!G217),'Raw Data'!G217,IFERROR(VALUE(SUBSTITUTE('Raw Data'!G217,",","")),""))</f>
        <v>62</v>
      </c>
      <c r="H221" s="13">
        <f>IF(ISNUMBER('Raw Data'!H217),'Raw Data'!H217,IFERROR(VALUE(SUBSTITUTE('Raw Data'!H217,",","")),""))</f>
        <v>91180</v>
      </c>
      <c r="I221" s="13">
        <f>IF(ISNUMBER('Raw Data'!I217),'Raw Data'!I217,IFERROR(VALUE(SUBSTITUTE('Raw Data'!I217,",","")),""))</f>
        <v>1111</v>
      </c>
      <c r="J221" s="21">
        <f>IF(AND(ISNUMBER(tblClean[[#This Row],[Start Time]]),ISNUMBER(tblClean[[#This Row],[End Time]])),ROUND(MOD(tblClean[[#This Row],[End Time]]-tblClean[[#This Row],[Start Time]],1)*24,2),"")</f>
        <v>2.5</v>
      </c>
      <c r="K221" s="12">
        <f>IF(AND(ISNUMBER(tblClean[[#This Row],[Duration Hours]]),ISNUMBER(tblClean[[#This Row],[Attributed GMV PHP]])),IF(tblClean[[#This Row],[Duration Hours]]&gt;0,tblClean[[#This Row],[Attributed GMV PHP]]/tblClean[[#This Row],[Duration Hours]],""),"")</f>
        <v>8202</v>
      </c>
      <c r="L221" s="22">
        <f>IF(ISNUMBER(tblClean[[#This Row],[Date]]),DATE(YEAR(tblClean[[#This Row],[Date]]),MONTH(tblClean[[#This Row],[Date]]),1),"")</f>
        <v>45839</v>
      </c>
      <c r="M221" s="10">
        <f>IF(ISNUMBER(tblClean[[#This Row],[Date]]),tblClean[[#This Row],[Date]]-WEEKDAY(tblClean[[#This Row],[Date]],2)+1,"")</f>
        <v>45859</v>
      </c>
      <c r="N221" s="23">
        <f>IF(ISNUMBER(tblClean[[#This Row],[Week Start]]),(tblClean[[#This Row],[Week Start]]-MIN(tblClean[Week Start]))/7+1,"")</f>
        <v>8</v>
      </c>
      <c r="O221" s="24" t="str">
        <f>IF(ISNUMBER(tblClean[[#This Row],[Date]]),CHOOSE(WEEKDAY(tblClean[[#This Row],[Date]],2),"Mon","Tue","Wed","Thu","Fri","Sat","Sun"),"")</f>
        <v>Thu</v>
      </c>
      <c r="P221" s="24" t="str">
        <f>IF(ISNUMBER(tblClean[[#This Row],[Date]]),IF(WEEKDAY(tblClean[[#This Row],[Date]],2)&gt;=6,"Weekend","Weekday"),"")</f>
        <v>Weekday</v>
      </c>
      <c r="Q22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21" s="9" t="str">
        <f>IF(ISNUMBER(tblClean[[#This Row],[Duration Hours]]),IF(tblClean[[#This Row],[Duration Hours]]&lt;2,"Short (under 2h)",IF(tblClean[[#This Row],[Duration Hours]]&lt;3,"Standard (2h to under 3h)","Long (3h or more)")),"")</f>
        <v>Standard (2h to under 3h)</v>
      </c>
      <c r="S22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21" s="24">
        <f>IF(COUNTIF(tblClean[Session ID],tblClean[[#This Row],[Session ID]])&gt;1,1,0)</f>
        <v>0</v>
      </c>
      <c r="U221" s="24">
        <f>IF(OR(N(tblClean[[#This Row],[Attributed GMV PHP]])&lt;0,N(tblClean[[#This Row],[Items Sold]])&lt;0,N(tblClean[[#This Row],[Livestream Views]])&lt;0,N(tblClean[[#This Row],[New Followers]])&lt;0),1,0)</f>
        <v>0</v>
      </c>
      <c r="V221" s="24">
        <f>IF(ISNUMBER(tblClean[[#This Row],[Duration Hours]]),IF(OR(tblClean[[#This Row],[Duration Hours]]&lt;=0,tblClean[[#This Row],[Duration Hours]]&gt;12),1,0),1)</f>
        <v>0</v>
      </c>
      <c r="W221" s="24">
        <f>IF(COUNTIF(HostRoster,tblClean[[#This Row],[Host Name]])=0,1,0)</f>
        <v>0</v>
      </c>
      <c r="X221" s="24">
        <f>IF(tblClean[[#This Row],[Missing Flag]]+tblClean[[#This Row],[Duplicate Flag]]+tblClean[[#This Row],[Negative Flag]]+tblClean[[#This Row],[Duration Flag]]+tblClean[[#This Row],[Host Flag]]=0,1,0)</f>
        <v>1</v>
      </c>
    </row>
    <row r="222" spans="1:24" x14ac:dyDescent="0.3">
      <c r="A222" s="9" t="str">
        <f>TRIM('Raw Data'!A218)</f>
        <v>LS-0214</v>
      </c>
      <c r="B222" s="10">
        <f>IF(ISNUMBER('Raw Data'!B218),INT('Raw Data'!B218),IFERROR(DATEVALUE('Raw Data'!B218),""))</f>
        <v>45863</v>
      </c>
      <c r="C222" s="9" t="str">
        <f>PROPER(TRIM('Raw Data'!C218))</f>
        <v>Dani Villanueva</v>
      </c>
      <c r="D222" s="11">
        <f>IF(ISNUMBER('Raw Data'!D218),MOD('Raw Data'!D218,1),IFERROR(TIMEVALUE('Raw Data'!D218),""))</f>
        <v>0.41666666666666669</v>
      </c>
      <c r="E222" s="11">
        <f>IF(ISNUMBER('Raw Data'!E218),MOD('Raw Data'!E218,1),IFERROR(TIMEVALUE('Raw Data'!E218),""))</f>
        <v>0.52083333333333337</v>
      </c>
      <c r="F222" s="12">
        <f>IF(ISNUMBER('Raw Data'!F218),'Raw Data'!F218,IFERROR(VALUE(SUBSTITUTE('Raw Data'!F218,",","")),""))</f>
        <v>13578</v>
      </c>
      <c r="G222" s="13">
        <f>IF(ISNUMBER('Raw Data'!G218),'Raw Data'!G218,IFERROR(VALUE(SUBSTITUTE('Raw Data'!G218,",","")),""))</f>
        <v>38</v>
      </c>
      <c r="H222" s="13">
        <f>IF(ISNUMBER('Raw Data'!H218),'Raw Data'!H218,IFERROR(VALUE(SUBSTITUTE('Raw Data'!H218,",","")),""))</f>
        <v>38516</v>
      </c>
      <c r="I222" s="13">
        <f>IF(ISNUMBER('Raw Data'!I218),'Raw Data'!I218,IFERROR(VALUE(SUBSTITUTE('Raw Data'!I218,",","")),""))</f>
        <v>348</v>
      </c>
      <c r="J222" s="21">
        <f>IF(AND(ISNUMBER(tblClean[[#This Row],[Start Time]]),ISNUMBER(tblClean[[#This Row],[End Time]])),ROUND(MOD(tblClean[[#This Row],[End Time]]-tblClean[[#This Row],[Start Time]],1)*24,2),"")</f>
        <v>2.5</v>
      </c>
      <c r="K222" s="12">
        <f>IF(AND(ISNUMBER(tblClean[[#This Row],[Duration Hours]]),ISNUMBER(tblClean[[#This Row],[Attributed GMV PHP]])),IF(tblClean[[#This Row],[Duration Hours]]&gt;0,tblClean[[#This Row],[Attributed GMV PHP]]/tblClean[[#This Row],[Duration Hours]],""),"")</f>
        <v>5431.2</v>
      </c>
      <c r="L222" s="22">
        <f>IF(ISNUMBER(tblClean[[#This Row],[Date]]),DATE(YEAR(tblClean[[#This Row],[Date]]),MONTH(tblClean[[#This Row],[Date]]),1),"")</f>
        <v>45839</v>
      </c>
      <c r="M222" s="10">
        <f>IF(ISNUMBER(tblClean[[#This Row],[Date]]),tblClean[[#This Row],[Date]]-WEEKDAY(tblClean[[#This Row],[Date]],2)+1,"")</f>
        <v>45859</v>
      </c>
      <c r="N222" s="23">
        <f>IF(ISNUMBER(tblClean[[#This Row],[Week Start]]),(tblClean[[#This Row],[Week Start]]-MIN(tblClean[Week Start]))/7+1,"")</f>
        <v>8</v>
      </c>
      <c r="O222" s="24" t="str">
        <f>IF(ISNUMBER(tblClean[[#This Row],[Date]]),CHOOSE(WEEKDAY(tblClean[[#This Row],[Date]],2),"Mon","Tue","Wed","Thu","Fri","Sat","Sun"),"")</f>
        <v>Fri</v>
      </c>
      <c r="P222" s="24" t="str">
        <f>IF(ISNUMBER(tblClean[[#This Row],[Date]]),IF(WEEKDAY(tblClean[[#This Row],[Date]],2)&gt;=6,"Weekend","Weekday"),"")</f>
        <v>Weekday</v>
      </c>
      <c r="Q22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22" s="9" t="str">
        <f>IF(ISNUMBER(tblClean[[#This Row],[Duration Hours]]),IF(tblClean[[#This Row],[Duration Hours]]&lt;2,"Short (under 2h)",IF(tblClean[[#This Row],[Duration Hours]]&lt;3,"Standard (2h to under 3h)","Long (3h or more)")),"")</f>
        <v>Standard (2h to under 3h)</v>
      </c>
      <c r="S22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22" s="24">
        <f>IF(COUNTIF(tblClean[Session ID],tblClean[[#This Row],[Session ID]])&gt;1,1,0)</f>
        <v>0</v>
      </c>
      <c r="U222" s="24">
        <f>IF(OR(N(tblClean[[#This Row],[Attributed GMV PHP]])&lt;0,N(tblClean[[#This Row],[Items Sold]])&lt;0,N(tblClean[[#This Row],[Livestream Views]])&lt;0,N(tblClean[[#This Row],[New Followers]])&lt;0),1,0)</f>
        <v>0</v>
      </c>
      <c r="V222" s="24">
        <f>IF(ISNUMBER(tblClean[[#This Row],[Duration Hours]]),IF(OR(tblClean[[#This Row],[Duration Hours]]&lt;=0,tblClean[[#This Row],[Duration Hours]]&gt;12),1,0),1)</f>
        <v>0</v>
      </c>
      <c r="W222" s="24">
        <f>IF(COUNTIF(HostRoster,tblClean[[#This Row],[Host Name]])=0,1,0)</f>
        <v>0</v>
      </c>
      <c r="X222" s="24">
        <f>IF(tblClean[[#This Row],[Missing Flag]]+tblClean[[#This Row],[Duplicate Flag]]+tblClean[[#This Row],[Negative Flag]]+tblClean[[#This Row],[Duration Flag]]+tblClean[[#This Row],[Host Flag]]=0,1,0)</f>
        <v>1</v>
      </c>
    </row>
    <row r="223" spans="1:24" x14ac:dyDescent="0.3">
      <c r="A223" s="9" t="str">
        <f>TRIM('Raw Data'!A219)</f>
        <v>LS-0215</v>
      </c>
      <c r="B223" s="10">
        <f>IF(ISNUMBER('Raw Data'!B219),INT('Raw Data'!B219),IFERROR(DATEVALUE('Raw Data'!B219),""))</f>
        <v>45863</v>
      </c>
      <c r="C223" s="9" t="str">
        <f>PROPER(TRIM('Raw Data'!C219))</f>
        <v>Dani Villanueva</v>
      </c>
      <c r="D223" s="11">
        <f>IF(ISNUMBER('Raw Data'!D219),MOD('Raw Data'!D219,1),IFERROR(TIMEVALUE('Raw Data'!D219),""))</f>
        <v>0.54166666666666663</v>
      </c>
      <c r="E223" s="11">
        <f>IF(ISNUMBER('Raw Data'!E219),MOD('Raw Data'!E219,1),IFERROR(TIMEVALUE('Raw Data'!E219),""))</f>
        <v>0.66666666666666663</v>
      </c>
      <c r="F223" s="12">
        <f>IF(ISNUMBER('Raw Data'!F219),'Raw Data'!F219,IFERROR(VALUE(SUBSTITUTE('Raw Data'!F219,",","")),""))</f>
        <v>39652</v>
      </c>
      <c r="G223" s="13">
        <f>IF(ISNUMBER('Raw Data'!G219),'Raw Data'!G219,IFERROR(VALUE(SUBSTITUTE('Raw Data'!G219,",","")),""))</f>
        <v>109</v>
      </c>
      <c r="H223" s="13">
        <f>IF(ISNUMBER('Raw Data'!H219),'Raw Data'!H219,IFERROR(VALUE(SUBSTITUTE('Raw Data'!H219,",","")),""))</f>
        <v>190706</v>
      </c>
      <c r="I223" s="13">
        <f>IF(ISNUMBER('Raw Data'!I219),'Raw Data'!I219,IFERROR(VALUE(SUBSTITUTE('Raw Data'!I219,",","")),""))</f>
        <v>1377</v>
      </c>
      <c r="J223" s="21">
        <f>IF(AND(ISNUMBER(tblClean[[#This Row],[Start Time]]),ISNUMBER(tblClean[[#This Row],[End Time]])),ROUND(MOD(tblClean[[#This Row],[End Time]]-tblClean[[#This Row],[Start Time]],1)*24,2),"")</f>
        <v>3</v>
      </c>
      <c r="K223" s="12">
        <f>IF(AND(ISNUMBER(tblClean[[#This Row],[Duration Hours]]),ISNUMBER(tblClean[[#This Row],[Attributed GMV PHP]])),IF(tblClean[[#This Row],[Duration Hours]]&gt;0,tblClean[[#This Row],[Attributed GMV PHP]]/tblClean[[#This Row],[Duration Hours]],""),"")</f>
        <v>13217.333333333334</v>
      </c>
      <c r="L223" s="22">
        <f>IF(ISNUMBER(tblClean[[#This Row],[Date]]),DATE(YEAR(tblClean[[#This Row],[Date]]),MONTH(tblClean[[#This Row],[Date]]),1),"")</f>
        <v>45839</v>
      </c>
      <c r="M223" s="10">
        <f>IF(ISNUMBER(tblClean[[#This Row],[Date]]),tblClean[[#This Row],[Date]]-WEEKDAY(tblClean[[#This Row],[Date]],2)+1,"")</f>
        <v>45859</v>
      </c>
      <c r="N223" s="23">
        <f>IF(ISNUMBER(tblClean[[#This Row],[Week Start]]),(tblClean[[#This Row],[Week Start]]-MIN(tblClean[Week Start]))/7+1,"")</f>
        <v>8</v>
      </c>
      <c r="O223" s="24" t="str">
        <f>IF(ISNUMBER(tblClean[[#This Row],[Date]]),CHOOSE(WEEKDAY(tblClean[[#This Row],[Date]],2),"Mon","Tue","Wed","Thu","Fri","Sat","Sun"),"")</f>
        <v>Fri</v>
      </c>
      <c r="P223" s="24" t="str">
        <f>IF(ISNUMBER(tblClean[[#This Row],[Date]]),IF(WEEKDAY(tblClean[[#This Row],[Date]],2)&gt;=6,"Weekend","Weekday"),"")</f>
        <v>Weekday</v>
      </c>
      <c r="Q22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23" s="9" t="str">
        <f>IF(ISNUMBER(tblClean[[#This Row],[Duration Hours]]),IF(tblClean[[#This Row],[Duration Hours]]&lt;2,"Short (under 2h)",IF(tblClean[[#This Row],[Duration Hours]]&lt;3,"Standard (2h to under 3h)","Long (3h or more)")),"")</f>
        <v>Long (3h or more)</v>
      </c>
      <c r="S22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23" s="24">
        <f>IF(COUNTIF(tblClean[Session ID],tblClean[[#This Row],[Session ID]])&gt;1,1,0)</f>
        <v>0</v>
      </c>
      <c r="U223" s="24">
        <f>IF(OR(N(tblClean[[#This Row],[Attributed GMV PHP]])&lt;0,N(tblClean[[#This Row],[Items Sold]])&lt;0,N(tblClean[[#This Row],[Livestream Views]])&lt;0,N(tblClean[[#This Row],[New Followers]])&lt;0),1,0)</f>
        <v>0</v>
      </c>
      <c r="V223" s="24">
        <f>IF(ISNUMBER(tblClean[[#This Row],[Duration Hours]]),IF(OR(tblClean[[#This Row],[Duration Hours]]&lt;=0,tblClean[[#This Row],[Duration Hours]]&gt;12),1,0),1)</f>
        <v>0</v>
      </c>
      <c r="W223" s="24">
        <f>IF(COUNTIF(HostRoster,tblClean[[#This Row],[Host Name]])=0,1,0)</f>
        <v>0</v>
      </c>
      <c r="X223" s="24">
        <f>IF(tblClean[[#This Row],[Missing Flag]]+tblClean[[#This Row],[Duplicate Flag]]+tblClean[[#This Row],[Negative Flag]]+tblClean[[#This Row],[Duration Flag]]+tblClean[[#This Row],[Host Flag]]=0,1,0)</f>
        <v>1</v>
      </c>
    </row>
    <row r="224" spans="1:24" x14ac:dyDescent="0.3">
      <c r="A224" s="9" t="str">
        <f>TRIM('Raw Data'!A220)</f>
        <v>LS-0216</v>
      </c>
      <c r="B224" s="10">
        <f>IF(ISNUMBER('Raw Data'!B220),INT('Raw Data'!B220),IFERROR(DATEVALUE('Raw Data'!B220),""))</f>
        <v>45863</v>
      </c>
      <c r="C224" s="9" t="str">
        <f>PROPER(TRIM('Raw Data'!C220))</f>
        <v>Bianca Reyes</v>
      </c>
      <c r="D224" s="11">
        <f>IF(ISNUMBER('Raw Data'!D220),MOD('Raw Data'!D220,1),IFERROR(TIMEVALUE('Raw Data'!D220),""))</f>
        <v>0.66666666666666663</v>
      </c>
      <c r="E224" s="11">
        <f>IF(ISNUMBER('Raw Data'!E220),MOD('Raw Data'!E220,1),IFERROR(TIMEVALUE('Raw Data'!E220),""))</f>
        <v>0.75</v>
      </c>
      <c r="F224" s="12">
        <f>IF(ISNUMBER('Raw Data'!F220),'Raw Data'!F220,IFERROR(VALUE(SUBSTITUTE('Raw Data'!F220,",","")),""))</f>
        <v>36297</v>
      </c>
      <c r="G224" s="13">
        <f>IF(ISNUMBER('Raw Data'!G220),'Raw Data'!G220,IFERROR(VALUE(SUBSTITUTE('Raw Data'!G220,",","")),""))</f>
        <v>109</v>
      </c>
      <c r="H224" s="13">
        <f>IF(ISNUMBER('Raw Data'!H220),'Raw Data'!H220,IFERROR(VALUE(SUBSTITUTE('Raw Data'!H220,",","")),""))</f>
        <v>149848</v>
      </c>
      <c r="I224" s="13">
        <f>IF(ISNUMBER('Raw Data'!I220),'Raw Data'!I220,IFERROR(VALUE(SUBSTITUTE('Raw Data'!I220,",","")),""))</f>
        <v>1184</v>
      </c>
      <c r="J224" s="21">
        <f>IF(AND(ISNUMBER(tblClean[[#This Row],[Start Time]]),ISNUMBER(tblClean[[#This Row],[End Time]])),ROUND(MOD(tblClean[[#This Row],[End Time]]-tblClean[[#This Row],[Start Time]],1)*24,2),"")</f>
        <v>2</v>
      </c>
      <c r="K224" s="12">
        <f>IF(AND(ISNUMBER(tblClean[[#This Row],[Duration Hours]]),ISNUMBER(tblClean[[#This Row],[Attributed GMV PHP]])),IF(tblClean[[#This Row],[Duration Hours]]&gt;0,tblClean[[#This Row],[Attributed GMV PHP]]/tblClean[[#This Row],[Duration Hours]],""),"")</f>
        <v>18148.5</v>
      </c>
      <c r="L224" s="22">
        <f>IF(ISNUMBER(tblClean[[#This Row],[Date]]),DATE(YEAR(tblClean[[#This Row],[Date]]),MONTH(tblClean[[#This Row],[Date]]),1),"")</f>
        <v>45839</v>
      </c>
      <c r="M224" s="10">
        <f>IF(ISNUMBER(tblClean[[#This Row],[Date]]),tblClean[[#This Row],[Date]]-WEEKDAY(tblClean[[#This Row],[Date]],2)+1,"")</f>
        <v>45859</v>
      </c>
      <c r="N224" s="23">
        <f>IF(ISNUMBER(tblClean[[#This Row],[Week Start]]),(tblClean[[#This Row],[Week Start]]-MIN(tblClean[Week Start]))/7+1,"")</f>
        <v>8</v>
      </c>
      <c r="O224" s="24" t="str">
        <f>IF(ISNUMBER(tblClean[[#This Row],[Date]]),CHOOSE(WEEKDAY(tblClean[[#This Row],[Date]],2),"Mon","Tue","Wed","Thu","Fri","Sat","Sun"),"")</f>
        <v>Fri</v>
      </c>
      <c r="P224" s="24" t="str">
        <f>IF(ISNUMBER(tblClean[[#This Row],[Date]]),IF(WEEKDAY(tblClean[[#This Row],[Date]],2)&gt;=6,"Weekend","Weekday"),"")</f>
        <v>Weekday</v>
      </c>
      <c r="Q22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24" s="9" t="str">
        <f>IF(ISNUMBER(tblClean[[#This Row],[Duration Hours]]),IF(tblClean[[#This Row],[Duration Hours]]&lt;2,"Short (under 2h)",IF(tblClean[[#This Row],[Duration Hours]]&lt;3,"Standard (2h to under 3h)","Long (3h or more)")),"")</f>
        <v>Standard (2h to under 3h)</v>
      </c>
      <c r="S22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24" s="24">
        <f>IF(COUNTIF(tblClean[Session ID],tblClean[[#This Row],[Session ID]])&gt;1,1,0)</f>
        <v>0</v>
      </c>
      <c r="U224" s="24">
        <f>IF(OR(N(tblClean[[#This Row],[Attributed GMV PHP]])&lt;0,N(tblClean[[#This Row],[Items Sold]])&lt;0,N(tblClean[[#This Row],[Livestream Views]])&lt;0,N(tblClean[[#This Row],[New Followers]])&lt;0),1,0)</f>
        <v>0</v>
      </c>
      <c r="V224" s="24">
        <f>IF(ISNUMBER(tblClean[[#This Row],[Duration Hours]]),IF(OR(tblClean[[#This Row],[Duration Hours]]&lt;=0,tblClean[[#This Row],[Duration Hours]]&gt;12),1,0),1)</f>
        <v>0</v>
      </c>
      <c r="W224" s="24">
        <f>IF(COUNTIF(HostRoster,tblClean[[#This Row],[Host Name]])=0,1,0)</f>
        <v>0</v>
      </c>
      <c r="X224" s="24">
        <f>IF(tblClean[[#This Row],[Missing Flag]]+tblClean[[#This Row],[Duplicate Flag]]+tblClean[[#This Row],[Negative Flag]]+tblClean[[#This Row],[Duration Flag]]+tblClean[[#This Row],[Host Flag]]=0,1,0)</f>
        <v>1</v>
      </c>
    </row>
    <row r="225" spans="1:24" x14ac:dyDescent="0.3">
      <c r="A225" s="9" t="str">
        <f>TRIM('Raw Data'!A221)</f>
        <v>LS-0217</v>
      </c>
      <c r="B225" s="10">
        <f>IF(ISNUMBER('Raw Data'!B221),INT('Raw Data'!B221),IFERROR(DATEVALUE('Raw Data'!B221),""))</f>
        <v>45863</v>
      </c>
      <c r="C225" s="9" t="str">
        <f>PROPER(TRIM('Raw Data'!C221))</f>
        <v>Carlo Mendoza</v>
      </c>
      <c r="D225" s="11">
        <f>IF(ISNUMBER('Raw Data'!D221),MOD('Raw Data'!D221,1),IFERROR(TIMEVALUE('Raw Data'!D221),""))</f>
        <v>0.79166666666666663</v>
      </c>
      <c r="E225" s="11">
        <f>IF(ISNUMBER('Raw Data'!E221),MOD('Raw Data'!E221,1),IFERROR(TIMEVALUE('Raw Data'!E221),""))</f>
        <v>0.89583333333333337</v>
      </c>
      <c r="F225" s="12">
        <f>IF(ISNUMBER('Raw Data'!F221),'Raw Data'!F221,IFERROR(VALUE(SUBSTITUTE('Raw Data'!F221,",","")),""))</f>
        <v>33143</v>
      </c>
      <c r="G225" s="13">
        <f>IF(ISNUMBER('Raw Data'!G221),'Raw Data'!G221,IFERROR(VALUE(SUBSTITUTE('Raw Data'!G221,",","")),""))</f>
        <v>93</v>
      </c>
      <c r="H225" s="13">
        <f>IF(ISNUMBER('Raw Data'!H221),'Raw Data'!H221,IFERROR(VALUE(SUBSTITUTE('Raw Data'!H221,",","")),""))</f>
        <v>106580</v>
      </c>
      <c r="I225" s="13">
        <f>IF(ISNUMBER('Raw Data'!I221),'Raw Data'!I221,IFERROR(VALUE(SUBSTITUTE('Raw Data'!I221,",","")),""))</f>
        <v>486</v>
      </c>
      <c r="J225" s="21">
        <f>IF(AND(ISNUMBER(tblClean[[#This Row],[Start Time]]),ISNUMBER(tblClean[[#This Row],[End Time]])),ROUND(MOD(tblClean[[#This Row],[End Time]]-tblClean[[#This Row],[Start Time]],1)*24,2),"")</f>
        <v>2.5</v>
      </c>
      <c r="K225" s="12">
        <f>IF(AND(ISNUMBER(tblClean[[#This Row],[Duration Hours]]),ISNUMBER(tblClean[[#This Row],[Attributed GMV PHP]])),IF(tblClean[[#This Row],[Duration Hours]]&gt;0,tblClean[[#This Row],[Attributed GMV PHP]]/tblClean[[#This Row],[Duration Hours]],""),"")</f>
        <v>13257.2</v>
      </c>
      <c r="L225" s="22">
        <f>IF(ISNUMBER(tblClean[[#This Row],[Date]]),DATE(YEAR(tblClean[[#This Row],[Date]]),MONTH(tblClean[[#This Row],[Date]]),1),"")</f>
        <v>45839</v>
      </c>
      <c r="M225" s="10">
        <f>IF(ISNUMBER(tblClean[[#This Row],[Date]]),tblClean[[#This Row],[Date]]-WEEKDAY(tblClean[[#This Row],[Date]],2)+1,"")</f>
        <v>45859</v>
      </c>
      <c r="N225" s="23">
        <f>IF(ISNUMBER(tblClean[[#This Row],[Week Start]]),(tblClean[[#This Row],[Week Start]]-MIN(tblClean[Week Start]))/7+1,"")</f>
        <v>8</v>
      </c>
      <c r="O225" s="24" t="str">
        <f>IF(ISNUMBER(tblClean[[#This Row],[Date]]),CHOOSE(WEEKDAY(tblClean[[#This Row],[Date]],2),"Mon","Tue","Wed","Thu","Fri","Sat","Sun"),"")</f>
        <v>Fri</v>
      </c>
      <c r="P225" s="24" t="str">
        <f>IF(ISNUMBER(tblClean[[#This Row],[Date]]),IF(WEEKDAY(tblClean[[#This Row],[Date]],2)&gt;=6,"Weekend","Weekday"),"")</f>
        <v>Weekday</v>
      </c>
      <c r="Q22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25" s="9" t="str">
        <f>IF(ISNUMBER(tblClean[[#This Row],[Duration Hours]]),IF(tblClean[[#This Row],[Duration Hours]]&lt;2,"Short (under 2h)",IF(tblClean[[#This Row],[Duration Hours]]&lt;3,"Standard (2h to under 3h)","Long (3h or more)")),"")</f>
        <v>Standard (2h to under 3h)</v>
      </c>
      <c r="S22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25" s="24">
        <f>IF(COUNTIF(tblClean[Session ID],tblClean[[#This Row],[Session ID]])&gt;1,1,0)</f>
        <v>0</v>
      </c>
      <c r="U225" s="24">
        <f>IF(OR(N(tblClean[[#This Row],[Attributed GMV PHP]])&lt;0,N(tblClean[[#This Row],[Items Sold]])&lt;0,N(tblClean[[#This Row],[Livestream Views]])&lt;0,N(tblClean[[#This Row],[New Followers]])&lt;0),1,0)</f>
        <v>0</v>
      </c>
      <c r="V225" s="24">
        <f>IF(ISNUMBER(tblClean[[#This Row],[Duration Hours]]),IF(OR(tblClean[[#This Row],[Duration Hours]]&lt;=0,tblClean[[#This Row],[Duration Hours]]&gt;12),1,0),1)</f>
        <v>0</v>
      </c>
      <c r="W225" s="24">
        <f>IF(COUNTIF(HostRoster,tblClean[[#This Row],[Host Name]])=0,1,0)</f>
        <v>0</v>
      </c>
      <c r="X225" s="24">
        <f>IF(tblClean[[#This Row],[Missing Flag]]+tblClean[[#This Row],[Duplicate Flag]]+tblClean[[#This Row],[Negative Flag]]+tblClean[[#This Row],[Duration Flag]]+tblClean[[#This Row],[Host Flag]]=0,1,0)</f>
        <v>1</v>
      </c>
    </row>
    <row r="226" spans="1:24" x14ac:dyDescent="0.3">
      <c r="A226" s="9" t="str">
        <f>TRIM('Raw Data'!A222)</f>
        <v>LS-0218</v>
      </c>
      <c r="B226" s="10">
        <f>IF(ISNUMBER('Raw Data'!B222),INT('Raw Data'!B222),IFERROR(DATEVALUE('Raw Data'!B222),""))</f>
        <v>45863</v>
      </c>
      <c r="C226" s="9" t="str">
        <f>PROPER(TRIM('Raw Data'!C222))</f>
        <v>Bianca Reyes</v>
      </c>
      <c r="D226" s="11">
        <f>IF(ISNUMBER('Raw Data'!D222),MOD('Raw Data'!D222,1),IFERROR(TIMEVALUE('Raw Data'!D222),""))</f>
        <v>0.91666666666666663</v>
      </c>
      <c r="E226" s="11">
        <f>IF(ISNUMBER('Raw Data'!E222),MOD('Raw Data'!E222,1),IFERROR(TIMEVALUE('Raw Data'!E222),""))</f>
        <v>4.1666666666666657E-2</v>
      </c>
      <c r="F226" s="12">
        <f>IF(ISNUMBER('Raw Data'!F222),'Raw Data'!F222,IFERROR(VALUE(SUBSTITUTE('Raw Data'!F222,",","")),""))</f>
        <v>26915</v>
      </c>
      <c r="G226" s="13">
        <f>IF(ISNUMBER('Raw Data'!G222),'Raw Data'!G222,IFERROR(VALUE(SUBSTITUTE('Raw Data'!G222,",","")),""))</f>
        <v>75</v>
      </c>
      <c r="H226" s="13">
        <f>IF(ISNUMBER('Raw Data'!H222),'Raw Data'!H222,IFERROR(VALUE(SUBSTITUTE('Raw Data'!H222,",","")),""))</f>
        <v>90662</v>
      </c>
      <c r="I226" s="13">
        <f>IF(ISNUMBER('Raw Data'!I222),'Raw Data'!I222,IFERROR(VALUE(SUBSTITUTE('Raw Data'!I222,",","")),""))</f>
        <v>1095</v>
      </c>
      <c r="J226" s="21">
        <f>IF(AND(ISNUMBER(tblClean[[#This Row],[Start Time]]),ISNUMBER(tblClean[[#This Row],[End Time]])),ROUND(MOD(tblClean[[#This Row],[End Time]]-tblClean[[#This Row],[Start Time]],1)*24,2),"")</f>
        <v>3</v>
      </c>
      <c r="K226" s="12">
        <f>IF(AND(ISNUMBER(tblClean[[#This Row],[Duration Hours]]),ISNUMBER(tblClean[[#This Row],[Attributed GMV PHP]])),IF(tblClean[[#This Row],[Duration Hours]]&gt;0,tblClean[[#This Row],[Attributed GMV PHP]]/tblClean[[#This Row],[Duration Hours]],""),"")</f>
        <v>8971.6666666666661</v>
      </c>
      <c r="L226" s="22">
        <f>IF(ISNUMBER(tblClean[[#This Row],[Date]]),DATE(YEAR(tblClean[[#This Row],[Date]]),MONTH(tblClean[[#This Row],[Date]]),1),"")</f>
        <v>45839</v>
      </c>
      <c r="M226" s="10">
        <f>IF(ISNUMBER(tblClean[[#This Row],[Date]]),tblClean[[#This Row],[Date]]-WEEKDAY(tblClean[[#This Row],[Date]],2)+1,"")</f>
        <v>45859</v>
      </c>
      <c r="N226" s="23">
        <f>IF(ISNUMBER(tblClean[[#This Row],[Week Start]]),(tblClean[[#This Row],[Week Start]]-MIN(tblClean[Week Start]))/7+1,"")</f>
        <v>8</v>
      </c>
      <c r="O226" s="24" t="str">
        <f>IF(ISNUMBER(tblClean[[#This Row],[Date]]),CHOOSE(WEEKDAY(tblClean[[#This Row],[Date]],2),"Mon","Tue","Wed","Thu","Fri","Sat","Sun"),"")</f>
        <v>Fri</v>
      </c>
      <c r="P226" s="24" t="str">
        <f>IF(ISNUMBER(tblClean[[#This Row],[Date]]),IF(WEEKDAY(tblClean[[#This Row],[Date]],2)&gt;=6,"Weekend","Weekday"),"")</f>
        <v>Weekday</v>
      </c>
      <c r="Q22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26" s="9" t="str">
        <f>IF(ISNUMBER(tblClean[[#This Row],[Duration Hours]]),IF(tblClean[[#This Row],[Duration Hours]]&lt;2,"Short (under 2h)",IF(tblClean[[#This Row],[Duration Hours]]&lt;3,"Standard (2h to under 3h)","Long (3h or more)")),"")</f>
        <v>Long (3h or more)</v>
      </c>
      <c r="S22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26" s="24">
        <f>IF(COUNTIF(tblClean[Session ID],tblClean[[#This Row],[Session ID]])&gt;1,1,0)</f>
        <v>0</v>
      </c>
      <c r="U226" s="24">
        <f>IF(OR(N(tblClean[[#This Row],[Attributed GMV PHP]])&lt;0,N(tblClean[[#This Row],[Items Sold]])&lt;0,N(tblClean[[#This Row],[Livestream Views]])&lt;0,N(tblClean[[#This Row],[New Followers]])&lt;0),1,0)</f>
        <v>0</v>
      </c>
      <c r="V226" s="24">
        <f>IF(ISNUMBER(tblClean[[#This Row],[Duration Hours]]),IF(OR(tblClean[[#This Row],[Duration Hours]]&lt;=0,tblClean[[#This Row],[Duration Hours]]&gt;12),1,0),1)</f>
        <v>0</v>
      </c>
      <c r="W226" s="24">
        <f>IF(COUNTIF(HostRoster,tblClean[[#This Row],[Host Name]])=0,1,0)</f>
        <v>0</v>
      </c>
      <c r="X226" s="24">
        <f>IF(tblClean[[#This Row],[Missing Flag]]+tblClean[[#This Row],[Duplicate Flag]]+tblClean[[#This Row],[Negative Flag]]+tblClean[[#This Row],[Duration Flag]]+tblClean[[#This Row],[Host Flag]]=0,1,0)</f>
        <v>1</v>
      </c>
    </row>
    <row r="227" spans="1:24" x14ac:dyDescent="0.3">
      <c r="A227" s="9" t="str">
        <f>TRIM('Raw Data'!A223)</f>
        <v>LS-0219</v>
      </c>
      <c r="B227" s="10">
        <f>IF(ISNUMBER('Raw Data'!B223),INT('Raw Data'!B223),IFERROR(DATEVALUE('Raw Data'!B223),""))</f>
        <v>45864</v>
      </c>
      <c r="C227" s="9" t="str">
        <f>PROPER(TRIM('Raw Data'!C223))</f>
        <v>Dani Villanueva</v>
      </c>
      <c r="D227" s="11">
        <f>IF(ISNUMBER('Raw Data'!D223),MOD('Raw Data'!D223,1),IFERROR(TIMEVALUE('Raw Data'!D223),""))</f>
        <v>0.41666666666666669</v>
      </c>
      <c r="E227" s="11">
        <f>IF(ISNUMBER('Raw Data'!E223),MOD('Raw Data'!E223,1),IFERROR(TIMEVALUE('Raw Data'!E223),""))</f>
        <v>0.5</v>
      </c>
      <c r="F227" s="12">
        <f>IF(ISNUMBER('Raw Data'!F223),'Raw Data'!F223,IFERROR(VALUE(SUBSTITUTE('Raw Data'!F223,",","")),""))</f>
        <v>9298</v>
      </c>
      <c r="G227" s="13">
        <f>IF(ISNUMBER('Raw Data'!G223),'Raw Data'!G223,IFERROR(VALUE(SUBSTITUTE('Raw Data'!G223,",","")),""))</f>
        <v>25</v>
      </c>
      <c r="H227" s="13">
        <f>IF(ISNUMBER('Raw Data'!H223),'Raw Data'!H223,IFERROR(VALUE(SUBSTITUTE('Raw Data'!H223,",","")),""))</f>
        <v>25498</v>
      </c>
      <c r="I227" s="13">
        <f>IF(ISNUMBER('Raw Data'!I223),'Raw Data'!I223,IFERROR(VALUE(SUBSTITUTE('Raw Data'!I223,",","")),""))</f>
        <v>240</v>
      </c>
      <c r="J227" s="21">
        <f>IF(AND(ISNUMBER(tblClean[[#This Row],[Start Time]]),ISNUMBER(tblClean[[#This Row],[End Time]])),ROUND(MOD(tblClean[[#This Row],[End Time]]-tblClean[[#This Row],[Start Time]],1)*24,2),"")</f>
        <v>2</v>
      </c>
      <c r="K227" s="12">
        <f>IF(AND(ISNUMBER(tblClean[[#This Row],[Duration Hours]]),ISNUMBER(tblClean[[#This Row],[Attributed GMV PHP]])),IF(tblClean[[#This Row],[Duration Hours]]&gt;0,tblClean[[#This Row],[Attributed GMV PHP]]/tblClean[[#This Row],[Duration Hours]],""),"")</f>
        <v>4649</v>
      </c>
      <c r="L227" s="22">
        <f>IF(ISNUMBER(tblClean[[#This Row],[Date]]),DATE(YEAR(tblClean[[#This Row],[Date]]),MONTH(tblClean[[#This Row],[Date]]),1),"")</f>
        <v>45839</v>
      </c>
      <c r="M227" s="10">
        <f>IF(ISNUMBER(tblClean[[#This Row],[Date]]),tblClean[[#This Row],[Date]]-WEEKDAY(tblClean[[#This Row],[Date]],2)+1,"")</f>
        <v>45859</v>
      </c>
      <c r="N227" s="23">
        <f>IF(ISNUMBER(tblClean[[#This Row],[Week Start]]),(tblClean[[#This Row],[Week Start]]-MIN(tblClean[Week Start]))/7+1,"")</f>
        <v>8</v>
      </c>
      <c r="O227" s="24" t="str">
        <f>IF(ISNUMBER(tblClean[[#This Row],[Date]]),CHOOSE(WEEKDAY(tblClean[[#This Row],[Date]],2),"Mon","Tue","Wed","Thu","Fri","Sat","Sun"),"")</f>
        <v>Sat</v>
      </c>
      <c r="P227" s="24" t="str">
        <f>IF(ISNUMBER(tblClean[[#This Row],[Date]]),IF(WEEKDAY(tblClean[[#This Row],[Date]],2)&gt;=6,"Weekend","Weekday"),"")</f>
        <v>Weekend</v>
      </c>
      <c r="Q22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27" s="9" t="str">
        <f>IF(ISNUMBER(tblClean[[#This Row],[Duration Hours]]),IF(tblClean[[#This Row],[Duration Hours]]&lt;2,"Short (under 2h)",IF(tblClean[[#This Row],[Duration Hours]]&lt;3,"Standard (2h to under 3h)","Long (3h or more)")),"")</f>
        <v>Standard (2h to under 3h)</v>
      </c>
      <c r="S22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27" s="24">
        <f>IF(COUNTIF(tblClean[Session ID],tblClean[[#This Row],[Session ID]])&gt;1,1,0)</f>
        <v>0</v>
      </c>
      <c r="U227" s="24">
        <f>IF(OR(N(tblClean[[#This Row],[Attributed GMV PHP]])&lt;0,N(tblClean[[#This Row],[Items Sold]])&lt;0,N(tblClean[[#This Row],[Livestream Views]])&lt;0,N(tblClean[[#This Row],[New Followers]])&lt;0),1,0)</f>
        <v>0</v>
      </c>
      <c r="V227" s="24">
        <f>IF(ISNUMBER(tblClean[[#This Row],[Duration Hours]]),IF(OR(tblClean[[#This Row],[Duration Hours]]&lt;=0,tblClean[[#This Row],[Duration Hours]]&gt;12),1,0),1)</f>
        <v>0</v>
      </c>
      <c r="W227" s="24">
        <f>IF(COUNTIF(HostRoster,tblClean[[#This Row],[Host Name]])=0,1,0)</f>
        <v>0</v>
      </c>
      <c r="X227" s="24">
        <f>IF(tblClean[[#This Row],[Missing Flag]]+tblClean[[#This Row],[Duplicate Flag]]+tblClean[[#This Row],[Negative Flag]]+tblClean[[#This Row],[Duration Flag]]+tblClean[[#This Row],[Host Flag]]=0,1,0)</f>
        <v>1</v>
      </c>
    </row>
    <row r="228" spans="1:24" x14ac:dyDescent="0.3">
      <c r="A228" s="9" t="str">
        <f>TRIM('Raw Data'!A224)</f>
        <v>LS-0220</v>
      </c>
      <c r="B228" s="10">
        <f>IF(ISNUMBER('Raw Data'!B224),INT('Raw Data'!B224),IFERROR(DATEVALUE('Raw Data'!B224),""))</f>
        <v>45864</v>
      </c>
      <c r="C228" s="9" t="str">
        <f>PROPER(TRIM('Raw Data'!C224))</f>
        <v>Carlo Mendoza</v>
      </c>
      <c r="D228" s="11">
        <f>IF(ISNUMBER('Raw Data'!D224),MOD('Raw Data'!D224,1),IFERROR(TIMEVALUE('Raw Data'!D224),""))</f>
        <v>0.54166666666666663</v>
      </c>
      <c r="E228" s="11">
        <f>IF(ISNUMBER('Raw Data'!E224),MOD('Raw Data'!E224,1),IFERROR(TIMEVALUE('Raw Data'!E224),""))</f>
        <v>0.60416666666666663</v>
      </c>
      <c r="F228" s="12">
        <f>IF(ISNUMBER('Raw Data'!F224),'Raw Data'!F224,IFERROR(VALUE(SUBSTITUTE('Raw Data'!F224,",","")),""))</f>
        <v>22226</v>
      </c>
      <c r="G228" s="13">
        <f>IF(ISNUMBER('Raw Data'!G224),'Raw Data'!G224,IFERROR(VALUE(SUBSTITUTE('Raw Data'!G224,",","")),""))</f>
        <v>86</v>
      </c>
      <c r="H228" s="13">
        <f>IF(ISNUMBER('Raw Data'!H224),'Raw Data'!H224,IFERROR(VALUE(SUBSTITUTE('Raw Data'!H224,",","")),""))</f>
        <v>63729</v>
      </c>
      <c r="I228" s="13">
        <f>IF(ISNUMBER('Raw Data'!I224),'Raw Data'!I224,IFERROR(VALUE(SUBSTITUTE('Raw Data'!I224,",","")),""))</f>
        <v>817</v>
      </c>
      <c r="J228" s="21">
        <f>IF(AND(ISNUMBER(tblClean[[#This Row],[Start Time]]),ISNUMBER(tblClean[[#This Row],[End Time]])),ROUND(MOD(tblClean[[#This Row],[End Time]]-tblClean[[#This Row],[Start Time]],1)*24,2),"")</f>
        <v>1.5</v>
      </c>
      <c r="K228" s="12">
        <f>IF(AND(ISNUMBER(tblClean[[#This Row],[Duration Hours]]),ISNUMBER(tblClean[[#This Row],[Attributed GMV PHP]])),IF(tblClean[[#This Row],[Duration Hours]]&gt;0,tblClean[[#This Row],[Attributed GMV PHP]]/tblClean[[#This Row],[Duration Hours]],""),"")</f>
        <v>14817.333333333334</v>
      </c>
      <c r="L228" s="22">
        <f>IF(ISNUMBER(tblClean[[#This Row],[Date]]),DATE(YEAR(tblClean[[#This Row],[Date]]),MONTH(tblClean[[#This Row],[Date]]),1),"")</f>
        <v>45839</v>
      </c>
      <c r="M228" s="10">
        <f>IF(ISNUMBER(tblClean[[#This Row],[Date]]),tblClean[[#This Row],[Date]]-WEEKDAY(tblClean[[#This Row],[Date]],2)+1,"")</f>
        <v>45859</v>
      </c>
      <c r="N228" s="23">
        <f>IF(ISNUMBER(tblClean[[#This Row],[Week Start]]),(tblClean[[#This Row],[Week Start]]-MIN(tblClean[Week Start]))/7+1,"")</f>
        <v>8</v>
      </c>
      <c r="O228" s="24" t="str">
        <f>IF(ISNUMBER(tblClean[[#This Row],[Date]]),CHOOSE(WEEKDAY(tblClean[[#This Row],[Date]],2),"Mon","Tue","Wed","Thu","Fri","Sat","Sun"),"")</f>
        <v>Sat</v>
      </c>
      <c r="P228" s="24" t="str">
        <f>IF(ISNUMBER(tblClean[[#This Row],[Date]]),IF(WEEKDAY(tblClean[[#This Row],[Date]],2)&gt;=6,"Weekend","Weekday"),"")</f>
        <v>Weekend</v>
      </c>
      <c r="Q22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28" s="9" t="str">
        <f>IF(ISNUMBER(tblClean[[#This Row],[Duration Hours]]),IF(tblClean[[#This Row],[Duration Hours]]&lt;2,"Short (under 2h)",IF(tblClean[[#This Row],[Duration Hours]]&lt;3,"Standard (2h to under 3h)","Long (3h or more)")),"")</f>
        <v>Short (under 2h)</v>
      </c>
      <c r="S22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28" s="24">
        <f>IF(COUNTIF(tblClean[Session ID],tblClean[[#This Row],[Session ID]])&gt;1,1,0)</f>
        <v>0</v>
      </c>
      <c r="U228" s="24">
        <f>IF(OR(N(tblClean[[#This Row],[Attributed GMV PHP]])&lt;0,N(tblClean[[#This Row],[Items Sold]])&lt;0,N(tblClean[[#This Row],[Livestream Views]])&lt;0,N(tblClean[[#This Row],[New Followers]])&lt;0),1,0)</f>
        <v>0</v>
      </c>
      <c r="V228" s="24">
        <f>IF(ISNUMBER(tblClean[[#This Row],[Duration Hours]]),IF(OR(tblClean[[#This Row],[Duration Hours]]&lt;=0,tblClean[[#This Row],[Duration Hours]]&gt;12),1,0),1)</f>
        <v>0</v>
      </c>
      <c r="W228" s="24">
        <f>IF(COUNTIF(HostRoster,tblClean[[#This Row],[Host Name]])=0,1,0)</f>
        <v>0</v>
      </c>
      <c r="X228" s="24">
        <f>IF(tblClean[[#This Row],[Missing Flag]]+tblClean[[#This Row],[Duplicate Flag]]+tblClean[[#This Row],[Negative Flag]]+tblClean[[#This Row],[Duration Flag]]+tblClean[[#This Row],[Host Flag]]=0,1,0)</f>
        <v>1</v>
      </c>
    </row>
    <row r="229" spans="1:24" x14ac:dyDescent="0.3">
      <c r="A229" s="9" t="str">
        <f>TRIM('Raw Data'!A225)</f>
        <v>LS-0221</v>
      </c>
      <c r="B229" s="10">
        <f>IF(ISNUMBER('Raw Data'!B225),INT('Raw Data'!B225),IFERROR(DATEVALUE('Raw Data'!B225),""))</f>
        <v>45864</v>
      </c>
      <c r="C229" s="9" t="str">
        <f>PROPER(TRIM('Raw Data'!C225))</f>
        <v>Bianca Reyes</v>
      </c>
      <c r="D229" s="11">
        <f>IF(ISNUMBER('Raw Data'!D225),MOD('Raw Data'!D225,1),IFERROR(TIMEVALUE('Raw Data'!D225),""))</f>
        <v>0.79166666666666663</v>
      </c>
      <c r="E229" s="11">
        <f>IF(ISNUMBER('Raw Data'!E225),MOD('Raw Data'!E225,1),IFERROR(TIMEVALUE('Raw Data'!E225),""))</f>
        <v>0.91666666666666663</v>
      </c>
      <c r="F229" s="12">
        <f>IF(ISNUMBER('Raw Data'!F225),'Raw Data'!F225,IFERROR(VALUE(SUBSTITUTE('Raw Data'!F225,",","")),""))</f>
        <v>54732</v>
      </c>
      <c r="G229" s="13">
        <f>IF(ISNUMBER('Raw Data'!G225),'Raw Data'!G225,IFERROR(VALUE(SUBSTITUTE('Raw Data'!G225,",","")),""))</f>
        <v>164</v>
      </c>
      <c r="H229" s="13">
        <f>IF(ISNUMBER('Raw Data'!H225),'Raw Data'!H225,IFERROR(VALUE(SUBSTITUTE('Raw Data'!H225,",","")),""))</f>
        <v>180418</v>
      </c>
      <c r="I229" s="13">
        <f>IF(ISNUMBER('Raw Data'!I225),'Raw Data'!I225,IFERROR(VALUE(SUBSTITUTE('Raw Data'!I225,",","")),""))</f>
        <v>1985</v>
      </c>
      <c r="J229" s="21">
        <f>IF(AND(ISNUMBER(tblClean[[#This Row],[Start Time]]),ISNUMBER(tblClean[[#This Row],[End Time]])),ROUND(MOD(tblClean[[#This Row],[End Time]]-tblClean[[#This Row],[Start Time]],1)*24,2),"")</f>
        <v>3</v>
      </c>
      <c r="K229" s="12">
        <f>IF(AND(ISNUMBER(tblClean[[#This Row],[Duration Hours]]),ISNUMBER(tblClean[[#This Row],[Attributed GMV PHP]])),IF(tblClean[[#This Row],[Duration Hours]]&gt;0,tblClean[[#This Row],[Attributed GMV PHP]]/tblClean[[#This Row],[Duration Hours]],""),"")</f>
        <v>18244</v>
      </c>
      <c r="L229" s="22">
        <f>IF(ISNUMBER(tblClean[[#This Row],[Date]]),DATE(YEAR(tblClean[[#This Row],[Date]]),MONTH(tblClean[[#This Row],[Date]]),1),"")</f>
        <v>45839</v>
      </c>
      <c r="M229" s="10">
        <f>IF(ISNUMBER(tblClean[[#This Row],[Date]]),tblClean[[#This Row],[Date]]-WEEKDAY(tblClean[[#This Row],[Date]],2)+1,"")</f>
        <v>45859</v>
      </c>
      <c r="N229" s="23">
        <f>IF(ISNUMBER(tblClean[[#This Row],[Week Start]]),(tblClean[[#This Row],[Week Start]]-MIN(tblClean[Week Start]))/7+1,"")</f>
        <v>8</v>
      </c>
      <c r="O229" s="24" t="str">
        <f>IF(ISNUMBER(tblClean[[#This Row],[Date]]),CHOOSE(WEEKDAY(tblClean[[#This Row],[Date]],2),"Mon","Tue","Wed","Thu","Fri","Sat","Sun"),"")</f>
        <v>Sat</v>
      </c>
      <c r="P229" s="24" t="str">
        <f>IF(ISNUMBER(tblClean[[#This Row],[Date]]),IF(WEEKDAY(tblClean[[#This Row],[Date]],2)&gt;=6,"Weekend","Weekday"),"")</f>
        <v>Weekend</v>
      </c>
      <c r="Q22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29" s="9" t="str">
        <f>IF(ISNUMBER(tblClean[[#This Row],[Duration Hours]]),IF(tblClean[[#This Row],[Duration Hours]]&lt;2,"Short (under 2h)",IF(tblClean[[#This Row],[Duration Hours]]&lt;3,"Standard (2h to under 3h)","Long (3h or more)")),"")</f>
        <v>Long (3h or more)</v>
      </c>
      <c r="S22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29" s="24">
        <f>IF(COUNTIF(tblClean[Session ID],tblClean[[#This Row],[Session ID]])&gt;1,1,0)</f>
        <v>0</v>
      </c>
      <c r="U229" s="24">
        <f>IF(OR(N(tblClean[[#This Row],[Attributed GMV PHP]])&lt;0,N(tblClean[[#This Row],[Items Sold]])&lt;0,N(tblClean[[#This Row],[Livestream Views]])&lt;0,N(tblClean[[#This Row],[New Followers]])&lt;0),1,0)</f>
        <v>0</v>
      </c>
      <c r="V229" s="24">
        <f>IF(ISNUMBER(tblClean[[#This Row],[Duration Hours]]),IF(OR(tblClean[[#This Row],[Duration Hours]]&lt;=0,tblClean[[#This Row],[Duration Hours]]&gt;12),1,0),1)</f>
        <v>0</v>
      </c>
      <c r="W229" s="24">
        <f>IF(COUNTIF(HostRoster,tblClean[[#This Row],[Host Name]])=0,1,0)</f>
        <v>0</v>
      </c>
      <c r="X229" s="24">
        <f>IF(tblClean[[#This Row],[Missing Flag]]+tblClean[[#This Row],[Duplicate Flag]]+tblClean[[#This Row],[Negative Flag]]+tblClean[[#This Row],[Duration Flag]]+tblClean[[#This Row],[Host Flag]]=0,1,0)</f>
        <v>1</v>
      </c>
    </row>
    <row r="230" spans="1:24" x14ac:dyDescent="0.3">
      <c r="A230" s="9" t="str">
        <f>TRIM('Raw Data'!A226)</f>
        <v>LS-0222</v>
      </c>
      <c r="B230" s="10">
        <f>IF(ISNUMBER('Raw Data'!B226),INT('Raw Data'!B226),IFERROR(DATEVALUE('Raw Data'!B226),""))</f>
        <v>45864</v>
      </c>
      <c r="C230" s="9" t="str">
        <f>PROPER(TRIM('Raw Data'!C226))</f>
        <v>Bianca Reyes</v>
      </c>
      <c r="D230" s="11">
        <f>IF(ISNUMBER('Raw Data'!D226),MOD('Raw Data'!D226,1),IFERROR(TIMEVALUE('Raw Data'!D226),""))</f>
        <v>0.91666666666666663</v>
      </c>
      <c r="E230" s="11">
        <f>IF(ISNUMBER('Raw Data'!E226),MOD('Raw Data'!E226,1),IFERROR(TIMEVALUE('Raw Data'!E226),""))</f>
        <v>0</v>
      </c>
      <c r="F230" s="12">
        <f>IF(ISNUMBER('Raw Data'!F226),'Raw Data'!F226,IFERROR(VALUE(SUBSTITUTE('Raw Data'!F226,",","")),""))</f>
        <v>20474</v>
      </c>
      <c r="G230" s="13">
        <f>IF(ISNUMBER('Raw Data'!G226),'Raw Data'!G226,IFERROR(VALUE(SUBSTITUTE('Raw Data'!G226,",","")),""))</f>
        <v>68</v>
      </c>
      <c r="H230" s="13">
        <f>IF(ISNUMBER('Raw Data'!H226),'Raw Data'!H226,IFERROR(VALUE(SUBSTITUTE('Raw Data'!H226,",","")),""))</f>
        <v>32871</v>
      </c>
      <c r="I230" s="13">
        <f>IF(ISNUMBER('Raw Data'!I226),'Raw Data'!I226,IFERROR(VALUE(SUBSTITUTE('Raw Data'!I226,",","")),""))</f>
        <v>337</v>
      </c>
      <c r="J230" s="21">
        <f>IF(AND(ISNUMBER(tblClean[[#This Row],[Start Time]]),ISNUMBER(tblClean[[#This Row],[End Time]])),ROUND(MOD(tblClean[[#This Row],[End Time]]-tblClean[[#This Row],[Start Time]],1)*24,2),"")</f>
        <v>2</v>
      </c>
      <c r="K230" s="12">
        <f>IF(AND(ISNUMBER(tblClean[[#This Row],[Duration Hours]]),ISNUMBER(tblClean[[#This Row],[Attributed GMV PHP]])),IF(tblClean[[#This Row],[Duration Hours]]&gt;0,tblClean[[#This Row],[Attributed GMV PHP]]/tblClean[[#This Row],[Duration Hours]],""),"")</f>
        <v>10237</v>
      </c>
      <c r="L230" s="22">
        <f>IF(ISNUMBER(tblClean[[#This Row],[Date]]),DATE(YEAR(tblClean[[#This Row],[Date]]),MONTH(tblClean[[#This Row],[Date]]),1),"")</f>
        <v>45839</v>
      </c>
      <c r="M230" s="10">
        <f>IF(ISNUMBER(tblClean[[#This Row],[Date]]),tblClean[[#This Row],[Date]]-WEEKDAY(tblClean[[#This Row],[Date]],2)+1,"")</f>
        <v>45859</v>
      </c>
      <c r="N230" s="23">
        <f>IF(ISNUMBER(tblClean[[#This Row],[Week Start]]),(tblClean[[#This Row],[Week Start]]-MIN(tblClean[Week Start]))/7+1,"")</f>
        <v>8</v>
      </c>
      <c r="O230" s="24" t="str">
        <f>IF(ISNUMBER(tblClean[[#This Row],[Date]]),CHOOSE(WEEKDAY(tblClean[[#This Row],[Date]],2),"Mon","Tue","Wed","Thu","Fri","Sat","Sun"),"")</f>
        <v>Sat</v>
      </c>
      <c r="P230" s="24" t="str">
        <f>IF(ISNUMBER(tblClean[[#This Row],[Date]]),IF(WEEKDAY(tblClean[[#This Row],[Date]],2)&gt;=6,"Weekend","Weekday"),"")</f>
        <v>Weekend</v>
      </c>
      <c r="Q23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30" s="9" t="str">
        <f>IF(ISNUMBER(tblClean[[#This Row],[Duration Hours]]),IF(tblClean[[#This Row],[Duration Hours]]&lt;2,"Short (under 2h)",IF(tblClean[[#This Row],[Duration Hours]]&lt;3,"Standard (2h to under 3h)","Long (3h or more)")),"")</f>
        <v>Standard (2h to under 3h)</v>
      </c>
      <c r="S23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30" s="24">
        <f>IF(COUNTIF(tblClean[Session ID],tblClean[[#This Row],[Session ID]])&gt;1,1,0)</f>
        <v>0</v>
      </c>
      <c r="U230" s="24">
        <f>IF(OR(N(tblClean[[#This Row],[Attributed GMV PHP]])&lt;0,N(tblClean[[#This Row],[Items Sold]])&lt;0,N(tblClean[[#This Row],[Livestream Views]])&lt;0,N(tblClean[[#This Row],[New Followers]])&lt;0),1,0)</f>
        <v>0</v>
      </c>
      <c r="V230" s="24">
        <f>IF(ISNUMBER(tblClean[[#This Row],[Duration Hours]]),IF(OR(tblClean[[#This Row],[Duration Hours]]&lt;=0,tblClean[[#This Row],[Duration Hours]]&gt;12),1,0),1)</f>
        <v>0</v>
      </c>
      <c r="W230" s="24">
        <f>IF(COUNTIF(HostRoster,tblClean[[#This Row],[Host Name]])=0,1,0)</f>
        <v>0</v>
      </c>
      <c r="X230" s="24">
        <f>IF(tblClean[[#This Row],[Missing Flag]]+tblClean[[#This Row],[Duplicate Flag]]+tblClean[[#This Row],[Negative Flag]]+tblClean[[#This Row],[Duration Flag]]+tblClean[[#This Row],[Host Flag]]=0,1,0)</f>
        <v>1</v>
      </c>
    </row>
    <row r="231" spans="1:24" x14ac:dyDescent="0.3">
      <c r="A231" s="9" t="str">
        <f>TRIM('Raw Data'!A227)</f>
        <v>LS-0223</v>
      </c>
      <c r="B231" s="10">
        <f>IF(ISNUMBER('Raw Data'!B227),INT('Raw Data'!B227),IFERROR(DATEVALUE('Raw Data'!B227),""))</f>
        <v>45865</v>
      </c>
      <c r="C231" s="9" t="str">
        <f>PROPER(TRIM('Raw Data'!C227))</f>
        <v>Bianca Reyes</v>
      </c>
      <c r="D231" s="11">
        <f>IF(ISNUMBER('Raw Data'!D227),MOD('Raw Data'!D227,1),IFERROR(TIMEVALUE('Raw Data'!D227),""))</f>
        <v>0.41666666666666669</v>
      </c>
      <c r="E231" s="11">
        <f>IF(ISNUMBER('Raw Data'!E227),MOD('Raw Data'!E227,1),IFERROR(TIMEVALUE('Raw Data'!E227),""))</f>
        <v>0.5</v>
      </c>
      <c r="F231" s="12">
        <f>IF(ISNUMBER('Raw Data'!F227),'Raw Data'!F227,IFERROR(VALUE(SUBSTITUTE('Raw Data'!F227,",","")),""))</f>
        <v>22673</v>
      </c>
      <c r="G231" s="13">
        <f>IF(ISNUMBER('Raw Data'!G227),'Raw Data'!G227,IFERROR(VALUE(SUBSTITUTE('Raw Data'!G227,",","")),""))</f>
        <v>63</v>
      </c>
      <c r="H231" s="13">
        <f>IF(ISNUMBER('Raw Data'!H227),'Raw Data'!H227,IFERROR(VALUE(SUBSTITUTE('Raw Data'!H227,",","")),""))</f>
        <v>97695</v>
      </c>
      <c r="I231" s="13">
        <f>IF(ISNUMBER('Raw Data'!I227),'Raw Data'!I227,IFERROR(VALUE(SUBSTITUTE('Raw Data'!I227,",","")),""))</f>
        <v>517</v>
      </c>
      <c r="J231" s="21">
        <f>IF(AND(ISNUMBER(tblClean[[#This Row],[Start Time]]),ISNUMBER(tblClean[[#This Row],[End Time]])),ROUND(MOD(tblClean[[#This Row],[End Time]]-tblClean[[#This Row],[Start Time]],1)*24,2),"")</f>
        <v>2</v>
      </c>
      <c r="K231" s="12">
        <f>IF(AND(ISNUMBER(tblClean[[#This Row],[Duration Hours]]),ISNUMBER(tblClean[[#This Row],[Attributed GMV PHP]])),IF(tblClean[[#This Row],[Duration Hours]]&gt;0,tblClean[[#This Row],[Attributed GMV PHP]]/tblClean[[#This Row],[Duration Hours]],""),"")</f>
        <v>11336.5</v>
      </c>
      <c r="L231" s="22">
        <f>IF(ISNUMBER(tblClean[[#This Row],[Date]]),DATE(YEAR(tblClean[[#This Row],[Date]]),MONTH(tblClean[[#This Row],[Date]]),1),"")</f>
        <v>45839</v>
      </c>
      <c r="M231" s="10">
        <f>IF(ISNUMBER(tblClean[[#This Row],[Date]]),tblClean[[#This Row],[Date]]-WEEKDAY(tblClean[[#This Row],[Date]],2)+1,"")</f>
        <v>45859</v>
      </c>
      <c r="N231" s="23">
        <f>IF(ISNUMBER(tblClean[[#This Row],[Week Start]]),(tblClean[[#This Row],[Week Start]]-MIN(tblClean[Week Start]))/7+1,"")</f>
        <v>8</v>
      </c>
      <c r="O231" s="24" t="str">
        <f>IF(ISNUMBER(tblClean[[#This Row],[Date]]),CHOOSE(WEEKDAY(tblClean[[#This Row],[Date]],2),"Mon","Tue","Wed","Thu","Fri","Sat","Sun"),"")</f>
        <v>Sun</v>
      </c>
      <c r="P231" s="24" t="str">
        <f>IF(ISNUMBER(tblClean[[#This Row],[Date]]),IF(WEEKDAY(tblClean[[#This Row],[Date]],2)&gt;=6,"Weekend","Weekday"),"")</f>
        <v>Weekend</v>
      </c>
      <c r="Q23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31" s="9" t="str">
        <f>IF(ISNUMBER(tblClean[[#This Row],[Duration Hours]]),IF(tblClean[[#This Row],[Duration Hours]]&lt;2,"Short (under 2h)",IF(tblClean[[#This Row],[Duration Hours]]&lt;3,"Standard (2h to under 3h)","Long (3h or more)")),"")</f>
        <v>Standard (2h to under 3h)</v>
      </c>
      <c r="S23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31" s="24">
        <f>IF(COUNTIF(tblClean[Session ID],tblClean[[#This Row],[Session ID]])&gt;1,1,0)</f>
        <v>0</v>
      </c>
      <c r="U231" s="24">
        <f>IF(OR(N(tblClean[[#This Row],[Attributed GMV PHP]])&lt;0,N(tblClean[[#This Row],[Items Sold]])&lt;0,N(tblClean[[#This Row],[Livestream Views]])&lt;0,N(tblClean[[#This Row],[New Followers]])&lt;0),1,0)</f>
        <v>0</v>
      </c>
      <c r="V231" s="24">
        <f>IF(ISNUMBER(tblClean[[#This Row],[Duration Hours]]),IF(OR(tblClean[[#This Row],[Duration Hours]]&lt;=0,tblClean[[#This Row],[Duration Hours]]&gt;12),1,0),1)</f>
        <v>0</v>
      </c>
      <c r="W231" s="24">
        <f>IF(COUNTIF(HostRoster,tblClean[[#This Row],[Host Name]])=0,1,0)</f>
        <v>0</v>
      </c>
      <c r="X231" s="24">
        <f>IF(tblClean[[#This Row],[Missing Flag]]+tblClean[[#This Row],[Duplicate Flag]]+tblClean[[#This Row],[Negative Flag]]+tblClean[[#This Row],[Duration Flag]]+tblClean[[#This Row],[Host Flag]]=0,1,0)</f>
        <v>1</v>
      </c>
    </row>
    <row r="232" spans="1:24" x14ac:dyDescent="0.3">
      <c r="A232" s="9" t="str">
        <f>TRIM('Raw Data'!A228)</f>
        <v>LS-0224</v>
      </c>
      <c r="B232" s="10">
        <f>IF(ISNUMBER('Raw Data'!B228),INT('Raw Data'!B228),IFERROR(DATEVALUE('Raw Data'!B228),""))</f>
        <v>45865</v>
      </c>
      <c r="C232" s="9" t="str">
        <f>PROPER(TRIM('Raw Data'!C228))</f>
        <v>Bianca Reyes</v>
      </c>
      <c r="D232" s="11">
        <f>IF(ISNUMBER('Raw Data'!D228),MOD('Raw Data'!D228,1),IFERROR(TIMEVALUE('Raw Data'!D228),""))</f>
        <v>0.54166666666666663</v>
      </c>
      <c r="E232" s="11">
        <f>IF(ISNUMBER('Raw Data'!E228),MOD('Raw Data'!E228,1),IFERROR(TIMEVALUE('Raw Data'!E228),""))</f>
        <v>0.66666666666666663</v>
      </c>
      <c r="F232" s="12">
        <f>IF(ISNUMBER('Raw Data'!F228),'Raw Data'!F228,IFERROR(VALUE(SUBSTITUTE('Raw Data'!F228,",","")),""))</f>
        <v>20913</v>
      </c>
      <c r="G232" s="13">
        <f>IF(ISNUMBER('Raw Data'!G228),'Raw Data'!G228,IFERROR(VALUE(SUBSTITUTE('Raw Data'!G228,",","")),""))</f>
        <v>65</v>
      </c>
      <c r="H232" s="13">
        <f>IF(ISNUMBER('Raw Data'!H228),'Raw Data'!H228,IFERROR(VALUE(SUBSTITUTE('Raw Data'!H228,",","")),""))</f>
        <v>96771</v>
      </c>
      <c r="I232" s="13">
        <f>IF(ISNUMBER('Raw Data'!I228),'Raw Data'!I228,IFERROR(VALUE(SUBSTITUTE('Raw Data'!I228,",","")),""))</f>
        <v>600</v>
      </c>
      <c r="J232" s="21">
        <f>IF(AND(ISNUMBER(tblClean[[#This Row],[Start Time]]),ISNUMBER(tblClean[[#This Row],[End Time]])),ROUND(MOD(tblClean[[#This Row],[End Time]]-tblClean[[#This Row],[Start Time]],1)*24,2),"")</f>
        <v>3</v>
      </c>
      <c r="K232" s="12">
        <f>IF(AND(ISNUMBER(tblClean[[#This Row],[Duration Hours]]),ISNUMBER(tblClean[[#This Row],[Attributed GMV PHP]])),IF(tblClean[[#This Row],[Duration Hours]]&gt;0,tblClean[[#This Row],[Attributed GMV PHP]]/tblClean[[#This Row],[Duration Hours]],""),"")</f>
        <v>6971</v>
      </c>
      <c r="L232" s="22">
        <f>IF(ISNUMBER(tblClean[[#This Row],[Date]]),DATE(YEAR(tblClean[[#This Row],[Date]]),MONTH(tblClean[[#This Row],[Date]]),1),"")</f>
        <v>45839</v>
      </c>
      <c r="M232" s="10">
        <f>IF(ISNUMBER(tblClean[[#This Row],[Date]]),tblClean[[#This Row],[Date]]-WEEKDAY(tblClean[[#This Row],[Date]],2)+1,"")</f>
        <v>45859</v>
      </c>
      <c r="N232" s="23">
        <f>IF(ISNUMBER(tblClean[[#This Row],[Week Start]]),(tblClean[[#This Row],[Week Start]]-MIN(tblClean[Week Start]))/7+1,"")</f>
        <v>8</v>
      </c>
      <c r="O232" s="24" t="str">
        <f>IF(ISNUMBER(tblClean[[#This Row],[Date]]),CHOOSE(WEEKDAY(tblClean[[#This Row],[Date]],2),"Mon","Tue","Wed","Thu","Fri","Sat","Sun"),"")</f>
        <v>Sun</v>
      </c>
      <c r="P232" s="24" t="str">
        <f>IF(ISNUMBER(tblClean[[#This Row],[Date]]),IF(WEEKDAY(tblClean[[#This Row],[Date]],2)&gt;=6,"Weekend","Weekday"),"")</f>
        <v>Weekend</v>
      </c>
      <c r="Q23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32" s="9" t="str">
        <f>IF(ISNUMBER(tblClean[[#This Row],[Duration Hours]]),IF(tblClean[[#This Row],[Duration Hours]]&lt;2,"Short (under 2h)",IF(tblClean[[#This Row],[Duration Hours]]&lt;3,"Standard (2h to under 3h)","Long (3h or more)")),"")</f>
        <v>Long (3h or more)</v>
      </c>
      <c r="S23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32" s="24">
        <f>IF(COUNTIF(tblClean[Session ID],tblClean[[#This Row],[Session ID]])&gt;1,1,0)</f>
        <v>0</v>
      </c>
      <c r="U232" s="24">
        <f>IF(OR(N(tblClean[[#This Row],[Attributed GMV PHP]])&lt;0,N(tblClean[[#This Row],[Items Sold]])&lt;0,N(tblClean[[#This Row],[Livestream Views]])&lt;0,N(tblClean[[#This Row],[New Followers]])&lt;0),1,0)</f>
        <v>0</v>
      </c>
      <c r="V232" s="24">
        <f>IF(ISNUMBER(tblClean[[#This Row],[Duration Hours]]),IF(OR(tblClean[[#This Row],[Duration Hours]]&lt;=0,tblClean[[#This Row],[Duration Hours]]&gt;12),1,0),1)</f>
        <v>0</v>
      </c>
      <c r="W232" s="24">
        <f>IF(COUNTIF(HostRoster,tblClean[[#This Row],[Host Name]])=0,1,0)</f>
        <v>0</v>
      </c>
      <c r="X232" s="24">
        <f>IF(tblClean[[#This Row],[Missing Flag]]+tblClean[[#This Row],[Duplicate Flag]]+tblClean[[#This Row],[Negative Flag]]+tblClean[[#This Row],[Duration Flag]]+tblClean[[#This Row],[Host Flag]]=0,1,0)</f>
        <v>1</v>
      </c>
    </row>
    <row r="233" spans="1:24" x14ac:dyDescent="0.3">
      <c r="A233" s="9" t="str">
        <f>TRIM('Raw Data'!A229)</f>
        <v>LS-0225</v>
      </c>
      <c r="B233" s="10">
        <f>IF(ISNUMBER('Raw Data'!B229),INT('Raw Data'!B229),IFERROR(DATEVALUE('Raw Data'!B229),""))</f>
        <v>45865</v>
      </c>
      <c r="C233" s="9" t="str">
        <f>PROPER(TRIM('Raw Data'!C229))</f>
        <v>Carlo Mendoza</v>
      </c>
      <c r="D233" s="11">
        <f>IF(ISNUMBER('Raw Data'!D229),MOD('Raw Data'!D229,1),IFERROR(TIMEVALUE('Raw Data'!D229),""))</f>
        <v>0.66666666666666663</v>
      </c>
      <c r="E233" s="11">
        <f>IF(ISNUMBER('Raw Data'!E229),MOD('Raw Data'!E229,1),IFERROR(TIMEVALUE('Raw Data'!E229),""))</f>
        <v>0.77083333333333337</v>
      </c>
      <c r="F233" s="12">
        <f>IF(ISNUMBER('Raw Data'!F229),'Raw Data'!F229,IFERROR(VALUE(SUBSTITUTE('Raw Data'!F229,",","")),""))</f>
        <v>42841</v>
      </c>
      <c r="G233" s="13">
        <f>IF(ISNUMBER('Raw Data'!G229),'Raw Data'!G229,IFERROR(VALUE(SUBSTITUTE('Raw Data'!G229,",","")),""))</f>
        <v>131</v>
      </c>
      <c r="H233" s="13">
        <f>IF(ISNUMBER('Raw Data'!H229),'Raw Data'!H229,IFERROR(VALUE(SUBSTITUTE('Raw Data'!H229,",","")),""))</f>
        <v>125664</v>
      </c>
      <c r="I233" s="13">
        <f>IF(ISNUMBER('Raw Data'!I229),'Raw Data'!I229,IFERROR(VALUE(SUBSTITUTE('Raw Data'!I229,",","")),""))</f>
        <v>1095</v>
      </c>
      <c r="J233" s="21">
        <f>IF(AND(ISNUMBER(tblClean[[#This Row],[Start Time]]),ISNUMBER(tblClean[[#This Row],[End Time]])),ROUND(MOD(tblClean[[#This Row],[End Time]]-tblClean[[#This Row],[Start Time]],1)*24,2),"")</f>
        <v>2.5</v>
      </c>
      <c r="K233" s="12">
        <f>IF(AND(ISNUMBER(tblClean[[#This Row],[Duration Hours]]),ISNUMBER(tblClean[[#This Row],[Attributed GMV PHP]])),IF(tblClean[[#This Row],[Duration Hours]]&gt;0,tblClean[[#This Row],[Attributed GMV PHP]]/tblClean[[#This Row],[Duration Hours]],""),"")</f>
        <v>17136.400000000001</v>
      </c>
      <c r="L233" s="22">
        <f>IF(ISNUMBER(tblClean[[#This Row],[Date]]),DATE(YEAR(tblClean[[#This Row],[Date]]),MONTH(tblClean[[#This Row],[Date]]),1),"")</f>
        <v>45839</v>
      </c>
      <c r="M233" s="10">
        <f>IF(ISNUMBER(tblClean[[#This Row],[Date]]),tblClean[[#This Row],[Date]]-WEEKDAY(tblClean[[#This Row],[Date]],2)+1,"")</f>
        <v>45859</v>
      </c>
      <c r="N233" s="23">
        <f>IF(ISNUMBER(tblClean[[#This Row],[Week Start]]),(tblClean[[#This Row],[Week Start]]-MIN(tblClean[Week Start]))/7+1,"")</f>
        <v>8</v>
      </c>
      <c r="O233" s="24" t="str">
        <f>IF(ISNUMBER(tblClean[[#This Row],[Date]]),CHOOSE(WEEKDAY(tblClean[[#This Row],[Date]],2),"Mon","Tue","Wed","Thu","Fri","Sat","Sun"),"")</f>
        <v>Sun</v>
      </c>
      <c r="P233" s="24" t="str">
        <f>IF(ISNUMBER(tblClean[[#This Row],[Date]]),IF(WEEKDAY(tblClean[[#This Row],[Date]],2)&gt;=6,"Weekend","Weekday"),"")</f>
        <v>Weekend</v>
      </c>
      <c r="Q23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33" s="9" t="str">
        <f>IF(ISNUMBER(tblClean[[#This Row],[Duration Hours]]),IF(tblClean[[#This Row],[Duration Hours]]&lt;2,"Short (under 2h)",IF(tblClean[[#This Row],[Duration Hours]]&lt;3,"Standard (2h to under 3h)","Long (3h or more)")),"")</f>
        <v>Standard (2h to under 3h)</v>
      </c>
      <c r="S23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33" s="24">
        <f>IF(COUNTIF(tblClean[Session ID],tblClean[[#This Row],[Session ID]])&gt;1,1,0)</f>
        <v>0</v>
      </c>
      <c r="U233" s="24">
        <f>IF(OR(N(tblClean[[#This Row],[Attributed GMV PHP]])&lt;0,N(tblClean[[#This Row],[Items Sold]])&lt;0,N(tblClean[[#This Row],[Livestream Views]])&lt;0,N(tblClean[[#This Row],[New Followers]])&lt;0),1,0)</f>
        <v>0</v>
      </c>
      <c r="V233" s="24">
        <f>IF(ISNUMBER(tblClean[[#This Row],[Duration Hours]]),IF(OR(tblClean[[#This Row],[Duration Hours]]&lt;=0,tblClean[[#This Row],[Duration Hours]]&gt;12),1,0),1)</f>
        <v>0</v>
      </c>
      <c r="W233" s="24">
        <f>IF(COUNTIF(HostRoster,tblClean[[#This Row],[Host Name]])=0,1,0)</f>
        <v>0</v>
      </c>
      <c r="X233" s="24">
        <f>IF(tblClean[[#This Row],[Missing Flag]]+tblClean[[#This Row],[Duplicate Flag]]+tblClean[[#This Row],[Negative Flag]]+tblClean[[#This Row],[Duration Flag]]+tblClean[[#This Row],[Host Flag]]=0,1,0)</f>
        <v>1</v>
      </c>
    </row>
    <row r="234" spans="1:24" x14ac:dyDescent="0.3">
      <c r="A234" s="9" t="str">
        <f>TRIM('Raw Data'!A230)</f>
        <v>LS-0226</v>
      </c>
      <c r="B234" s="10">
        <f>IF(ISNUMBER('Raw Data'!B230),INT('Raw Data'!B230),IFERROR(DATEVALUE('Raw Data'!B230),""))</f>
        <v>45865</v>
      </c>
      <c r="C234" s="9" t="str">
        <f>PROPER(TRIM('Raw Data'!C230))</f>
        <v>Dani Villanueva</v>
      </c>
      <c r="D234" s="11">
        <f>IF(ISNUMBER('Raw Data'!D230),MOD('Raw Data'!D230,1),IFERROR(TIMEVALUE('Raw Data'!D230),""))</f>
        <v>0.79166666666666663</v>
      </c>
      <c r="E234" s="11">
        <f>IF(ISNUMBER('Raw Data'!E230),MOD('Raw Data'!E230,1),IFERROR(TIMEVALUE('Raw Data'!E230),""))</f>
        <v>0.91666666666666663</v>
      </c>
      <c r="F234" s="12">
        <f>IF(ISNUMBER('Raw Data'!F230),'Raw Data'!F230,IFERROR(VALUE(SUBSTITUTE('Raw Data'!F230,",","")),""))</f>
        <v>8052</v>
      </c>
      <c r="G234" s="13">
        <f>IF(ISNUMBER('Raw Data'!G230),'Raw Data'!G230,IFERROR(VALUE(SUBSTITUTE('Raw Data'!G230,",","")),""))</f>
        <v>25</v>
      </c>
      <c r="H234" s="13">
        <f>IF(ISNUMBER('Raw Data'!H230),'Raw Data'!H230,IFERROR(VALUE(SUBSTITUTE('Raw Data'!H230,",","")),""))</f>
        <v>26547</v>
      </c>
      <c r="I234" s="13">
        <f>IF(ISNUMBER('Raw Data'!I230),'Raw Data'!I230,IFERROR(VALUE(SUBSTITUTE('Raw Data'!I230,",","")),""))</f>
        <v>242</v>
      </c>
      <c r="J234" s="21">
        <f>IF(AND(ISNUMBER(tblClean[[#This Row],[Start Time]]),ISNUMBER(tblClean[[#This Row],[End Time]])),ROUND(MOD(tblClean[[#This Row],[End Time]]-tblClean[[#This Row],[Start Time]],1)*24,2),"")</f>
        <v>3</v>
      </c>
      <c r="K234" s="12">
        <f>IF(AND(ISNUMBER(tblClean[[#This Row],[Duration Hours]]),ISNUMBER(tblClean[[#This Row],[Attributed GMV PHP]])),IF(tblClean[[#This Row],[Duration Hours]]&gt;0,tblClean[[#This Row],[Attributed GMV PHP]]/tblClean[[#This Row],[Duration Hours]],""),"")</f>
        <v>2684</v>
      </c>
      <c r="L234" s="22">
        <f>IF(ISNUMBER(tblClean[[#This Row],[Date]]),DATE(YEAR(tblClean[[#This Row],[Date]]),MONTH(tblClean[[#This Row],[Date]]),1),"")</f>
        <v>45839</v>
      </c>
      <c r="M234" s="10">
        <f>IF(ISNUMBER(tblClean[[#This Row],[Date]]),tblClean[[#This Row],[Date]]-WEEKDAY(tblClean[[#This Row],[Date]],2)+1,"")</f>
        <v>45859</v>
      </c>
      <c r="N234" s="23">
        <f>IF(ISNUMBER(tblClean[[#This Row],[Week Start]]),(tblClean[[#This Row],[Week Start]]-MIN(tblClean[Week Start]))/7+1,"")</f>
        <v>8</v>
      </c>
      <c r="O234" s="24" t="str">
        <f>IF(ISNUMBER(tblClean[[#This Row],[Date]]),CHOOSE(WEEKDAY(tblClean[[#This Row],[Date]],2),"Mon","Tue","Wed","Thu","Fri","Sat","Sun"),"")</f>
        <v>Sun</v>
      </c>
      <c r="P234" s="24" t="str">
        <f>IF(ISNUMBER(tblClean[[#This Row],[Date]]),IF(WEEKDAY(tblClean[[#This Row],[Date]],2)&gt;=6,"Weekend","Weekday"),"")</f>
        <v>Weekend</v>
      </c>
      <c r="Q23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34" s="9" t="str">
        <f>IF(ISNUMBER(tblClean[[#This Row],[Duration Hours]]),IF(tblClean[[#This Row],[Duration Hours]]&lt;2,"Short (under 2h)",IF(tblClean[[#This Row],[Duration Hours]]&lt;3,"Standard (2h to under 3h)","Long (3h or more)")),"")</f>
        <v>Long (3h or more)</v>
      </c>
      <c r="S23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34" s="24">
        <f>IF(COUNTIF(tblClean[Session ID],tblClean[[#This Row],[Session ID]])&gt;1,1,0)</f>
        <v>0</v>
      </c>
      <c r="U234" s="24">
        <f>IF(OR(N(tblClean[[#This Row],[Attributed GMV PHP]])&lt;0,N(tblClean[[#This Row],[Items Sold]])&lt;0,N(tblClean[[#This Row],[Livestream Views]])&lt;0,N(tblClean[[#This Row],[New Followers]])&lt;0),1,0)</f>
        <v>0</v>
      </c>
      <c r="V234" s="24">
        <f>IF(ISNUMBER(tblClean[[#This Row],[Duration Hours]]),IF(OR(tblClean[[#This Row],[Duration Hours]]&lt;=0,tblClean[[#This Row],[Duration Hours]]&gt;12),1,0),1)</f>
        <v>0</v>
      </c>
      <c r="W234" s="24">
        <f>IF(COUNTIF(HostRoster,tblClean[[#This Row],[Host Name]])=0,1,0)</f>
        <v>0</v>
      </c>
      <c r="X234" s="24">
        <f>IF(tblClean[[#This Row],[Missing Flag]]+tblClean[[#This Row],[Duplicate Flag]]+tblClean[[#This Row],[Negative Flag]]+tblClean[[#This Row],[Duration Flag]]+tblClean[[#This Row],[Host Flag]]=0,1,0)</f>
        <v>1</v>
      </c>
    </row>
    <row r="235" spans="1:24" x14ac:dyDescent="0.3">
      <c r="A235" s="9" t="str">
        <f>TRIM('Raw Data'!A231)</f>
        <v>LS-0227</v>
      </c>
      <c r="B235" s="10">
        <f>IF(ISNUMBER('Raw Data'!B231),INT('Raw Data'!B231),IFERROR(DATEVALUE('Raw Data'!B231),""))</f>
        <v>45865</v>
      </c>
      <c r="C235" s="9" t="str">
        <f>PROPER(TRIM('Raw Data'!C231))</f>
        <v>Elise Navarro</v>
      </c>
      <c r="D235" s="11">
        <f>IF(ISNUMBER('Raw Data'!D231),MOD('Raw Data'!D231,1),IFERROR(TIMEVALUE('Raw Data'!D231),""))</f>
        <v>0.91666666666666663</v>
      </c>
      <c r="E235" s="11">
        <f>IF(ISNUMBER('Raw Data'!E231),MOD('Raw Data'!E231,1),IFERROR(TIMEVALUE('Raw Data'!E231),""))</f>
        <v>0</v>
      </c>
      <c r="F235" s="12">
        <f>IF(ISNUMBER('Raw Data'!F231),'Raw Data'!F231,IFERROR(VALUE(SUBSTITUTE('Raw Data'!F231,",","")),""))</f>
        <v>28428</v>
      </c>
      <c r="G235" s="13">
        <f>IF(ISNUMBER('Raw Data'!G231),'Raw Data'!G231,IFERROR(VALUE(SUBSTITUTE('Raw Data'!G231,",","")),""))</f>
        <v>99</v>
      </c>
      <c r="H235" s="13">
        <f>IF(ISNUMBER('Raw Data'!H231),'Raw Data'!H231,IFERROR(VALUE(SUBSTITUTE('Raw Data'!H231,",","")),""))</f>
        <v>68244</v>
      </c>
      <c r="I235" s="13">
        <f>IF(ISNUMBER('Raw Data'!I231),'Raw Data'!I231,IFERROR(VALUE(SUBSTITUTE('Raw Data'!I231,",","")),""))</f>
        <v>378</v>
      </c>
      <c r="J235" s="21">
        <f>IF(AND(ISNUMBER(tblClean[[#This Row],[Start Time]]),ISNUMBER(tblClean[[#This Row],[End Time]])),ROUND(MOD(tblClean[[#This Row],[End Time]]-tblClean[[#This Row],[Start Time]],1)*24,2),"")</f>
        <v>2</v>
      </c>
      <c r="K235" s="12">
        <f>IF(AND(ISNUMBER(tblClean[[#This Row],[Duration Hours]]),ISNUMBER(tblClean[[#This Row],[Attributed GMV PHP]])),IF(tblClean[[#This Row],[Duration Hours]]&gt;0,tblClean[[#This Row],[Attributed GMV PHP]]/tblClean[[#This Row],[Duration Hours]],""),"")</f>
        <v>14214</v>
      </c>
      <c r="L235" s="22">
        <f>IF(ISNUMBER(tblClean[[#This Row],[Date]]),DATE(YEAR(tblClean[[#This Row],[Date]]),MONTH(tblClean[[#This Row],[Date]]),1),"")</f>
        <v>45839</v>
      </c>
      <c r="M235" s="10">
        <f>IF(ISNUMBER(tblClean[[#This Row],[Date]]),tblClean[[#This Row],[Date]]-WEEKDAY(tblClean[[#This Row],[Date]],2)+1,"")</f>
        <v>45859</v>
      </c>
      <c r="N235" s="23">
        <f>IF(ISNUMBER(tblClean[[#This Row],[Week Start]]),(tblClean[[#This Row],[Week Start]]-MIN(tblClean[Week Start]))/7+1,"")</f>
        <v>8</v>
      </c>
      <c r="O235" s="24" t="str">
        <f>IF(ISNUMBER(tblClean[[#This Row],[Date]]),CHOOSE(WEEKDAY(tblClean[[#This Row],[Date]],2),"Mon","Tue","Wed","Thu","Fri","Sat","Sun"),"")</f>
        <v>Sun</v>
      </c>
      <c r="P235" s="24" t="str">
        <f>IF(ISNUMBER(tblClean[[#This Row],[Date]]),IF(WEEKDAY(tblClean[[#This Row],[Date]],2)&gt;=6,"Weekend","Weekday"),"")</f>
        <v>Weekend</v>
      </c>
      <c r="Q23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35" s="9" t="str">
        <f>IF(ISNUMBER(tblClean[[#This Row],[Duration Hours]]),IF(tblClean[[#This Row],[Duration Hours]]&lt;2,"Short (under 2h)",IF(tblClean[[#This Row],[Duration Hours]]&lt;3,"Standard (2h to under 3h)","Long (3h or more)")),"")</f>
        <v>Standard (2h to under 3h)</v>
      </c>
      <c r="S23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35" s="24">
        <f>IF(COUNTIF(tblClean[Session ID],tblClean[[#This Row],[Session ID]])&gt;1,1,0)</f>
        <v>0</v>
      </c>
      <c r="U235" s="24">
        <f>IF(OR(N(tblClean[[#This Row],[Attributed GMV PHP]])&lt;0,N(tblClean[[#This Row],[Items Sold]])&lt;0,N(tblClean[[#This Row],[Livestream Views]])&lt;0,N(tblClean[[#This Row],[New Followers]])&lt;0),1,0)</f>
        <v>0</v>
      </c>
      <c r="V235" s="24">
        <f>IF(ISNUMBER(tblClean[[#This Row],[Duration Hours]]),IF(OR(tblClean[[#This Row],[Duration Hours]]&lt;=0,tblClean[[#This Row],[Duration Hours]]&gt;12),1,0),1)</f>
        <v>0</v>
      </c>
      <c r="W235" s="24">
        <f>IF(COUNTIF(HostRoster,tblClean[[#This Row],[Host Name]])=0,1,0)</f>
        <v>0</v>
      </c>
      <c r="X235" s="24">
        <f>IF(tblClean[[#This Row],[Missing Flag]]+tblClean[[#This Row],[Duplicate Flag]]+tblClean[[#This Row],[Negative Flag]]+tblClean[[#This Row],[Duration Flag]]+tblClean[[#This Row],[Host Flag]]=0,1,0)</f>
        <v>1</v>
      </c>
    </row>
    <row r="236" spans="1:24" x14ac:dyDescent="0.3">
      <c r="A236" s="9" t="str">
        <f>TRIM('Raw Data'!A232)</f>
        <v>LS-0228</v>
      </c>
      <c r="B236" s="10">
        <f>IF(ISNUMBER('Raw Data'!B232),INT('Raw Data'!B232),IFERROR(DATEVALUE('Raw Data'!B232),""))</f>
        <v>45866</v>
      </c>
      <c r="C236" s="9" t="str">
        <f>PROPER(TRIM('Raw Data'!C232))</f>
        <v>Dani Villanueva</v>
      </c>
      <c r="D236" s="11">
        <f>IF(ISNUMBER('Raw Data'!D232),MOD('Raw Data'!D232,1),IFERROR(TIMEVALUE('Raw Data'!D232),""))</f>
        <v>0.41666666666666669</v>
      </c>
      <c r="E236" s="11">
        <f>IF(ISNUMBER('Raw Data'!E232),MOD('Raw Data'!E232,1),IFERROR(TIMEVALUE('Raw Data'!E232),""))</f>
        <v>0.52083333333333337</v>
      </c>
      <c r="F236" s="12">
        <f>IF(ISNUMBER('Raw Data'!F232),'Raw Data'!F232,IFERROR(VALUE(SUBSTITUTE('Raw Data'!F232,",","")),""))</f>
        <v>6555</v>
      </c>
      <c r="G236" s="13">
        <f>IF(ISNUMBER('Raw Data'!G232),'Raw Data'!G232,IFERROR(VALUE(SUBSTITUTE('Raw Data'!G232,",","")),""))</f>
        <v>20</v>
      </c>
      <c r="H236" s="13">
        <f>IF(ISNUMBER('Raw Data'!H232),'Raw Data'!H232,IFERROR(VALUE(SUBSTITUTE('Raw Data'!H232,",","")),""))</f>
        <v>15659</v>
      </c>
      <c r="I236" s="13">
        <f>IF(ISNUMBER('Raw Data'!I232),'Raw Data'!I232,IFERROR(VALUE(SUBSTITUTE('Raw Data'!I232,",","")),""))</f>
        <v>121</v>
      </c>
      <c r="J236" s="21">
        <f>IF(AND(ISNUMBER(tblClean[[#This Row],[Start Time]]),ISNUMBER(tblClean[[#This Row],[End Time]])),ROUND(MOD(tblClean[[#This Row],[End Time]]-tblClean[[#This Row],[Start Time]],1)*24,2),"")</f>
        <v>2.5</v>
      </c>
      <c r="K236" s="12">
        <f>IF(AND(ISNUMBER(tblClean[[#This Row],[Duration Hours]]),ISNUMBER(tblClean[[#This Row],[Attributed GMV PHP]])),IF(tblClean[[#This Row],[Duration Hours]]&gt;0,tblClean[[#This Row],[Attributed GMV PHP]]/tblClean[[#This Row],[Duration Hours]],""),"")</f>
        <v>2622</v>
      </c>
      <c r="L236" s="22">
        <f>IF(ISNUMBER(tblClean[[#This Row],[Date]]),DATE(YEAR(tblClean[[#This Row],[Date]]),MONTH(tblClean[[#This Row],[Date]]),1),"")</f>
        <v>45839</v>
      </c>
      <c r="M236" s="10">
        <f>IF(ISNUMBER(tblClean[[#This Row],[Date]]),tblClean[[#This Row],[Date]]-WEEKDAY(tblClean[[#This Row],[Date]],2)+1,"")</f>
        <v>45866</v>
      </c>
      <c r="N236" s="23">
        <f>IF(ISNUMBER(tblClean[[#This Row],[Week Start]]),(tblClean[[#This Row],[Week Start]]-MIN(tblClean[Week Start]))/7+1,"")</f>
        <v>9</v>
      </c>
      <c r="O236" s="24" t="str">
        <f>IF(ISNUMBER(tblClean[[#This Row],[Date]]),CHOOSE(WEEKDAY(tblClean[[#This Row],[Date]],2),"Mon","Tue","Wed","Thu","Fri","Sat","Sun"),"")</f>
        <v>Mon</v>
      </c>
      <c r="P236" s="24" t="str">
        <f>IF(ISNUMBER(tblClean[[#This Row],[Date]]),IF(WEEKDAY(tblClean[[#This Row],[Date]],2)&gt;=6,"Weekend","Weekday"),"")</f>
        <v>Weekday</v>
      </c>
      <c r="Q23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36" s="9" t="str">
        <f>IF(ISNUMBER(tblClean[[#This Row],[Duration Hours]]),IF(tblClean[[#This Row],[Duration Hours]]&lt;2,"Short (under 2h)",IF(tblClean[[#This Row],[Duration Hours]]&lt;3,"Standard (2h to under 3h)","Long (3h or more)")),"")</f>
        <v>Standard (2h to under 3h)</v>
      </c>
      <c r="S23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36" s="24">
        <f>IF(COUNTIF(tblClean[Session ID],tblClean[[#This Row],[Session ID]])&gt;1,1,0)</f>
        <v>0</v>
      </c>
      <c r="U236" s="24">
        <f>IF(OR(N(tblClean[[#This Row],[Attributed GMV PHP]])&lt;0,N(tblClean[[#This Row],[Items Sold]])&lt;0,N(tblClean[[#This Row],[Livestream Views]])&lt;0,N(tblClean[[#This Row],[New Followers]])&lt;0),1,0)</f>
        <v>0</v>
      </c>
      <c r="V236" s="24">
        <f>IF(ISNUMBER(tblClean[[#This Row],[Duration Hours]]),IF(OR(tblClean[[#This Row],[Duration Hours]]&lt;=0,tblClean[[#This Row],[Duration Hours]]&gt;12),1,0),1)</f>
        <v>0</v>
      </c>
      <c r="W236" s="24">
        <f>IF(COUNTIF(HostRoster,tblClean[[#This Row],[Host Name]])=0,1,0)</f>
        <v>0</v>
      </c>
      <c r="X236" s="24">
        <f>IF(tblClean[[#This Row],[Missing Flag]]+tblClean[[#This Row],[Duplicate Flag]]+tblClean[[#This Row],[Negative Flag]]+tblClean[[#This Row],[Duration Flag]]+tblClean[[#This Row],[Host Flag]]=0,1,0)</f>
        <v>1</v>
      </c>
    </row>
    <row r="237" spans="1:24" x14ac:dyDescent="0.3">
      <c r="A237" s="9" t="str">
        <f>TRIM('Raw Data'!A233)</f>
        <v>LS-0229</v>
      </c>
      <c r="B237" s="10">
        <f>IF(ISNUMBER('Raw Data'!B233),INT('Raw Data'!B233),IFERROR(DATEVALUE('Raw Data'!B233),""))</f>
        <v>45866</v>
      </c>
      <c r="C237" s="9" t="str">
        <f>PROPER(TRIM('Raw Data'!C233))</f>
        <v>Carlo Mendoza</v>
      </c>
      <c r="D237" s="11">
        <f>IF(ISNUMBER('Raw Data'!D233),MOD('Raw Data'!D233,1),IFERROR(TIMEVALUE('Raw Data'!D233),""))</f>
        <v>0.66666666666666663</v>
      </c>
      <c r="E237" s="11">
        <f>IF(ISNUMBER('Raw Data'!E233),MOD('Raw Data'!E233,1),IFERROR(TIMEVALUE('Raw Data'!E233),""))</f>
        <v>0.75</v>
      </c>
      <c r="F237" s="12">
        <f>IF(ISNUMBER('Raw Data'!F233),'Raw Data'!F233,IFERROR(VALUE(SUBSTITUTE('Raw Data'!F233,",","")),""))</f>
        <v>23806</v>
      </c>
      <c r="G237" s="13">
        <f>IF(ISNUMBER('Raw Data'!G233),'Raw Data'!G233,IFERROR(VALUE(SUBSTITUTE('Raw Data'!G233,",","")),""))</f>
        <v>64</v>
      </c>
      <c r="H237" s="13">
        <f>IF(ISNUMBER('Raw Data'!H233),'Raw Data'!H233,IFERROR(VALUE(SUBSTITUTE('Raw Data'!H233,",","")),""))</f>
        <v>80134</v>
      </c>
      <c r="I237" s="13">
        <f>IF(ISNUMBER('Raw Data'!I233),'Raw Data'!I233,IFERROR(VALUE(SUBSTITUTE('Raw Data'!I233,",","")),""))</f>
        <v>753</v>
      </c>
      <c r="J237" s="21">
        <f>IF(AND(ISNUMBER(tblClean[[#This Row],[Start Time]]),ISNUMBER(tblClean[[#This Row],[End Time]])),ROUND(MOD(tblClean[[#This Row],[End Time]]-tblClean[[#This Row],[Start Time]],1)*24,2),"")</f>
        <v>2</v>
      </c>
      <c r="K237" s="12">
        <f>IF(AND(ISNUMBER(tblClean[[#This Row],[Duration Hours]]),ISNUMBER(tblClean[[#This Row],[Attributed GMV PHP]])),IF(tblClean[[#This Row],[Duration Hours]]&gt;0,tblClean[[#This Row],[Attributed GMV PHP]]/tblClean[[#This Row],[Duration Hours]],""),"")</f>
        <v>11903</v>
      </c>
      <c r="L237" s="22">
        <f>IF(ISNUMBER(tblClean[[#This Row],[Date]]),DATE(YEAR(tblClean[[#This Row],[Date]]),MONTH(tblClean[[#This Row],[Date]]),1),"")</f>
        <v>45839</v>
      </c>
      <c r="M237" s="10">
        <f>IF(ISNUMBER(tblClean[[#This Row],[Date]]),tblClean[[#This Row],[Date]]-WEEKDAY(tblClean[[#This Row],[Date]],2)+1,"")</f>
        <v>45866</v>
      </c>
      <c r="N237" s="23">
        <f>IF(ISNUMBER(tblClean[[#This Row],[Week Start]]),(tblClean[[#This Row],[Week Start]]-MIN(tblClean[Week Start]))/7+1,"")</f>
        <v>9</v>
      </c>
      <c r="O237" s="24" t="str">
        <f>IF(ISNUMBER(tblClean[[#This Row],[Date]]),CHOOSE(WEEKDAY(tblClean[[#This Row],[Date]],2),"Mon","Tue","Wed","Thu","Fri","Sat","Sun"),"")</f>
        <v>Mon</v>
      </c>
      <c r="P237" s="24" t="str">
        <f>IF(ISNUMBER(tblClean[[#This Row],[Date]]),IF(WEEKDAY(tblClean[[#This Row],[Date]],2)&gt;=6,"Weekend","Weekday"),"")</f>
        <v>Weekday</v>
      </c>
      <c r="Q23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37" s="9" t="str">
        <f>IF(ISNUMBER(tblClean[[#This Row],[Duration Hours]]),IF(tblClean[[#This Row],[Duration Hours]]&lt;2,"Short (under 2h)",IF(tblClean[[#This Row],[Duration Hours]]&lt;3,"Standard (2h to under 3h)","Long (3h or more)")),"")</f>
        <v>Standard (2h to under 3h)</v>
      </c>
      <c r="S23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37" s="24">
        <f>IF(COUNTIF(tblClean[Session ID],tblClean[[#This Row],[Session ID]])&gt;1,1,0)</f>
        <v>0</v>
      </c>
      <c r="U237" s="24">
        <f>IF(OR(N(tblClean[[#This Row],[Attributed GMV PHP]])&lt;0,N(tblClean[[#This Row],[Items Sold]])&lt;0,N(tblClean[[#This Row],[Livestream Views]])&lt;0,N(tblClean[[#This Row],[New Followers]])&lt;0),1,0)</f>
        <v>0</v>
      </c>
      <c r="V237" s="24">
        <f>IF(ISNUMBER(tblClean[[#This Row],[Duration Hours]]),IF(OR(tblClean[[#This Row],[Duration Hours]]&lt;=0,tblClean[[#This Row],[Duration Hours]]&gt;12),1,0),1)</f>
        <v>0</v>
      </c>
      <c r="W237" s="24">
        <f>IF(COUNTIF(HostRoster,tblClean[[#This Row],[Host Name]])=0,1,0)</f>
        <v>0</v>
      </c>
      <c r="X237" s="24">
        <f>IF(tblClean[[#This Row],[Missing Flag]]+tblClean[[#This Row],[Duplicate Flag]]+tblClean[[#This Row],[Negative Flag]]+tblClean[[#This Row],[Duration Flag]]+tblClean[[#This Row],[Host Flag]]=0,1,0)</f>
        <v>1</v>
      </c>
    </row>
    <row r="238" spans="1:24" x14ac:dyDescent="0.3">
      <c r="A238" s="9" t="str">
        <f>TRIM('Raw Data'!A234)</f>
        <v>LS-0230</v>
      </c>
      <c r="B238" s="10">
        <f>IF(ISNUMBER('Raw Data'!B234),INT('Raw Data'!B234),IFERROR(DATEVALUE('Raw Data'!B234),""))</f>
        <v>45866</v>
      </c>
      <c r="C238" s="9" t="str">
        <f>PROPER(TRIM('Raw Data'!C234))</f>
        <v>Aira Valdez</v>
      </c>
      <c r="D238" s="11">
        <f>IF(ISNUMBER('Raw Data'!D234),MOD('Raw Data'!D234,1),IFERROR(TIMEVALUE('Raw Data'!D234),""))</f>
        <v>0.79166666666666663</v>
      </c>
      <c r="E238" s="11">
        <f>IF(ISNUMBER('Raw Data'!E234),MOD('Raw Data'!E234,1),IFERROR(TIMEVALUE('Raw Data'!E234),""))</f>
        <v>0.89583333333333337</v>
      </c>
      <c r="F238" s="12">
        <f>IF(ISNUMBER('Raw Data'!F234),'Raw Data'!F234,IFERROR(VALUE(SUBSTITUTE('Raw Data'!F234,",","")),""))</f>
        <v>54392</v>
      </c>
      <c r="G238" s="13">
        <f>IF(ISNUMBER('Raw Data'!G234),'Raw Data'!G234,IFERROR(VALUE(SUBSTITUTE('Raw Data'!G234,",","")),""))</f>
        <v>160</v>
      </c>
      <c r="H238" s="13">
        <f>IF(ISNUMBER('Raw Data'!H234),'Raw Data'!H234,IFERROR(VALUE(SUBSTITUTE('Raw Data'!H234,",","")),""))</f>
        <v>223221</v>
      </c>
      <c r="I238" s="13">
        <f>IF(ISNUMBER('Raw Data'!I234),'Raw Data'!I234,IFERROR(VALUE(SUBSTITUTE('Raw Data'!I234,",","")),""))</f>
        <v>2774</v>
      </c>
      <c r="J238" s="21">
        <f>IF(AND(ISNUMBER(tblClean[[#This Row],[Start Time]]),ISNUMBER(tblClean[[#This Row],[End Time]])),ROUND(MOD(tblClean[[#This Row],[End Time]]-tblClean[[#This Row],[Start Time]],1)*24,2),"")</f>
        <v>2.5</v>
      </c>
      <c r="K238" s="12">
        <f>IF(AND(ISNUMBER(tblClean[[#This Row],[Duration Hours]]),ISNUMBER(tblClean[[#This Row],[Attributed GMV PHP]])),IF(tblClean[[#This Row],[Duration Hours]]&gt;0,tblClean[[#This Row],[Attributed GMV PHP]]/tblClean[[#This Row],[Duration Hours]],""),"")</f>
        <v>21756.799999999999</v>
      </c>
      <c r="L238" s="22">
        <f>IF(ISNUMBER(tblClean[[#This Row],[Date]]),DATE(YEAR(tblClean[[#This Row],[Date]]),MONTH(tblClean[[#This Row],[Date]]),1),"")</f>
        <v>45839</v>
      </c>
      <c r="M238" s="10">
        <f>IF(ISNUMBER(tblClean[[#This Row],[Date]]),tblClean[[#This Row],[Date]]-WEEKDAY(tblClean[[#This Row],[Date]],2)+1,"")</f>
        <v>45866</v>
      </c>
      <c r="N238" s="23">
        <f>IF(ISNUMBER(tblClean[[#This Row],[Week Start]]),(tblClean[[#This Row],[Week Start]]-MIN(tblClean[Week Start]))/7+1,"")</f>
        <v>9</v>
      </c>
      <c r="O238" s="24" t="str">
        <f>IF(ISNUMBER(tblClean[[#This Row],[Date]]),CHOOSE(WEEKDAY(tblClean[[#This Row],[Date]],2),"Mon","Tue","Wed","Thu","Fri","Sat","Sun"),"")</f>
        <v>Mon</v>
      </c>
      <c r="P238" s="24" t="str">
        <f>IF(ISNUMBER(tblClean[[#This Row],[Date]]),IF(WEEKDAY(tblClean[[#This Row],[Date]],2)&gt;=6,"Weekend","Weekday"),"")</f>
        <v>Weekday</v>
      </c>
      <c r="Q23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38" s="9" t="str">
        <f>IF(ISNUMBER(tblClean[[#This Row],[Duration Hours]]),IF(tblClean[[#This Row],[Duration Hours]]&lt;2,"Short (under 2h)",IF(tblClean[[#This Row],[Duration Hours]]&lt;3,"Standard (2h to under 3h)","Long (3h or more)")),"")</f>
        <v>Standard (2h to under 3h)</v>
      </c>
      <c r="S23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38" s="24">
        <f>IF(COUNTIF(tblClean[Session ID],tblClean[[#This Row],[Session ID]])&gt;1,1,0)</f>
        <v>0</v>
      </c>
      <c r="U238" s="24">
        <f>IF(OR(N(tblClean[[#This Row],[Attributed GMV PHP]])&lt;0,N(tblClean[[#This Row],[Items Sold]])&lt;0,N(tblClean[[#This Row],[Livestream Views]])&lt;0,N(tblClean[[#This Row],[New Followers]])&lt;0),1,0)</f>
        <v>0</v>
      </c>
      <c r="V238" s="24">
        <f>IF(ISNUMBER(tblClean[[#This Row],[Duration Hours]]),IF(OR(tblClean[[#This Row],[Duration Hours]]&lt;=0,tblClean[[#This Row],[Duration Hours]]&gt;12),1,0),1)</f>
        <v>0</v>
      </c>
      <c r="W238" s="24">
        <f>IF(COUNTIF(HostRoster,tblClean[[#This Row],[Host Name]])=0,1,0)</f>
        <v>0</v>
      </c>
      <c r="X238" s="24">
        <f>IF(tblClean[[#This Row],[Missing Flag]]+tblClean[[#This Row],[Duplicate Flag]]+tblClean[[#This Row],[Negative Flag]]+tblClean[[#This Row],[Duration Flag]]+tblClean[[#This Row],[Host Flag]]=0,1,0)</f>
        <v>1</v>
      </c>
    </row>
    <row r="239" spans="1:24" x14ac:dyDescent="0.3">
      <c r="A239" s="9" t="str">
        <f>TRIM('Raw Data'!A235)</f>
        <v>LS-0231</v>
      </c>
      <c r="B239" s="10">
        <f>IF(ISNUMBER('Raw Data'!B235),INT('Raw Data'!B235),IFERROR(DATEVALUE('Raw Data'!B235),""))</f>
        <v>45866</v>
      </c>
      <c r="C239" s="9" t="str">
        <f>PROPER(TRIM('Raw Data'!C235))</f>
        <v>Aira Valdez</v>
      </c>
      <c r="D239" s="11">
        <f>IF(ISNUMBER('Raw Data'!D235),MOD('Raw Data'!D235,1),IFERROR(TIMEVALUE('Raw Data'!D235),""))</f>
        <v>0.91666666666666663</v>
      </c>
      <c r="E239" s="11">
        <f>IF(ISNUMBER('Raw Data'!E235),MOD('Raw Data'!E235,1),IFERROR(TIMEVALUE('Raw Data'!E235),""))</f>
        <v>0</v>
      </c>
      <c r="F239" s="12">
        <f>IF(ISNUMBER('Raw Data'!F235),'Raw Data'!F235,IFERROR(VALUE(SUBSTITUTE('Raw Data'!F235,",","")),""))</f>
        <v>20910</v>
      </c>
      <c r="G239" s="13">
        <f>IF(ISNUMBER('Raw Data'!G235),'Raw Data'!G235,IFERROR(VALUE(SUBSTITUTE('Raw Data'!G235,",","")),""))</f>
        <v>61</v>
      </c>
      <c r="H239" s="13">
        <f>IF(ISNUMBER('Raw Data'!H235),'Raw Data'!H235,IFERROR(VALUE(SUBSTITUTE('Raw Data'!H235,",","")),""))</f>
        <v>52502</v>
      </c>
      <c r="I239" s="13">
        <f>IF(ISNUMBER('Raw Data'!I235),'Raw Data'!I235,IFERROR(VALUE(SUBSTITUTE('Raw Data'!I235,",","")),""))</f>
        <v>562</v>
      </c>
      <c r="J239" s="21">
        <f>IF(AND(ISNUMBER(tblClean[[#This Row],[Start Time]]),ISNUMBER(tblClean[[#This Row],[End Time]])),ROUND(MOD(tblClean[[#This Row],[End Time]]-tblClean[[#This Row],[Start Time]],1)*24,2),"")</f>
        <v>2</v>
      </c>
      <c r="K239" s="12">
        <f>IF(AND(ISNUMBER(tblClean[[#This Row],[Duration Hours]]),ISNUMBER(tblClean[[#This Row],[Attributed GMV PHP]])),IF(tblClean[[#This Row],[Duration Hours]]&gt;0,tblClean[[#This Row],[Attributed GMV PHP]]/tblClean[[#This Row],[Duration Hours]],""),"")</f>
        <v>10455</v>
      </c>
      <c r="L239" s="22">
        <f>IF(ISNUMBER(tblClean[[#This Row],[Date]]),DATE(YEAR(tblClean[[#This Row],[Date]]),MONTH(tblClean[[#This Row],[Date]]),1),"")</f>
        <v>45839</v>
      </c>
      <c r="M239" s="10">
        <f>IF(ISNUMBER(tblClean[[#This Row],[Date]]),tblClean[[#This Row],[Date]]-WEEKDAY(tblClean[[#This Row],[Date]],2)+1,"")</f>
        <v>45866</v>
      </c>
      <c r="N239" s="23">
        <f>IF(ISNUMBER(tblClean[[#This Row],[Week Start]]),(tblClean[[#This Row],[Week Start]]-MIN(tblClean[Week Start]))/7+1,"")</f>
        <v>9</v>
      </c>
      <c r="O239" s="24" t="str">
        <f>IF(ISNUMBER(tblClean[[#This Row],[Date]]),CHOOSE(WEEKDAY(tblClean[[#This Row],[Date]],2),"Mon","Tue","Wed","Thu","Fri","Sat","Sun"),"")</f>
        <v>Mon</v>
      </c>
      <c r="P239" s="24" t="str">
        <f>IF(ISNUMBER(tblClean[[#This Row],[Date]]),IF(WEEKDAY(tblClean[[#This Row],[Date]],2)&gt;=6,"Weekend","Weekday"),"")</f>
        <v>Weekday</v>
      </c>
      <c r="Q23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39" s="9" t="str">
        <f>IF(ISNUMBER(tblClean[[#This Row],[Duration Hours]]),IF(tblClean[[#This Row],[Duration Hours]]&lt;2,"Short (under 2h)",IF(tblClean[[#This Row],[Duration Hours]]&lt;3,"Standard (2h to under 3h)","Long (3h or more)")),"")</f>
        <v>Standard (2h to under 3h)</v>
      </c>
      <c r="S23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39" s="24">
        <f>IF(COUNTIF(tblClean[Session ID],tblClean[[#This Row],[Session ID]])&gt;1,1,0)</f>
        <v>0</v>
      </c>
      <c r="U239" s="24">
        <f>IF(OR(N(tblClean[[#This Row],[Attributed GMV PHP]])&lt;0,N(tblClean[[#This Row],[Items Sold]])&lt;0,N(tblClean[[#This Row],[Livestream Views]])&lt;0,N(tblClean[[#This Row],[New Followers]])&lt;0),1,0)</f>
        <v>0</v>
      </c>
      <c r="V239" s="24">
        <f>IF(ISNUMBER(tblClean[[#This Row],[Duration Hours]]),IF(OR(tblClean[[#This Row],[Duration Hours]]&lt;=0,tblClean[[#This Row],[Duration Hours]]&gt;12),1,0),1)</f>
        <v>0</v>
      </c>
      <c r="W239" s="24">
        <f>IF(COUNTIF(HostRoster,tblClean[[#This Row],[Host Name]])=0,1,0)</f>
        <v>0</v>
      </c>
      <c r="X239" s="24">
        <f>IF(tblClean[[#This Row],[Missing Flag]]+tblClean[[#This Row],[Duplicate Flag]]+tblClean[[#This Row],[Negative Flag]]+tblClean[[#This Row],[Duration Flag]]+tblClean[[#This Row],[Host Flag]]=0,1,0)</f>
        <v>1</v>
      </c>
    </row>
    <row r="240" spans="1:24" x14ac:dyDescent="0.3">
      <c r="A240" s="9" t="str">
        <f>TRIM('Raw Data'!A236)</f>
        <v>LS-0232</v>
      </c>
      <c r="B240" s="10">
        <f>IF(ISNUMBER('Raw Data'!B236),INT('Raw Data'!B236),IFERROR(DATEVALUE('Raw Data'!B236),""))</f>
        <v>45867</v>
      </c>
      <c r="C240" s="9" t="str">
        <f>PROPER(TRIM('Raw Data'!C236))</f>
        <v>Dani Villanueva</v>
      </c>
      <c r="D240" s="11">
        <f>IF(ISNUMBER('Raw Data'!D236),MOD('Raw Data'!D236,1),IFERROR(TIMEVALUE('Raw Data'!D236),""))</f>
        <v>0.54166666666666663</v>
      </c>
      <c r="E240" s="11">
        <f>IF(ISNUMBER('Raw Data'!E236),MOD('Raw Data'!E236,1),IFERROR(TIMEVALUE('Raw Data'!E236),""))</f>
        <v>0.64583333333333337</v>
      </c>
      <c r="F240" s="12">
        <f>IF(ISNUMBER('Raw Data'!F236),'Raw Data'!F236,IFERROR(VALUE(SUBSTITUTE('Raw Data'!F236,",","")),""))</f>
        <v>18571</v>
      </c>
      <c r="G240" s="13">
        <f>IF(ISNUMBER('Raw Data'!G236),'Raw Data'!G236,IFERROR(VALUE(SUBSTITUTE('Raw Data'!G236,",","")),""))</f>
        <v>53</v>
      </c>
      <c r="H240" s="13">
        <f>IF(ISNUMBER('Raw Data'!H236),'Raw Data'!H236,IFERROR(VALUE(SUBSTITUTE('Raw Data'!H236,",","")),""))</f>
        <v>71180</v>
      </c>
      <c r="I240" s="13">
        <f>IF(ISNUMBER('Raw Data'!I236),'Raw Data'!I236,IFERROR(VALUE(SUBSTITUTE('Raw Data'!I236,",","")),""))</f>
        <v>793</v>
      </c>
      <c r="J240" s="21">
        <f>IF(AND(ISNUMBER(tblClean[[#This Row],[Start Time]]),ISNUMBER(tblClean[[#This Row],[End Time]])),ROUND(MOD(tblClean[[#This Row],[End Time]]-tblClean[[#This Row],[Start Time]],1)*24,2),"")</f>
        <v>2.5</v>
      </c>
      <c r="K240" s="12">
        <f>IF(AND(ISNUMBER(tblClean[[#This Row],[Duration Hours]]),ISNUMBER(tblClean[[#This Row],[Attributed GMV PHP]])),IF(tblClean[[#This Row],[Duration Hours]]&gt;0,tblClean[[#This Row],[Attributed GMV PHP]]/tblClean[[#This Row],[Duration Hours]],""),"")</f>
        <v>7428.4</v>
      </c>
      <c r="L240" s="22">
        <f>IF(ISNUMBER(tblClean[[#This Row],[Date]]),DATE(YEAR(tblClean[[#This Row],[Date]]),MONTH(tblClean[[#This Row],[Date]]),1),"")</f>
        <v>45839</v>
      </c>
      <c r="M240" s="10">
        <f>IF(ISNUMBER(tblClean[[#This Row],[Date]]),tblClean[[#This Row],[Date]]-WEEKDAY(tblClean[[#This Row],[Date]],2)+1,"")</f>
        <v>45866</v>
      </c>
      <c r="N240" s="23">
        <f>IF(ISNUMBER(tblClean[[#This Row],[Week Start]]),(tblClean[[#This Row],[Week Start]]-MIN(tblClean[Week Start]))/7+1,"")</f>
        <v>9</v>
      </c>
      <c r="O240" s="24" t="str">
        <f>IF(ISNUMBER(tblClean[[#This Row],[Date]]),CHOOSE(WEEKDAY(tblClean[[#This Row],[Date]],2),"Mon","Tue","Wed","Thu","Fri","Sat","Sun"),"")</f>
        <v>Tue</v>
      </c>
      <c r="P240" s="24" t="str">
        <f>IF(ISNUMBER(tblClean[[#This Row],[Date]]),IF(WEEKDAY(tblClean[[#This Row],[Date]],2)&gt;=6,"Weekend","Weekday"),"")</f>
        <v>Weekday</v>
      </c>
      <c r="Q24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40" s="9" t="str">
        <f>IF(ISNUMBER(tblClean[[#This Row],[Duration Hours]]),IF(tblClean[[#This Row],[Duration Hours]]&lt;2,"Short (under 2h)",IF(tblClean[[#This Row],[Duration Hours]]&lt;3,"Standard (2h to under 3h)","Long (3h or more)")),"")</f>
        <v>Standard (2h to under 3h)</v>
      </c>
      <c r="S24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40" s="24">
        <f>IF(COUNTIF(tblClean[Session ID],tblClean[[#This Row],[Session ID]])&gt;1,1,0)</f>
        <v>0</v>
      </c>
      <c r="U240" s="24">
        <f>IF(OR(N(tblClean[[#This Row],[Attributed GMV PHP]])&lt;0,N(tblClean[[#This Row],[Items Sold]])&lt;0,N(tblClean[[#This Row],[Livestream Views]])&lt;0,N(tblClean[[#This Row],[New Followers]])&lt;0),1,0)</f>
        <v>0</v>
      </c>
      <c r="V240" s="24">
        <f>IF(ISNUMBER(tblClean[[#This Row],[Duration Hours]]),IF(OR(tblClean[[#This Row],[Duration Hours]]&lt;=0,tblClean[[#This Row],[Duration Hours]]&gt;12),1,0),1)</f>
        <v>0</v>
      </c>
      <c r="W240" s="24">
        <f>IF(COUNTIF(HostRoster,tblClean[[#This Row],[Host Name]])=0,1,0)</f>
        <v>0</v>
      </c>
      <c r="X240" s="24">
        <f>IF(tblClean[[#This Row],[Missing Flag]]+tblClean[[#This Row],[Duplicate Flag]]+tblClean[[#This Row],[Negative Flag]]+tblClean[[#This Row],[Duration Flag]]+tblClean[[#This Row],[Host Flag]]=0,1,0)</f>
        <v>1</v>
      </c>
    </row>
    <row r="241" spans="1:24" x14ac:dyDescent="0.3">
      <c r="A241" s="9" t="str">
        <f>TRIM('Raw Data'!A237)</f>
        <v>LS-0233</v>
      </c>
      <c r="B241" s="10">
        <f>IF(ISNUMBER('Raw Data'!B237),INT('Raw Data'!B237),IFERROR(DATEVALUE('Raw Data'!B237),""))</f>
        <v>45867</v>
      </c>
      <c r="C241" s="9" t="str">
        <f>PROPER(TRIM('Raw Data'!C237))</f>
        <v>Aira Valdez</v>
      </c>
      <c r="D241" s="11">
        <f>IF(ISNUMBER('Raw Data'!D237),MOD('Raw Data'!D237,1),IFERROR(TIMEVALUE('Raw Data'!D237),""))</f>
        <v>0.66666666666666663</v>
      </c>
      <c r="E241" s="11">
        <f>IF(ISNUMBER('Raw Data'!E237),MOD('Raw Data'!E237,1),IFERROR(TIMEVALUE('Raw Data'!E237),""))</f>
        <v>0.77083333333333337</v>
      </c>
      <c r="F241" s="12">
        <f>IF(ISNUMBER('Raw Data'!F237),'Raw Data'!F237,IFERROR(VALUE(SUBSTITUTE('Raw Data'!F237,",","")),""))</f>
        <v>83476</v>
      </c>
      <c r="G241" s="13">
        <f>IF(ISNUMBER('Raw Data'!G237),'Raw Data'!G237,IFERROR(VALUE(SUBSTITUTE('Raw Data'!G237,",","")),""))</f>
        <v>246</v>
      </c>
      <c r="H241" s="13">
        <f>IF(ISNUMBER('Raw Data'!H237),'Raw Data'!H237,IFERROR(VALUE(SUBSTITUTE('Raw Data'!H237,",","")),""))</f>
        <v>181953</v>
      </c>
      <c r="I241" s="13">
        <f>IF(ISNUMBER('Raw Data'!I237),'Raw Data'!I237,IFERROR(VALUE(SUBSTITUTE('Raw Data'!I237,",","")),""))</f>
        <v>837</v>
      </c>
      <c r="J241" s="21">
        <f>IF(AND(ISNUMBER(tblClean[[#This Row],[Start Time]]),ISNUMBER(tblClean[[#This Row],[End Time]])),ROUND(MOD(tblClean[[#This Row],[End Time]]-tblClean[[#This Row],[Start Time]],1)*24,2),"")</f>
        <v>2.5</v>
      </c>
      <c r="K241" s="12">
        <f>IF(AND(ISNUMBER(tblClean[[#This Row],[Duration Hours]]),ISNUMBER(tblClean[[#This Row],[Attributed GMV PHP]])),IF(tblClean[[#This Row],[Duration Hours]]&gt;0,tblClean[[#This Row],[Attributed GMV PHP]]/tblClean[[#This Row],[Duration Hours]],""),"")</f>
        <v>33390.400000000001</v>
      </c>
      <c r="L241" s="22">
        <f>IF(ISNUMBER(tblClean[[#This Row],[Date]]),DATE(YEAR(tblClean[[#This Row],[Date]]),MONTH(tblClean[[#This Row],[Date]]),1),"")</f>
        <v>45839</v>
      </c>
      <c r="M241" s="10">
        <f>IF(ISNUMBER(tblClean[[#This Row],[Date]]),tblClean[[#This Row],[Date]]-WEEKDAY(tblClean[[#This Row],[Date]],2)+1,"")</f>
        <v>45866</v>
      </c>
      <c r="N241" s="23">
        <f>IF(ISNUMBER(tblClean[[#This Row],[Week Start]]),(tblClean[[#This Row],[Week Start]]-MIN(tblClean[Week Start]))/7+1,"")</f>
        <v>9</v>
      </c>
      <c r="O241" s="24" t="str">
        <f>IF(ISNUMBER(tblClean[[#This Row],[Date]]),CHOOSE(WEEKDAY(tblClean[[#This Row],[Date]],2),"Mon","Tue","Wed","Thu","Fri","Sat","Sun"),"")</f>
        <v>Tue</v>
      </c>
      <c r="P241" s="24" t="str">
        <f>IF(ISNUMBER(tblClean[[#This Row],[Date]]),IF(WEEKDAY(tblClean[[#This Row],[Date]],2)&gt;=6,"Weekend","Weekday"),"")</f>
        <v>Weekday</v>
      </c>
      <c r="Q24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41" s="9" t="str">
        <f>IF(ISNUMBER(tblClean[[#This Row],[Duration Hours]]),IF(tblClean[[#This Row],[Duration Hours]]&lt;2,"Short (under 2h)",IF(tblClean[[#This Row],[Duration Hours]]&lt;3,"Standard (2h to under 3h)","Long (3h or more)")),"")</f>
        <v>Standard (2h to under 3h)</v>
      </c>
      <c r="S24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41" s="24">
        <f>IF(COUNTIF(tblClean[Session ID],tblClean[[#This Row],[Session ID]])&gt;1,1,0)</f>
        <v>0</v>
      </c>
      <c r="U241" s="24">
        <f>IF(OR(N(tblClean[[#This Row],[Attributed GMV PHP]])&lt;0,N(tblClean[[#This Row],[Items Sold]])&lt;0,N(tblClean[[#This Row],[Livestream Views]])&lt;0,N(tblClean[[#This Row],[New Followers]])&lt;0),1,0)</f>
        <v>0</v>
      </c>
      <c r="V241" s="24">
        <f>IF(ISNUMBER(tblClean[[#This Row],[Duration Hours]]),IF(OR(tblClean[[#This Row],[Duration Hours]]&lt;=0,tblClean[[#This Row],[Duration Hours]]&gt;12),1,0),1)</f>
        <v>0</v>
      </c>
      <c r="W241" s="24">
        <f>IF(COUNTIF(HostRoster,tblClean[[#This Row],[Host Name]])=0,1,0)</f>
        <v>0</v>
      </c>
      <c r="X241" s="24">
        <f>IF(tblClean[[#This Row],[Missing Flag]]+tblClean[[#This Row],[Duplicate Flag]]+tblClean[[#This Row],[Negative Flag]]+tblClean[[#This Row],[Duration Flag]]+tblClean[[#This Row],[Host Flag]]=0,1,0)</f>
        <v>1</v>
      </c>
    </row>
    <row r="242" spans="1:24" x14ac:dyDescent="0.3">
      <c r="A242" s="9" t="str">
        <f>TRIM('Raw Data'!A238)</f>
        <v>LS-0234</v>
      </c>
      <c r="B242" s="10">
        <f>IF(ISNUMBER('Raw Data'!B238),INT('Raw Data'!B238),IFERROR(DATEVALUE('Raw Data'!B238),""))</f>
        <v>45867</v>
      </c>
      <c r="C242" s="9" t="str">
        <f>PROPER(TRIM('Raw Data'!C238))</f>
        <v>Dani Villanueva</v>
      </c>
      <c r="D242" s="11">
        <f>IF(ISNUMBER('Raw Data'!D238),MOD('Raw Data'!D238,1),IFERROR(TIMEVALUE('Raw Data'!D238),""))</f>
        <v>0.79166666666666663</v>
      </c>
      <c r="E242" s="11">
        <f>IF(ISNUMBER('Raw Data'!E238),MOD('Raw Data'!E238,1),IFERROR(TIMEVALUE('Raw Data'!E238),""))</f>
        <v>0.89583333333333337</v>
      </c>
      <c r="F242" s="12">
        <f>IF(ISNUMBER('Raw Data'!F238),'Raw Data'!F238,IFERROR(VALUE(SUBSTITUTE('Raw Data'!F238,",","")),""))</f>
        <v>26328</v>
      </c>
      <c r="G242" s="13">
        <f>IF(ISNUMBER('Raw Data'!G238),'Raw Data'!G238,IFERROR(VALUE(SUBSTITUTE('Raw Data'!G238,",","")),""))</f>
        <v>86</v>
      </c>
      <c r="H242" s="13">
        <f>IF(ISNUMBER('Raw Data'!H238),'Raw Data'!H238,IFERROR(VALUE(SUBSTITUTE('Raw Data'!H238,",","")),""))</f>
        <v>145642</v>
      </c>
      <c r="I242" s="13">
        <f>IF(ISNUMBER('Raw Data'!I238),'Raw Data'!I238,IFERROR(VALUE(SUBSTITUTE('Raw Data'!I238,",","")),""))</f>
        <v>1577</v>
      </c>
      <c r="J242" s="21">
        <f>IF(AND(ISNUMBER(tblClean[[#This Row],[Start Time]]),ISNUMBER(tblClean[[#This Row],[End Time]])),ROUND(MOD(tblClean[[#This Row],[End Time]]-tblClean[[#This Row],[Start Time]],1)*24,2),"")</f>
        <v>2.5</v>
      </c>
      <c r="K242" s="12">
        <f>IF(AND(ISNUMBER(tblClean[[#This Row],[Duration Hours]]),ISNUMBER(tblClean[[#This Row],[Attributed GMV PHP]])),IF(tblClean[[#This Row],[Duration Hours]]&gt;0,tblClean[[#This Row],[Attributed GMV PHP]]/tblClean[[#This Row],[Duration Hours]],""),"")</f>
        <v>10531.2</v>
      </c>
      <c r="L242" s="22">
        <f>IF(ISNUMBER(tblClean[[#This Row],[Date]]),DATE(YEAR(tblClean[[#This Row],[Date]]),MONTH(tblClean[[#This Row],[Date]]),1),"")</f>
        <v>45839</v>
      </c>
      <c r="M242" s="10">
        <f>IF(ISNUMBER(tblClean[[#This Row],[Date]]),tblClean[[#This Row],[Date]]-WEEKDAY(tblClean[[#This Row],[Date]],2)+1,"")</f>
        <v>45866</v>
      </c>
      <c r="N242" s="23">
        <f>IF(ISNUMBER(tblClean[[#This Row],[Week Start]]),(tblClean[[#This Row],[Week Start]]-MIN(tblClean[Week Start]))/7+1,"")</f>
        <v>9</v>
      </c>
      <c r="O242" s="24" t="str">
        <f>IF(ISNUMBER(tblClean[[#This Row],[Date]]),CHOOSE(WEEKDAY(tblClean[[#This Row],[Date]],2),"Mon","Tue","Wed","Thu","Fri","Sat","Sun"),"")</f>
        <v>Tue</v>
      </c>
      <c r="P242" s="24" t="str">
        <f>IF(ISNUMBER(tblClean[[#This Row],[Date]]),IF(WEEKDAY(tblClean[[#This Row],[Date]],2)&gt;=6,"Weekend","Weekday"),"")</f>
        <v>Weekday</v>
      </c>
      <c r="Q24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42" s="9" t="str">
        <f>IF(ISNUMBER(tblClean[[#This Row],[Duration Hours]]),IF(tblClean[[#This Row],[Duration Hours]]&lt;2,"Short (under 2h)",IF(tblClean[[#This Row],[Duration Hours]]&lt;3,"Standard (2h to under 3h)","Long (3h or more)")),"")</f>
        <v>Standard (2h to under 3h)</v>
      </c>
      <c r="S24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42" s="24">
        <f>IF(COUNTIF(tblClean[Session ID],tblClean[[#This Row],[Session ID]])&gt;1,1,0)</f>
        <v>0</v>
      </c>
      <c r="U242" s="24">
        <f>IF(OR(N(tblClean[[#This Row],[Attributed GMV PHP]])&lt;0,N(tblClean[[#This Row],[Items Sold]])&lt;0,N(tblClean[[#This Row],[Livestream Views]])&lt;0,N(tblClean[[#This Row],[New Followers]])&lt;0),1,0)</f>
        <v>0</v>
      </c>
      <c r="V242" s="24">
        <f>IF(ISNUMBER(tblClean[[#This Row],[Duration Hours]]),IF(OR(tblClean[[#This Row],[Duration Hours]]&lt;=0,tblClean[[#This Row],[Duration Hours]]&gt;12),1,0),1)</f>
        <v>0</v>
      </c>
      <c r="W242" s="24">
        <f>IF(COUNTIF(HostRoster,tblClean[[#This Row],[Host Name]])=0,1,0)</f>
        <v>0</v>
      </c>
      <c r="X242" s="24">
        <f>IF(tblClean[[#This Row],[Missing Flag]]+tblClean[[#This Row],[Duplicate Flag]]+tblClean[[#This Row],[Negative Flag]]+tblClean[[#This Row],[Duration Flag]]+tblClean[[#This Row],[Host Flag]]=0,1,0)</f>
        <v>1</v>
      </c>
    </row>
    <row r="243" spans="1:24" x14ac:dyDescent="0.3">
      <c r="A243" s="9" t="str">
        <f>TRIM('Raw Data'!A239)</f>
        <v>LS-0235</v>
      </c>
      <c r="B243" s="10">
        <f>IF(ISNUMBER('Raw Data'!B239),INT('Raw Data'!B239),IFERROR(DATEVALUE('Raw Data'!B239),""))</f>
        <v>45867</v>
      </c>
      <c r="C243" s="9" t="str">
        <f>PROPER(TRIM('Raw Data'!C239))</f>
        <v>Dani Villanueva</v>
      </c>
      <c r="D243" s="11">
        <f>IF(ISNUMBER('Raw Data'!D239),MOD('Raw Data'!D239,1),IFERROR(TIMEVALUE('Raw Data'!D239),""))</f>
        <v>0.91666666666666663</v>
      </c>
      <c r="E243" s="11">
        <f>IF(ISNUMBER('Raw Data'!E239),MOD('Raw Data'!E239,1),IFERROR(TIMEVALUE('Raw Data'!E239),""))</f>
        <v>2.0833333333333329E-2</v>
      </c>
      <c r="F243" s="12">
        <f>IF(ISNUMBER('Raw Data'!F239),'Raw Data'!F239,IFERROR(VALUE(SUBSTITUTE('Raw Data'!F239,",","")),""))</f>
        <v>21150</v>
      </c>
      <c r="G243" s="13">
        <f>IF(ISNUMBER('Raw Data'!G239),'Raw Data'!G239,IFERROR(VALUE(SUBSTITUTE('Raw Data'!G239,",","")),""))</f>
        <v>51</v>
      </c>
      <c r="H243" s="13">
        <f>IF(ISNUMBER('Raw Data'!H239),'Raw Data'!H239,IFERROR(VALUE(SUBSTITUTE('Raw Data'!H239,",","")),""))</f>
        <v>114440</v>
      </c>
      <c r="I243" s="13">
        <f>IF(ISNUMBER('Raw Data'!I239),'Raw Data'!I239,IFERROR(VALUE(SUBSTITUTE('Raw Data'!I239,",","")),""))</f>
        <v>1219</v>
      </c>
      <c r="J243" s="21">
        <f>IF(AND(ISNUMBER(tblClean[[#This Row],[Start Time]]),ISNUMBER(tblClean[[#This Row],[End Time]])),ROUND(MOD(tblClean[[#This Row],[End Time]]-tblClean[[#This Row],[Start Time]],1)*24,2),"")</f>
        <v>2.5</v>
      </c>
      <c r="K243" s="12">
        <f>IF(AND(ISNUMBER(tblClean[[#This Row],[Duration Hours]]),ISNUMBER(tblClean[[#This Row],[Attributed GMV PHP]])),IF(tblClean[[#This Row],[Duration Hours]]&gt;0,tblClean[[#This Row],[Attributed GMV PHP]]/tblClean[[#This Row],[Duration Hours]],""),"")</f>
        <v>8460</v>
      </c>
      <c r="L243" s="22">
        <f>IF(ISNUMBER(tblClean[[#This Row],[Date]]),DATE(YEAR(tblClean[[#This Row],[Date]]),MONTH(tblClean[[#This Row],[Date]]),1),"")</f>
        <v>45839</v>
      </c>
      <c r="M243" s="10">
        <f>IF(ISNUMBER(tblClean[[#This Row],[Date]]),tblClean[[#This Row],[Date]]-WEEKDAY(tblClean[[#This Row],[Date]],2)+1,"")</f>
        <v>45866</v>
      </c>
      <c r="N243" s="23">
        <f>IF(ISNUMBER(tblClean[[#This Row],[Week Start]]),(tblClean[[#This Row],[Week Start]]-MIN(tblClean[Week Start]))/7+1,"")</f>
        <v>9</v>
      </c>
      <c r="O243" s="24" t="str">
        <f>IF(ISNUMBER(tblClean[[#This Row],[Date]]),CHOOSE(WEEKDAY(tblClean[[#This Row],[Date]],2),"Mon","Tue","Wed","Thu","Fri","Sat","Sun"),"")</f>
        <v>Tue</v>
      </c>
      <c r="P243" s="24" t="str">
        <f>IF(ISNUMBER(tblClean[[#This Row],[Date]]),IF(WEEKDAY(tblClean[[#This Row],[Date]],2)&gt;=6,"Weekend","Weekday"),"")</f>
        <v>Weekday</v>
      </c>
      <c r="Q24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43" s="9" t="str">
        <f>IF(ISNUMBER(tblClean[[#This Row],[Duration Hours]]),IF(tblClean[[#This Row],[Duration Hours]]&lt;2,"Short (under 2h)",IF(tblClean[[#This Row],[Duration Hours]]&lt;3,"Standard (2h to under 3h)","Long (3h or more)")),"")</f>
        <v>Standard (2h to under 3h)</v>
      </c>
      <c r="S24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43" s="24">
        <f>IF(COUNTIF(tblClean[Session ID],tblClean[[#This Row],[Session ID]])&gt;1,1,0)</f>
        <v>0</v>
      </c>
      <c r="U243" s="24">
        <f>IF(OR(N(tblClean[[#This Row],[Attributed GMV PHP]])&lt;0,N(tblClean[[#This Row],[Items Sold]])&lt;0,N(tblClean[[#This Row],[Livestream Views]])&lt;0,N(tblClean[[#This Row],[New Followers]])&lt;0),1,0)</f>
        <v>0</v>
      </c>
      <c r="V243" s="24">
        <f>IF(ISNUMBER(tblClean[[#This Row],[Duration Hours]]),IF(OR(tblClean[[#This Row],[Duration Hours]]&lt;=0,tblClean[[#This Row],[Duration Hours]]&gt;12),1,0),1)</f>
        <v>0</v>
      </c>
      <c r="W243" s="24">
        <f>IF(COUNTIF(HostRoster,tblClean[[#This Row],[Host Name]])=0,1,0)</f>
        <v>0</v>
      </c>
      <c r="X243" s="24">
        <f>IF(tblClean[[#This Row],[Missing Flag]]+tblClean[[#This Row],[Duplicate Flag]]+tblClean[[#This Row],[Negative Flag]]+tblClean[[#This Row],[Duration Flag]]+tblClean[[#This Row],[Host Flag]]=0,1,0)</f>
        <v>1</v>
      </c>
    </row>
    <row r="244" spans="1:24" x14ac:dyDescent="0.3">
      <c r="A244" s="9" t="str">
        <f>TRIM('Raw Data'!A240)</f>
        <v>LS-0236</v>
      </c>
      <c r="B244" s="10">
        <f>IF(ISNUMBER('Raw Data'!B240),INT('Raw Data'!B240),IFERROR(DATEVALUE('Raw Data'!B240),""))</f>
        <v>45868</v>
      </c>
      <c r="C244" s="9" t="str">
        <f>PROPER(TRIM('Raw Data'!C240))</f>
        <v>Dani Villanueva</v>
      </c>
      <c r="D244" s="11">
        <f>IF(ISNUMBER('Raw Data'!D240),MOD('Raw Data'!D240,1),IFERROR(TIMEVALUE('Raw Data'!D240),""))</f>
        <v>0.41666666666666669</v>
      </c>
      <c r="E244" s="11">
        <f>IF(ISNUMBER('Raw Data'!E240),MOD('Raw Data'!E240,1),IFERROR(TIMEVALUE('Raw Data'!E240),""))</f>
        <v>0.54166666666666663</v>
      </c>
      <c r="F244" s="12">
        <f>IF(ISNUMBER('Raw Data'!F240),'Raw Data'!F240,IFERROR(VALUE(SUBSTITUTE('Raw Data'!F240,",","")),""))</f>
        <v>12603</v>
      </c>
      <c r="G244" s="13">
        <f>IF(ISNUMBER('Raw Data'!G240),'Raw Data'!G240,IFERROR(VALUE(SUBSTITUTE('Raw Data'!G240,",","")),""))</f>
        <v>36</v>
      </c>
      <c r="H244" s="13">
        <f>IF(ISNUMBER('Raw Data'!H240),'Raw Data'!H240,IFERROR(VALUE(SUBSTITUTE('Raw Data'!H240,",","")),""))</f>
        <v>54384</v>
      </c>
      <c r="I244" s="13">
        <f>IF(ISNUMBER('Raw Data'!I240),'Raw Data'!I240,IFERROR(VALUE(SUBSTITUTE('Raw Data'!I240,",","")),""))</f>
        <v>669</v>
      </c>
      <c r="J244" s="21">
        <f>IF(AND(ISNUMBER(tblClean[[#This Row],[Start Time]]),ISNUMBER(tblClean[[#This Row],[End Time]])),ROUND(MOD(tblClean[[#This Row],[End Time]]-tblClean[[#This Row],[Start Time]],1)*24,2),"")</f>
        <v>3</v>
      </c>
      <c r="K244" s="12">
        <f>IF(AND(ISNUMBER(tblClean[[#This Row],[Duration Hours]]),ISNUMBER(tblClean[[#This Row],[Attributed GMV PHP]])),IF(tblClean[[#This Row],[Duration Hours]]&gt;0,tblClean[[#This Row],[Attributed GMV PHP]]/tblClean[[#This Row],[Duration Hours]],""),"")</f>
        <v>4201</v>
      </c>
      <c r="L244" s="22">
        <f>IF(ISNUMBER(tblClean[[#This Row],[Date]]),DATE(YEAR(tblClean[[#This Row],[Date]]),MONTH(tblClean[[#This Row],[Date]]),1),"")</f>
        <v>45839</v>
      </c>
      <c r="M244" s="10">
        <f>IF(ISNUMBER(tblClean[[#This Row],[Date]]),tblClean[[#This Row],[Date]]-WEEKDAY(tblClean[[#This Row],[Date]],2)+1,"")</f>
        <v>45866</v>
      </c>
      <c r="N244" s="23">
        <f>IF(ISNUMBER(tblClean[[#This Row],[Week Start]]),(tblClean[[#This Row],[Week Start]]-MIN(tblClean[Week Start]))/7+1,"")</f>
        <v>9</v>
      </c>
      <c r="O244" s="24" t="str">
        <f>IF(ISNUMBER(tblClean[[#This Row],[Date]]),CHOOSE(WEEKDAY(tblClean[[#This Row],[Date]],2),"Mon","Tue","Wed","Thu","Fri","Sat","Sun"),"")</f>
        <v>Wed</v>
      </c>
      <c r="P244" s="24" t="str">
        <f>IF(ISNUMBER(tblClean[[#This Row],[Date]]),IF(WEEKDAY(tblClean[[#This Row],[Date]],2)&gt;=6,"Weekend","Weekday"),"")</f>
        <v>Weekday</v>
      </c>
      <c r="Q24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44" s="9" t="str">
        <f>IF(ISNUMBER(tblClean[[#This Row],[Duration Hours]]),IF(tblClean[[#This Row],[Duration Hours]]&lt;2,"Short (under 2h)",IF(tblClean[[#This Row],[Duration Hours]]&lt;3,"Standard (2h to under 3h)","Long (3h or more)")),"")</f>
        <v>Long (3h or more)</v>
      </c>
      <c r="S24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44" s="24">
        <f>IF(COUNTIF(tblClean[Session ID],tblClean[[#This Row],[Session ID]])&gt;1,1,0)</f>
        <v>0</v>
      </c>
      <c r="U244" s="24">
        <f>IF(OR(N(tblClean[[#This Row],[Attributed GMV PHP]])&lt;0,N(tblClean[[#This Row],[Items Sold]])&lt;0,N(tblClean[[#This Row],[Livestream Views]])&lt;0,N(tblClean[[#This Row],[New Followers]])&lt;0),1,0)</f>
        <v>0</v>
      </c>
      <c r="V244" s="24">
        <f>IF(ISNUMBER(tblClean[[#This Row],[Duration Hours]]),IF(OR(tblClean[[#This Row],[Duration Hours]]&lt;=0,tblClean[[#This Row],[Duration Hours]]&gt;12),1,0),1)</f>
        <v>0</v>
      </c>
      <c r="W244" s="24">
        <f>IF(COUNTIF(HostRoster,tblClean[[#This Row],[Host Name]])=0,1,0)</f>
        <v>0</v>
      </c>
      <c r="X244" s="24">
        <f>IF(tblClean[[#This Row],[Missing Flag]]+tblClean[[#This Row],[Duplicate Flag]]+tblClean[[#This Row],[Negative Flag]]+tblClean[[#This Row],[Duration Flag]]+tblClean[[#This Row],[Host Flag]]=0,1,0)</f>
        <v>1</v>
      </c>
    </row>
    <row r="245" spans="1:24" x14ac:dyDescent="0.3">
      <c r="A245" s="9" t="str">
        <f>TRIM('Raw Data'!A241)</f>
        <v>LS-0237</v>
      </c>
      <c r="B245" s="10">
        <f>IF(ISNUMBER('Raw Data'!B241),INT('Raw Data'!B241),IFERROR(DATEVALUE('Raw Data'!B241),""))</f>
        <v>45868</v>
      </c>
      <c r="C245" s="9" t="str">
        <f>PROPER(TRIM('Raw Data'!C241))</f>
        <v>Aira Valdez</v>
      </c>
      <c r="D245" s="11">
        <f>IF(ISNUMBER('Raw Data'!D241),MOD('Raw Data'!D241,1),IFERROR(TIMEVALUE('Raw Data'!D241),""))</f>
        <v>0.54166666666666663</v>
      </c>
      <c r="E245" s="11">
        <f>IF(ISNUMBER('Raw Data'!E241),MOD('Raw Data'!E241,1),IFERROR(TIMEVALUE('Raw Data'!E241),""))</f>
        <v>0.60416666666666663</v>
      </c>
      <c r="F245" s="12">
        <f>IF(ISNUMBER('Raw Data'!F241),'Raw Data'!F241,IFERROR(VALUE(SUBSTITUTE('Raw Data'!F241,",","")),""))</f>
        <v>19096</v>
      </c>
      <c r="G245" s="13">
        <f>IF(ISNUMBER('Raw Data'!G241),'Raw Data'!G241,IFERROR(VALUE(SUBSTITUTE('Raw Data'!G241,",","")),""))</f>
        <v>58</v>
      </c>
      <c r="H245" s="13">
        <f>IF(ISNUMBER('Raw Data'!H241),'Raw Data'!H241,IFERROR(VALUE(SUBSTITUTE('Raw Data'!H241,",","")),""))</f>
        <v>70214</v>
      </c>
      <c r="I245" s="13">
        <f>IF(ISNUMBER('Raw Data'!I241),'Raw Data'!I241,IFERROR(VALUE(SUBSTITUTE('Raw Data'!I241,",","")),""))</f>
        <v>618</v>
      </c>
      <c r="J245" s="21">
        <f>IF(AND(ISNUMBER(tblClean[[#This Row],[Start Time]]),ISNUMBER(tblClean[[#This Row],[End Time]])),ROUND(MOD(tblClean[[#This Row],[End Time]]-tblClean[[#This Row],[Start Time]],1)*24,2),"")</f>
        <v>1.5</v>
      </c>
      <c r="K245" s="12">
        <f>IF(AND(ISNUMBER(tblClean[[#This Row],[Duration Hours]]),ISNUMBER(tblClean[[#This Row],[Attributed GMV PHP]])),IF(tblClean[[#This Row],[Duration Hours]]&gt;0,tblClean[[#This Row],[Attributed GMV PHP]]/tblClean[[#This Row],[Duration Hours]],""),"")</f>
        <v>12730.666666666666</v>
      </c>
      <c r="L245" s="22">
        <f>IF(ISNUMBER(tblClean[[#This Row],[Date]]),DATE(YEAR(tblClean[[#This Row],[Date]]),MONTH(tblClean[[#This Row],[Date]]),1),"")</f>
        <v>45839</v>
      </c>
      <c r="M245" s="10">
        <f>IF(ISNUMBER(tblClean[[#This Row],[Date]]),tblClean[[#This Row],[Date]]-WEEKDAY(tblClean[[#This Row],[Date]],2)+1,"")</f>
        <v>45866</v>
      </c>
      <c r="N245" s="23">
        <f>IF(ISNUMBER(tblClean[[#This Row],[Week Start]]),(tblClean[[#This Row],[Week Start]]-MIN(tblClean[Week Start]))/7+1,"")</f>
        <v>9</v>
      </c>
      <c r="O245" s="24" t="str">
        <f>IF(ISNUMBER(tblClean[[#This Row],[Date]]),CHOOSE(WEEKDAY(tblClean[[#This Row],[Date]],2),"Mon","Tue","Wed","Thu","Fri","Sat","Sun"),"")</f>
        <v>Wed</v>
      </c>
      <c r="P245" s="24" t="str">
        <f>IF(ISNUMBER(tblClean[[#This Row],[Date]]),IF(WEEKDAY(tblClean[[#This Row],[Date]],2)&gt;=6,"Weekend","Weekday"),"")</f>
        <v>Weekday</v>
      </c>
      <c r="Q24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45" s="9" t="str">
        <f>IF(ISNUMBER(tblClean[[#This Row],[Duration Hours]]),IF(tblClean[[#This Row],[Duration Hours]]&lt;2,"Short (under 2h)",IF(tblClean[[#This Row],[Duration Hours]]&lt;3,"Standard (2h to under 3h)","Long (3h or more)")),"")</f>
        <v>Short (under 2h)</v>
      </c>
      <c r="S24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45" s="24">
        <f>IF(COUNTIF(tblClean[Session ID],tblClean[[#This Row],[Session ID]])&gt;1,1,0)</f>
        <v>0</v>
      </c>
      <c r="U245" s="24">
        <f>IF(OR(N(tblClean[[#This Row],[Attributed GMV PHP]])&lt;0,N(tblClean[[#This Row],[Items Sold]])&lt;0,N(tblClean[[#This Row],[Livestream Views]])&lt;0,N(tblClean[[#This Row],[New Followers]])&lt;0),1,0)</f>
        <v>0</v>
      </c>
      <c r="V245" s="24">
        <f>IF(ISNUMBER(tblClean[[#This Row],[Duration Hours]]),IF(OR(tblClean[[#This Row],[Duration Hours]]&lt;=0,tblClean[[#This Row],[Duration Hours]]&gt;12),1,0),1)</f>
        <v>0</v>
      </c>
      <c r="W245" s="24">
        <f>IF(COUNTIF(HostRoster,tblClean[[#This Row],[Host Name]])=0,1,0)</f>
        <v>0</v>
      </c>
      <c r="X245" s="24">
        <f>IF(tblClean[[#This Row],[Missing Flag]]+tblClean[[#This Row],[Duplicate Flag]]+tblClean[[#This Row],[Negative Flag]]+tblClean[[#This Row],[Duration Flag]]+tblClean[[#This Row],[Host Flag]]=0,1,0)</f>
        <v>1</v>
      </c>
    </row>
    <row r="246" spans="1:24" x14ac:dyDescent="0.3">
      <c r="A246" s="9" t="str">
        <f>TRIM('Raw Data'!A242)</f>
        <v>LS-0238</v>
      </c>
      <c r="B246" s="10">
        <f>IF(ISNUMBER('Raw Data'!B242),INT('Raw Data'!B242),IFERROR(DATEVALUE('Raw Data'!B242),""))</f>
        <v>45868</v>
      </c>
      <c r="C246" s="9" t="str">
        <f>PROPER(TRIM('Raw Data'!C242))</f>
        <v>Bianca Reyes</v>
      </c>
      <c r="D246" s="11">
        <f>IF(ISNUMBER('Raw Data'!D242),MOD('Raw Data'!D242,1),IFERROR(TIMEVALUE('Raw Data'!D242),""))</f>
        <v>0.66666666666666663</v>
      </c>
      <c r="E246" s="11">
        <f>IF(ISNUMBER('Raw Data'!E242),MOD('Raw Data'!E242,1),IFERROR(TIMEVALUE('Raw Data'!E242),""))</f>
        <v>0.79166666666666663</v>
      </c>
      <c r="F246" s="12">
        <f>IF(ISNUMBER('Raw Data'!F242),'Raw Data'!F242,IFERROR(VALUE(SUBSTITUTE('Raw Data'!F242,",","")),""))</f>
        <v>35152</v>
      </c>
      <c r="G246" s="13">
        <f>IF(ISNUMBER('Raw Data'!G242),'Raw Data'!G242,IFERROR(VALUE(SUBSTITUTE('Raw Data'!G242,",","")),""))</f>
        <v>109</v>
      </c>
      <c r="H246" s="13">
        <f>IF(ISNUMBER('Raw Data'!H242),'Raw Data'!H242,IFERROR(VALUE(SUBSTITUTE('Raw Data'!H242,",","")),""))</f>
        <v>105743</v>
      </c>
      <c r="I246" s="13">
        <f>IF(ISNUMBER('Raw Data'!I242),'Raw Data'!I242,IFERROR(VALUE(SUBSTITUTE('Raw Data'!I242,",","")),""))</f>
        <v>1072</v>
      </c>
      <c r="J246" s="21">
        <f>IF(AND(ISNUMBER(tblClean[[#This Row],[Start Time]]),ISNUMBER(tblClean[[#This Row],[End Time]])),ROUND(MOD(tblClean[[#This Row],[End Time]]-tblClean[[#This Row],[Start Time]],1)*24,2),"")</f>
        <v>3</v>
      </c>
      <c r="K246" s="12">
        <f>IF(AND(ISNUMBER(tblClean[[#This Row],[Duration Hours]]),ISNUMBER(tblClean[[#This Row],[Attributed GMV PHP]])),IF(tblClean[[#This Row],[Duration Hours]]&gt;0,tblClean[[#This Row],[Attributed GMV PHP]]/tblClean[[#This Row],[Duration Hours]],""),"")</f>
        <v>11717.333333333334</v>
      </c>
      <c r="L246" s="22">
        <f>IF(ISNUMBER(tblClean[[#This Row],[Date]]),DATE(YEAR(tblClean[[#This Row],[Date]]),MONTH(tblClean[[#This Row],[Date]]),1),"")</f>
        <v>45839</v>
      </c>
      <c r="M246" s="10">
        <f>IF(ISNUMBER(tblClean[[#This Row],[Date]]),tblClean[[#This Row],[Date]]-WEEKDAY(tblClean[[#This Row],[Date]],2)+1,"")</f>
        <v>45866</v>
      </c>
      <c r="N246" s="23">
        <f>IF(ISNUMBER(tblClean[[#This Row],[Week Start]]),(tblClean[[#This Row],[Week Start]]-MIN(tblClean[Week Start]))/7+1,"")</f>
        <v>9</v>
      </c>
      <c r="O246" s="24" t="str">
        <f>IF(ISNUMBER(tblClean[[#This Row],[Date]]),CHOOSE(WEEKDAY(tblClean[[#This Row],[Date]],2),"Mon","Tue","Wed","Thu","Fri","Sat","Sun"),"")</f>
        <v>Wed</v>
      </c>
      <c r="P246" s="24" t="str">
        <f>IF(ISNUMBER(tblClean[[#This Row],[Date]]),IF(WEEKDAY(tblClean[[#This Row],[Date]],2)&gt;=6,"Weekend","Weekday"),"")</f>
        <v>Weekday</v>
      </c>
      <c r="Q24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46" s="9" t="str">
        <f>IF(ISNUMBER(tblClean[[#This Row],[Duration Hours]]),IF(tblClean[[#This Row],[Duration Hours]]&lt;2,"Short (under 2h)",IF(tblClean[[#This Row],[Duration Hours]]&lt;3,"Standard (2h to under 3h)","Long (3h or more)")),"")</f>
        <v>Long (3h or more)</v>
      </c>
      <c r="S24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46" s="24">
        <f>IF(COUNTIF(tblClean[Session ID],tblClean[[#This Row],[Session ID]])&gt;1,1,0)</f>
        <v>0</v>
      </c>
      <c r="U246" s="24">
        <f>IF(OR(N(tblClean[[#This Row],[Attributed GMV PHP]])&lt;0,N(tblClean[[#This Row],[Items Sold]])&lt;0,N(tblClean[[#This Row],[Livestream Views]])&lt;0,N(tblClean[[#This Row],[New Followers]])&lt;0),1,0)</f>
        <v>0</v>
      </c>
      <c r="V246" s="24">
        <f>IF(ISNUMBER(tblClean[[#This Row],[Duration Hours]]),IF(OR(tblClean[[#This Row],[Duration Hours]]&lt;=0,tblClean[[#This Row],[Duration Hours]]&gt;12),1,0),1)</f>
        <v>0</v>
      </c>
      <c r="W246" s="24">
        <f>IF(COUNTIF(HostRoster,tblClean[[#This Row],[Host Name]])=0,1,0)</f>
        <v>0</v>
      </c>
      <c r="X246" s="24">
        <f>IF(tblClean[[#This Row],[Missing Flag]]+tblClean[[#This Row],[Duplicate Flag]]+tblClean[[#This Row],[Negative Flag]]+tblClean[[#This Row],[Duration Flag]]+tblClean[[#This Row],[Host Flag]]=0,1,0)</f>
        <v>1</v>
      </c>
    </row>
    <row r="247" spans="1:24" x14ac:dyDescent="0.3">
      <c r="A247" s="9" t="str">
        <f>TRIM('Raw Data'!A243)</f>
        <v>LS-0239</v>
      </c>
      <c r="B247" s="10">
        <f>IF(ISNUMBER('Raw Data'!B243),INT('Raw Data'!B243),IFERROR(DATEVALUE('Raw Data'!B243),""))</f>
        <v>45868</v>
      </c>
      <c r="C247" s="9" t="str">
        <f>PROPER(TRIM('Raw Data'!C243))</f>
        <v>Bianca Reyes</v>
      </c>
      <c r="D247" s="11">
        <f>IF(ISNUMBER('Raw Data'!D243),MOD('Raw Data'!D243,1),IFERROR(TIMEVALUE('Raw Data'!D243),""))</f>
        <v>0.79166666666666663</v>
      </c>
      <c r="E247" s="11">
        <f>IF(ISNUMBER('Raw Data'!E243),MOD('Raw Data'!E243,1),IFERROR(TIMEVALUE('Raw Data'!E243),""))</f>
        <v>0.91666666666666663</v>
      </c>
      <c r="F247" s="12">
        <f>IF(ISNUMBER('Raw Data'!F243),'Raw Data'!F243,IFERROR(VALUE(SUBSTITUTE('Raw Data'!F243,",","")),""))</f>
        <v>67564</v>
      </c>
      <c r="G247" s="13">
        <f>IF(ISNUMBER('Raw Data'!G243),'Raw Data'!G243,IFERROR(VALUE(SUBSTITUTE('Raw Data'!G243,",","")),""))</f>
        <v>257</v>
      </c>
      <c r="H247" s="13">
        <f>IF(ISNUMBER('Raw Data'!H243),'Raw Data'!H243,IFERROR(VALUE(SUBSTITUTE('Raw Data'!H243,",","")),""))</f>
        <v>188976</v>
      </c>
      <c r="I247" s="13">
        <f>IF(ISNUMBER('Raw Data'!I243),'Raw Data'!I243,IFERROR(VALUE(SUBSTITUTE('Raw Data'!I243,",","")),""))</f>
        <v>839</v>
      </c>
      <c r="J247" s="21">
        <f>IF(AND(ISNUMBER(tblClean[[#This Row],[Start Time]]),ISNUMBER(tblClean[[#This Row],[End Time]])),ROUND(MOD(tblClean[[#This Row],[End Time]]-tblClean[[#This Row],[Start Time]],1)*24,2),"")</f>
        <v>3</v>
      </c>
      <c r="K247" s="12">
        <f>IF(AND(ISNUMBER(tblClean[[#This Row],[Duration Hours]]),ISNUMBER(tblClean[[#This Row],[Attributed GMV PHP]])),IF(tblClean[[#This Row],[Duration Hours]]&gt;0,tblClean[[#This Row],[Attributed GMV PHP]]/tblClean[[#This Row],[Duration Hours]],""),"")</f>
        <v>22521.333333333332</v>
      </c>
      <c r="L247" s="22">
        <f>IF(ISNUMBER(tblClean[[#This Row],[Date]]),DATE(YEAR(tblClean[[#This Row],[Date]]),MONTH(tblClean[[#This Row],[Date]]),1),"")</f>
        <v>45839</v>
      </c>
      <c r="M247" s="10">
        <f>IF(ISNUMBER(tblClean[[#This Row],[Date]]),tblClean[[#This Row],[Date]]-WEEKDAY(tblClean[[#This Row],[Date]],2)+1,"")</f>
        <v>45866</v>
      </c>
      <c r="N247" s="23">
        <f>IF(ISNUMBER(tblClean[[#This Row],[Week Start]]),(tblClean[[#This Row],[Week Start]]-MIN(tblClean[Week Start]))/7+1,"")</f>
        <v>9</v>
      </c>
      <c r="O247" s="24" t="str">
        <f>IF(ISNUMBER(tblClean[[#This Row],[Date]]),CHOOSE(WEEKDAY(tblClean[[#This Row],[Date]],2),"Mon","Tue","Wed","Thu","Fri","Sat","Sun"),"")</f>
        <v>Wed</v>
      </c>
      <c r="P247" s="24" t="str">
        <f>IF(ISNUMBER(tblClean[[#This Row],[Date]]),IF(WEEKDAY(tblClean[[#This Row],[Date]],2)&gt;=6,"Weekend","Weekday"),"")</f>
        <v>Weekday</v>
      </c>
      <c r="Q24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47" s="9" t="str">
        <f>IF(ISNUMBER(tblClean[[#This Row],[Duration Hours]]),IF(tblClean[[#This Row],[Duration Hours]]&lt;2,"Short (under 2h)",IF(tblClean[[#This Row],[Duration Hours]]&lt;3,"Standard (2h to under 3h)","Long (3h or more)")),"")</f>
        <v>Long (3h or more)</v>
      </c>
      <c r="S24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47" s="24">
        <f>IF(COUNTIF(tblClean[Session ID],tblClean[[#This Row],[Session ID]])&gt;1,1,0)</f>
        <v>0</v>
      </c>
      <c r="U247" s="24">
        <f>IF(OR(N(tblClean[[#This Row],[Attributed GMV PHP]])&lt;0,N(tblClean[[#This Row],[Items Sold]])&lt;0,N(tblClean[[#This Row],[Livestream Views]])&lt;0,N(tblClean[[#This Row],[New Followers]])&lt;0),1,0)</f>
        <v>0</v>
      </c>
      <c r="V247" s="24">
        <f>IF(ISNUMBER(tblClean[[#This Row],[Duration Hours]]),IF(OR(tblClean[[#This Row],[Duration Hours]]&lt;=0,tblClean[[#This Row],[Duration Hours]]&gt;12),1,0),1)</f>
        <v>0</v>
      </c>
      <c r="W247" s="24">
        <f>IF(COUNTIF(HostRoster,tblClean[[#This Row],[Host Name]])=0,1,0)</f>
        <v>0</v>
      </c>
      <c r="X247" s="24">
        <f>IF(tblClean[[#This Row],[Missing Flag]]+tblClean[[#This Row],[Duplicate Flag]]+tblClean[[#This Row],[Negative Flag]]+tblClean[[#This Row],[Duration Flag]]+tblClean[[#This Row],[Host Flag]]=0,1,0)</f>
        <v>1</v>
      </c>
    </row>
    <row r="248" spans="1:24" x14ac:dyDescent="0.3">
      <c r="A248" s="9" t="str">
        <f>TRIM('Raw Data'!A244)</f>
        <v>LS-0240</v>
      </c>
      <c r="B248" s="10">
        <f>IF(ISNUMBER('Raw Data'!B244),INT('Raw Data'!B244),IFERROR(DATEVALUE('Raw Data'!B244),""))</f>
        <v>45868</v>
      </c>
      <c r="C248" s="9" t="str">
        <f>PROPER(TRIM('Raw Data'!C244))</f>
        <v>Carlo Mendoza</v>
      </c>
      <c r="D248" s="11">
        <f>IF(ISNUMBER('Raw Data'!D244),MOD('Raw Data'!D244,1),IFERROR(TIMEVALUE('Raw Data'!D244),""))</f>
        <v>0.91666666666666663</v>
      </c>
      <c r="E248" s="11">
        <f>IF(ISNUMBER('Raw Data'!E244),MOD('Raw Data'!E244,1),IFERROR(TIMEVALUE('Raw Data'!E244),""))</f>
        <v>4.1666666666666657E-2</v>
      </c>
      <c r="F248" s="12">
        <f>IF(ISNUMBER('Raw Data'!F244),'Raw Data'!F244,IFERROR(VALUE(SUBSTITUTE('Raw Data'!F244,",","")),""))</f>
        <v>62787</v>
      </c>
      <c r="G248" s="13">
        <f>IF(ISNUMBER('Raw Data'!G244),'Raw Data'!G244,IFERROR(VALUE(SUBSTITUTE('Raw Data'!G244,",","")),""))</f>
        <v>179</v>
      </c>
      <c r="H248" s="13">
        <f>IF(ISNUMBER('Raw Data'!H244),'Raw Data'!H244,IFERROR(VALUE(SUBSTITUTE('Raw Data'!H244,",","")),""))</f>
        <v>239422</v>
      </c>
      <c r="I248" s="13">
        <f>IF(ISNUMBER('Raw Data'!I244),'Raw Data'!I244,IFERROR(VALUE(SUBSTITUTE('Raw Data'!I244,",","")),""))</f>
        <v>1969</v>
      </c>
      <c r="J248" s="21">
        <f>IF(AND(ISNUMBER(tblClean[[#This Row],[Start Time]]),ISNUMBER(tblClean[[#This Row],[End Time]])),ROUND(MOD(tblClean[[#This Row],[End Time]]-tblClean[[#This Row],[Start Time]],1)*24,2),"")</f>
        <v>3</v>
      </c>
      <c r="K248" s="12">
        <f>IF(AND(ISNUMBER(tblClean[[#This Row],[Duration Hours]]),ISNUMBER(tblClean[[#This Row],[Attributed GMV PHP]])),IF(tblClean[[#This Row],[Duration Hours]]&gt;0,tblClean[[#This Row],[Attributed GMV PHP]]/tblClean[[#This Row],[Duration Hours]],""),"")</f>
        <v>20929</v>
      </c>
      <c r="L248" s="22">
        <f>IF(ISNUMBER(tblClean[[#This Row],[Date]]),DATE(YEAR(tblClean[[#This Row],[Date]]),MONTH(tblClean[[#This Row],[Date]]),1),"")</f>
        <v>45839</v>
      </c>
      <c r="M248" s="10">
        <f>IF(ISNUMBER(tblClean[[#This Row],[Date]]),tblClean[[#This Row],[Date]]-WEEKDAY(tblClean[[#This Row],[Date]],2)+1,"")</f>
        <v>45866</v>
      </c>
      <c r="N248" s="23">
        <f>IF(ISNUMBER(tblClean[[#This Row],[Week Start]]),(tblClean[[#This Row],[Week Start]]-MIN(tblClean[Week Start]))/7+1,"")</f>
        <v>9</v>
      </c>
      <c r="O248" s="24" t="str">
        <f>IF(ISNUMBER(tblClean[[#This Row],[Date]]),CHOOSE(WEEKDAY(tblClean[[#This Row],[Date]],2),"Mon","Tue","Wed","Thu","Fri","Sat","Sun"),"")</f>
        <v>Wed</v>
      </c>
      <c r="P248" s="24" t="str">
        <f>IF(ISNUMBER(tblClean[[#This Row],[Date]]),IF(WEEKDAY(tblClean[[#This Row],[Date]],2)&gt;=6,"Weekend","Weekday"),"")</f>
        <v>Weekday</v>
      </c>
      <c r="Q24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48" s="9" t="str">
        <f>IF(ISNUMBER(tblClean[[#This Row],[Duration Hours]]),IF(tblClean[[#This Row],[Duration Hours]]&lt;2,"Short (under 2h)",IF(tblClean[[#This Row],[Duration Hours]]&lt;3,"Standard (2h to under 3h)","Long (3h or more)")),"")</f>
        <v>Long (3h or more)</v>
      </c>
      <c r="S24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48" s="24">
        <f>IF(COUNTIF(tblClean[Session ID],tblClean[[#This Row],[Session ID]])&gt;1,1,0)</f>
        <v>0</v>
      </c>
      <c r="U248" s="24">
        <f>IF(OR(N(tblClean[[#This Row],[Attributed GMV PHP]])&lt;0,N(tblClean[[#This Row],[Items Sold]])&lt;0,N(tblClean[[#This Row],[Livestream Views]])&lt;0,N(tblClean[[#This Row],[New Followers]])&lt;0),1,0)</f>
        <v>0</v>
      </c>
      <c r="V248" s="24">
        <f>IF(ISNUMBER(tblClean[[#This Row],[Duration Hours]]),IF(OR(tblClean[[#This Row],[Duration Hours]]&lt;=0,tblClean[[#This Row],[Duration Hours]]&gt;12),1,0),1)</f>
        <v>0</v>
      </c>
      <c r="W248" s="24">
        <f>IF(COUNTIF(HostRoster,tblClean[[#This Row],[Host Name]])=0,1,0)</f>
        <v>0</v>
      </c>
      <c r="X248" s="24">
        <f>IF(tblClean[[#This Row],[Missing Flag]]+tblClean[[#This Row],[Duplicate Flag]]+tblClean[[#This Row],[Negative Flag]]+tblClean[[#This Row],[Duration Flag]]+tblClean[[#This Row],[Host Flag]]=0,1,0)</f>
        <v>1</v>
      </c>
    </row>
    <row r="249" spans="1:24" x14ac:dyDescent="0.3">
      <c r="A249" s="9" t="str">
        <f>TRIM('Raw Data'!A245)</f>
        <v>LS-0241</v>
      </c>
      <c r="B249" s="10">
        <f>IF(ISNUMBER('Raw Data'!B245),INT('Raw Data'!B245),IFERROR(DATEVALUE('Raw Data'!B245),""))</f>
        <v>45869</v>
      </c>
      <c r="C249" s="9" t="str">
        <f>PROPER(TRIM('Raw Data'!C245))</f>
        <v>Dani Villanueva</v>
      </c>
      <c r="D249" s="11">
        <f>IF(ISNUMBER('Raw Data'!D245),MOD('Raw Data'!D245,1),IFERROR(TIMEVALUE('Raw Data'!D245),""))</f>
        <v>0.41666666666666669</v>
      </c>
      <c r="E249" s="11">
        <f>IF(ISNUMBER('Raw Data'!E245),MOD('Raw Data'!E245,1),IFERROR(TIMEVALUE('Raw Data'!E245),""))</f>
        <v>0.5</v>
      </c>
      <c r="F249" s="12">
        <f>IF(ISNUMBER('Raw Data'!F245),'Raw Data'!F245,IFERROR(VALUE(SUBSTITUTE('Raw Data'!F245,",","")),""))</f>
        <v>3175</v>
      </c>
      <c r="G249" s="13">
        <f>IF(ISNUMBER('Raw Data'!G245),'Raw Data'!G245,IFERROR(VALUE(SUBSTITUTE('Raw Data'!G245,",","")),""))</f>
        <v>10</v>
      </c>
      <c r="H249" s="13">
        <f>IF(ISNUMBER('Raw Data'!H245),'Raw Data'!H245,IFERROR(VALUE(SUBSTITUTE('Raw Data'!H245,",","")),""))</f>
        <v>10246</v>
      </c>
      <c r="I249" s="13">
        <f>IF(ISNUMBER('Raw Data'!I245),'Raw Data'!I245,IFERROR(VALUE(SUBSTITUTE('Raw Data'!I245,",","")),""))</f>
        <v>85</v>
      </c>
      <c r="J249" s="21">
        <f>IF(AND(ISNUMBER(tblClean[[#This Row],[Start Time]]),ISNUMBER(tblClean[[#This Row],[End Time]])),ROUND(MOD(tblClean[[#This Row],[End Time]]-tblClean[[#This Row],[Start Time]],1)*24,2),"")</f>
        <v>2</v>
      </c>
      <c r="K249" s="12">
        <f>IF(AND(ISNUMBER(tblClean[[#This Row],[Duration Hours]]),ISNUMBER(tblClean[[#This Row],[Attributed GMV PHP]])),IF(tblClean[[#This Row],[Duration Hours]]&gt;0,tblClean[[#This Row],[Attributed GMV PHP]]/tblClean[[#This Row],[Duration Hours]],""),"")</f>
        <v>1587.5</v>
      </c>
      <c r="L249" s="22">
        <f>IF(ISNUMBER(tblClean[[#This Row],[Date]]),DATE(YEAR(tblClean[[#This Row],[Date]]),MONTH(tblClean[[#This Row],[Date]]),1),"")</f>
        <v>45839</v>
      </c>
      <c r="M249" s="10">
        <f>IF(ISNUMBER(tblClean[[#This Row],[Date]]),tblClean[[#This Row],[Date]]-WEEKDAY(tblClean[[#This Row],[Date]],2)+1,"")</f>
        <v>45866</v>
      </c>
      <c r="N249" s="23">
        <f>IF(ISNUMBER(tblClean[[#This Row],[Week Start]]),(tblClean[[#This Row],[Week Start]]-MIN(tblClean[Week Start]))/7+1,"")</f>
        <v>9</v>
      </c>
      <c r="O249" s="24" t="str">
        <f>IF(ISNUMBER(tblClean[[#This Row],[Date]]),CHOOSE(WEEKDAY(tblClean[[#This Row],[Date]],2),"Mon","Tue","Wed","Thu","Fri","Sat","Sun"),"")</f>
        <v>Thu</v>
      </c>
      <c r="P249" s="24" t="str">
        <f>IF(ISNUMBER(tblClean[[#This Row],[Date]]),IF(WEEKDAY(tblClean[[#This Row],[Date]],2)&gt;=6,"Weekend","Weekday"),"")</f>
        <v>Weekday</v>
      </c>
      <c r="Q24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49" s="9" t="str">
        <f>IF(ISNUMBER(tblClean[[#This Row],[Duration Hours]]),IF(tblClean[[#This Row],[Duration Hours]]&lt;2,"Short (under 2h)",IF(tblClean[[#This Row],[Duration Hours]]&lt;3,"Standard (2h to under 3h)","Long (3h or more)")),"")</f>
        <v>Standard (2h to under 3h)</v>
      </c>
      <c r="S24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49" s="24">
        <f>IF(COUNTIF(tblClean[Session ID],tblClean[[#This Row],[Session ID]])&gt;1,1,0)</f>
        <v>0</v>
      </c>
      <c r="U249" s="24">
        <f>IF(OR(N(tblClean[[#This Row],[Attributed GMV PHP]])&lt;0,N(tblClean[[#This Row],[Items Sold]])&lt;0,N(tblClean[[#This Row],[Livestream Views]])&lt;0,N(tblClean[[#This Row],[New Followers]])&lt;0),1,0)</f>
        <v>0</v>
      </c>
      <c r="V249" s="24">
        <f>IF(ISNUMBER(tblClean[[#This Row],[Duration Hours]]),IF(OR(tblClean[[#This Row],[Duration Hours]]&lt;=0,tblClean[[#This Row],[Duration Hours]]&gt;12),1,0),1)</f>
        <v>0</v>
      </c>
      <c r="W249" s="24">
        <f>IF(COUNTIF(HostRoster,tblClean[[#This Row],[Host Name]])=0,1,0)</f>
        <v>0</v>
      </c>
      <c r="X249" s="24">
        <f>IF(tblClean[[#This Row],[Missing Flag]]+tblClean[[#This Row],[Duplicate Flag]]+tblClean[[#This Row],[Negative Flag]]+tblClean[[#This Row],[Duration Flag]]+tblClean[[#This Row],[Host Flag]]=0,1,0)</f>
        <v>1</v>
      </c>
    </row>
    <row r="250" spans="1:24" x14ac:dyDescent="0.3">
      <c r="A250" s="9" t="str">
        <f>TRIM('Raw Data'!A246)</f>
        <v>LS-0242</v>
      </c>
      <c r="B250" s="10">
        <f>IF(ISNUMBER('Raw Data'!B246),INT('Raw Data'!B246),IFERROR(DATEVALUE('Raw Data'!B246),""))</f>
        <v>45869</v>
      </c>
      <c r="C250" s="9" t="str">
        <f>PROPER(TRIM('Raw Data'!C246))</f>
        <v>Bianca Reyes</v>
      </c>
      <c r="D250" s="11">
        <f>IF(ISNUMBER('Raw Data'!D246),MOD('Raw Data'!D246,1),IFERROR(TIMEVALUE('Raw Data'!D246),""))</f>
        <v>0.54166666666666663</v>
      </c>
      <c r="E250" s="11">
        <f>IF(ISNUMBER('Raw Data'!E246),MOD('Raw Data'!E246,1),IFERROR(TIMEVALUE('Raw Data'!E246),""))</f>
        <v>0.625</v>
      </c>
      <c r="F250" s="12">
        <f>IF(ISNUMBER('Raw Data'!F246),'Raw Data'!F246,IFERROR(VALUE(SUBSTITUTE('Raw Data'!F246,",","")),""))</f>
        <v>18387</v>
      </c>
      <c r="G250" s="13">
        <f>IF(ISNUMBER('Raw Data'!G246),'Raw Data'!G246,IFERROR(VALUE(SUBSTITUTE('Raw Data'!G246,",","")),""))</f>
        <v>52</v>
      </c>
      <c r="H250" s="13">
        <f>IF(ISNUMBER('Raw Data'!H246),'Raw Data'!H246,IFERROR(VALUE(SUBSTITUTE('Raw Data'!H246,",","")),""))</f>
        <v>68841</v>
      </c>
      <c r="I250" s="13">
        <f>IF(ISNUMBER('Raw Data'!I246),'Raw Data'!I246,IFERROR(VALUE(SUBSTITUTE('Raw Data'!I246,",","")),""))</f>
        <v>726</v>
      </c>
      <c r="J250" s="21">
        <f>IF(AND(ISNUMBER(tblClean[[#This Row],[Start Time]]),ISNUMBER(tblClean[[#This Row],[End Time]])),ROUND(MOD(tblClean[[#This Row],[End Time]]-tblClean[[#This Row],[Start Time]],1)*24,2),"")</f>
        <v>2</v>
      </c>
      <c r="K250" s="12">
        <f>IF(AND(ISNUMBER(tblClean[[#This Row],[Duration Hours]]),ISNUMBER(tblClean[[#This Row],[Attributed GMV PHP]])),IF(tblClean[[#This Row],[Duration Hours]]&gt;0,tblClean[[#This Row],[Attributed GMV PHP]]/tblClean[[#This Row],[Duration Hours]],""),"")</f>
        <v>9193.5</v>
      </c>
      <c r="L250" s="22">
        <f>IF(ISNUMBER(tblClean[[#This Row],[Date]]),DATE(YEAR(tblClean[[#This Row],[Date]]),MONTH(tblClean[[#This Row],[Date]]),1),"")</f>
        <v>45839</v>
      </c>
      <c r="M250" s="10">
        <f>IF(ISNUMBER(tblClean[[#This Row],[Date]]),tblClean[[#This Row],[Date]]-WEEKDAY(tblClean[[#This Row],[Date]],2)+1,"")</f>
        <v>45866</v>
      </c>
      <c r="N250" s="23">
        <f>IF(ISNUMBER(tblClean[[#This Row],[Week Start]]),(tblClean[[#This Row],[Week Start]]-MIN(tblClean[Week Start]))/7+1,"")</f>
        <v>9</v>
      </c>
      <c r="O250" s="24" t="str">
        <f>IF(ISNUMBER(tblClean[[#This Row],[Date]]),CHOOSE(WEEKDAY(tblClean[[#This Row],[Date]],2),"Mon","Tue","Wed","Thu","Fri","Sat","Sun"),"")</f>
        <v>Thu</v>
      </c>
      <c r="P250" s="24" t="str">
        <f>IF(ISNUMBER(tblClean[[#This Row],[Date]]),IF(WEEKDAY(tblClean[[#This Row],[Date]],2)&gt;=6,"Weekend","Weekday"),"")</f>
        <v>Weekday</v>
      </c>
      <c r="Q25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50" s="9" t="str">
        <f>IF(ISNUMBER(tblClean[[#This Row],[Duration Hours]]),IF(tblClean[[#This Row],[Duration Hours]]&lt;2,"Short (under 2h)",IF(tblClean[[#This Row],[Duration Hours]]&lt;3,"Standard (2h to under 3h)","Long (3h or more)")),"")</f>
        <v>Standard (2h to under 3h)</v>
      </c>
      <c r="S25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50" s="24">
        <f>IF(COUNTIF(tblClean[Session ID],tblClean[[#This Row],[Session ID]])&gt;1,1,0)</f>
        <v>0</v>
      </c>
      <c r="U250" s="24">
        <f>IF(OR(N(tblClean[[#This Row],[Attributed GMV PHP]])&lt;0,N(tblClean[[#This Row],[Items Sold]])&lt;0,N(tblClean[[#This Row],[Livestream Views]])&lt;0,N(tblClean[[#This Row],[New Followers]])&lt;0),1,0)</f>
        <v>0</v>
      </c>
      <c r="V250" s="24">
        <f>IF(ISNUMBER(tblClean[[#This Row],[Duration Hours]]),IF(OR(tblClean[[#This Row],[Duration Hours]]&lt;=0,tblClean[[#This Row],[Duration Hours]]&gt;12),1,0),1)</f>
        <v>0</v>
      </c>
      <c r="W250" s="24">
        <f>IF(COUNTIF(HostRoster,tblClean[[#This Row],[Host Name]])=0,1,0)</f>
        <v>0</v>
      </c>
      <c r="X250" s="24">
        <f>IF(tblClean[[#This Row],[Missing Flag]]+tblClean[[#This Row],[Duplicate Flag]]+tblClean[[#This Row],[Negative Flag]]+tblClean[[#This Row],[Duration Flag]]+tblClean[[#This Row],[Host Flag]]=0,1,0)</f>
        <v>1</v>
      </c>
    </row>
    <row r="251" spans="1:24" x14ac:dyDescent="0.3">
      <c r="A251" s="9" t="str">
        <f>TRIM('Raw Data'!A247)</f>
        <v>LS-0243</v>
      </c>
      <c r="B251" s="10">
        <f>IF(ISNUMBER('Raw Data'!B247),INT('Raw Data'!B247),IFERROR(DATEVALUE('Raw Data'!B247),""))</f>
        <v>45869</v>
      </c>
      <c r="C251" s="9" t="str">
        <f>PROPER(TRIM('Raw Data'!C247))</f>
        <v>Carlo Mendoza</v>
      </c>
      <c r="D251" s="11">
        <f>IF(ISNUMBER('Raw Data'!D247),MOD('Raw Data'!D247,1),IFERROR(TIMEVALUE('Raw Data'!D247),""))</f>
        <v>0.66666666666666663</v>
      </c>
      <c r="E251" s="11">
        <f>IF(ISNUMBER('Raw Data'!E247),MOD('Raw Data'!E247,1),IFERROR(TIMEVALUE('Raw Data'!E247),""))</f>
        <v>0.75</v>
      </c>
      <c r="F251" s="12">
        <f>IF(ISNUMBER('Raw Data'!F247),'Raw Data'!F247,IFERROR(VALUE(SUBSTITUTE('Raw Data'!F247,",","")),""))</f>
        <v>40595</v>
      </c>
      <c r="G251" s="13">
        <f>IF(ISNUMBER('Raw Data'!G247),'Raw Data'!G247,IFERROR(VALUE(SUBSTITUTE('Raw Data'!G247,",","")),""))</f>
        <v>130</v>
      </c>
      <c r="H251" s="13">
        <f>IF(ISNUMBER('Raw Data'!H247),'Raw Data'!H247,IFERROR(VALUE(SUBSTITUTE('Raw Data'!H247,",","")),""))</f>
        <v>231619</v>
      </c>
      <c r="I251" s="13">
        <f>IF(ISNUMBER('Raw Data'!I247),'Raw Data'!I247,IFERROR(VALUE(SUBSTITUTE('Raw Data'!I247,",","")),""))</f>
        <v>2784</v>
      </c>
      <c r="J251" s="21">
        <f>IF(AND(ISNUMBER(tblClean[[#This Row],[Start Time]]),ISNUMBER(tblClean[[#This Row],[End Time]])),ROUND(MOD(tblClean[[#This Row],[End Time]]-tblClean[[#This Row],[Start Time]],1)*24,2),"")</f>
        <v>2</v>
      </c>
      <c r="K251" s="12">
        <f>IF(AND(ISNUMBER(tblClean[[#This Row],[Duration Hours]]),ISNUMBER(tblClean[[#This Row],[Attributed GMV PHP]])),IF(tblClean[[#This Row],[Duration Hours]]&gt;0,tblClean[[#This Row],[Attributed GMV PHP]]/tblClean[[#This Row],[Duration Hours]],""),"")</f>
        <v>20297.5</v>
      </c>
      <c r="L251" s="22">
        <f>IF(ISNUMBER(tblClean[[#This Row],[Date]]),DATE(YEAR(tblClean[[#This Row],[Date]]),MONTH(tblClean[[#This Row],[Date]]),1),"")</f>
        <v>45839</v>
      </c>
      <c r="M251" s="10">
        <f>IF(ISNUMBER(tblClean[[#This Row],[Date]]),tblClean[[#This Row],[Date]]-WEEKDAY(tblClean[[#This Row],[Date]],2)+1,"")</f>
        <v>45866</v>
      </c>
      <c r="N251" s="23">
        <f>IF(ISNUMBER(tblClean[[#This Row],[Week Start]]),(tblClean[[#This Row],[Week Start]]-MIN(tblClean[Week Start]))/7+1,"")</f>
        <v>9</v>
      </c>
      <c r="O251" s="24" t="str">
        <f>IF(ISNUMBER(tblClean[[#This Row],[Date]]),CHOOSE(WEEKDAY(tblClean[[#This Row],[Date]],2),"Mon","Tue","Wed","Thu","Fri","Sat","Sun"),"")</f>
        <v>Thu</v>
      </c>
      <c r="P251" s="24" t="str">
        <f>IF(ISNUMBER(tblClean[[#This Row],[Date]]),IF(WEEKDAY(tblClean[[#This Row],[Date]],2)&gt;=6,"Weekend","Weekday"),"")</f>
        <v>Weekday</v>
      </c>
      <c r="Q25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51" s="9" t="str">
        <f>IF(ISNUMBER(tblClean[[#This Row],[Duration Hours]]),IF(tblClean[[#This Row],[Duration Hours]]&lt;2,"Short (under 2h)",IF(tblClean[[#This Row],[Duration Hours]]&lt;3,"Standard (2h to under 3h)","Long (3h or more)")),"")</f>
        <v>Standard (2h to under 3h)</v>
      </c>
      <c r="S25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51" s="24">
        <f>IF(COUNTIF(tblClean[Session ID],tblClean[[#This Row],[Session ID]])&gt;1,1,0)</f>
        <v>0</v>
      </c>
      <c r="U251" s="24">
        <f>IF(OR(N(tblClean[[#This Row],[Attributed GMV PHP]])&lt;0,N(tblClean[[#This Row],[Items Sold]])&lt;0,N(tblClean[[#This Row],[Livestream Views]])&lt;0,N(tblClean[[#This Row],[New Followers]])&lt;0),1,0)</f>
        <v>0</v>
      </c>
      <c r="V251" s="24">
        <f>IF(ISNUMBER(tblClean[[#This Row],[Duration Hours]]),IF(OR(tblClean[[#This Row],[Duration Hours]]&lt;=0,tblClean[[#This Row],[Duration Hours]]&gt;12),1,0),1)</f>
        <v>0</v>
      </c>
      <c r="W251" s="24">
        <f>IF(COUNTIF(HostRoster,tblClean[[#This Row],[Host Name]])=0,1,0)</f>
        <v>0</v>
      </c>
      <c r="X251" s="24">
        <f>IF(tblClean[[#This Row],[Missing Flag]]+tblClean[[#This Row],[Duplicate Flag]]+tblClean[[#This Row],[Negative Flag]]+tblClean[[#This Row],[Duration Flag]]+tblClean[[#This Row],[Host Flag]]=0,1,0)</f>
        <v>1</v>
      </c>
    </row>
    <row r="252" spans="1:24" x14ac:dyDescent="0.3">
      <c r="A252" s="9" t="str">
        <f>TRIM('Raw Data'!A248)</f>
        <v>LS-0244</v>
      </c>
      <c r="B252" s="10">
        <f>IF(ISNUMBER('Raw Data'!B248),INT('Raw Data'!B248),IFERROR(DATEVALUE('Raw Data'!B248),""))</f>
        <v>45869</v>
      </c>
      <c r="C252" s="9" t="str">
        <f>PROPER(TRIM('Raw Data'!C248))</f>
        <v>Aira Valdez</v>
      </c>
      <c r="D252" s="11">
        <f>IF(ISNUMBER('Raw Data'!D248),MOD('Raw Data'!D248,1),IFERROR(TIMEVALUE('Raw Data'!D248),""))</f>
        <v>0.79166666666666663</v>
      </c>
      <c r="E252" s="11">
        <f>IF(ISNUMBER('Raw Data'!E248),MOD('Raw Data'!E248,1),IFERROR(TIMEVALUE('Raw Data'!E248),""))</f>
        <v>0.91666666666666663</v>
      </c>
      <c r="F252" s="12">
        <f>IF(ISNUMBER('Raw Data'!F248),'Raw Data'!F248,IFERROR(VALUE(SUBSTITUTE('Raw Data'!F248,",","")),""))</f>
        <v>84455</v>
      </c>
      <c r="G252" s="13">
        <f>IF(ISNUMBER('Raw Data'!G248),'Raw Data'!G248,IFERROR(VALUE(SUBSTITUTE('Raw Data'!G248,",","")),""))</f>
        <v>322</v>
      </c>
      <c r="H252" s="13">
        <f>IF(ISNUMBER('Raw Data'!H248),'Raw Data'!H248,IFERROR(VALUE(SUBSTITUTE('Raw Data'!H248,",","")),""))</f>
        <v>373346</v>
      </c>
      <c r="I252" s="13">
        <f>IF(ISNUMBER('Raw Data'!I248),'Raw Data'!I248,IFERROR(VALUE(SUBSTITUTE('Raw Data'!I248,",","")),""))</f>
        <v>2372</v>
      </c>
      <c r="J252" s="21">
        <f>IF(AND(ISNUMBER(tblClean[[#This Row],[Start Time]]),ISNUMBER(tblClean[[#This Row],[End Time]])),ROUND(MOD(tblClean[[#This Row],[End Time]]-tblClean[[#This Row],[Start Time]],1)*24,2),"")</f>
        <v>3</v>
      </c>
      <c r="K252" s="12">
        <f>IF(AND(ISNUMBER(tblClean[[#This Row],[Duration Hours]]),ISNUMBER(tblClean[[#This Row],[Attributed GMV PHP]])),IF(tblClean[[#This Row],[Duration Hours]]&gt;0,tblClean[[#This Row],[Attributed GMV PHP]]/tblClean[[#This Row],[Duration Hours]],""),"")</f>
        <v>28151.666666666668</v>
      </c>
      <c r="L252" s="22">
        <f>IF(ISNUMBER(tblClean[[#This Row],[Date]]),DATE(YEAR(tblClean[[#This Row],[Date]]),MONTH(tblClean[[#This Row],[Date]]),1),"")</f>
        <v>45839</v>
      </c>
      <c r="M252" s="10">
        <f>IF(ISNUMBER(tblClean[[#This Row],[Date]]),tblClean[[#This Row],[Date]]-WEEKDAY(tblClean[[#This Row],[Date]],2)+1,"")</f>
        <v>45866</v>
      </c>
      <c r="N252" s="23">
        <f>IF(ISNUMBER(tblClean[[#This Row],[Week Start]]),(tblClean[[#This Row],[Week Start]]-MIN(tblClean[Week Start]))/7+1,"")</f>
        <v>9</v>
      </c>
      <c r="O252" s="24" t="str">
        <f>IF(ISNUMBER(tblClean[[#This Row],[Date]]),CHOOSE(WEEKDAY(tblClean[[#This Row],[Date]],2),"Mon","Tue","Wed","Thu","Fri","Sat","Sun"),"")</f>
        <v>Thu</v>
      </c>
      <c r="P252" s="24" t="str">
        <f>IF(ISNUMBER(tblClean[[#This Row],[Date]]),IF(WEEKDAY(tblClean[[#This Row],[Date]],2)&gt;=6,"Weekend","Weekday"),"")</f>
        <v>Weekday</v>
      </c>
      <c r="Q25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52" s="9" t="str">
        <f>IF(ISNUMBER(tblClean[[#This Row],[Duration Hours]]),IF(tblClean[[#This Row],[Duration Hours]]&lt;2,"Short (under 2h)",IF(tblClean[[#This Row],[Duration Hours]]&lt;3,"Standard (2h to under 3h)","Long (3h or more)")),"")</f>
        <v>Long (3h or more)</v>
      </c>
      <c r="S25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52" s="24">
        <f>IF(COUNTIF(tblClean[Session ID],tblClean[[#This Row],[Session ID]])&gt;1,1,0)</f>
        <v>0</v>
      </c>
      <c r="U252" s="24">
        <f>IF(OR(N(tblClean[[#This Row],[Attributed GMV PHP]])&lt;0,N(tblClean[[#This Row],[Items Sold]])&lt;0,N(tblClean[[#This Row],[Livestream Views]])&lt;0,N(tblClean[[#This Row],[New Followers]])&lt;0),1,0)</f>
        <v>0</v>
      </c>
      <c r="V252" s="24">
        <f>IF(ISNUMBER(tblClean[[#This Row],[Duration Hours]]),IF(OR(tblClean[[#This Row],[Duration Hours]]&lt;=0,tblClean[[#This Row],[Duration Hours]]&gt;12),1,0),1)</f>
        <v>0</v>
      </c>
      <c r="W252" s="24">
        <f>IF(COUNTIF(HostRoster,tblClean[[#This Row],[Host Name]])=0,1,0)</f>
        <v>0</v>
      </c>
      <c r="X252" s="24">
        <f>IF(tblClean[[#This Row],[Missing Flag]]+tblClean[[#This Row],[Duplicate Flag]]+tblClean[[#This Row],[Negative Flag]]+tblClean[[#This Row],[Duration Flag]]+tblClean[[#This Row],[Host Flag]]=0,1,0)</f>
        <v>1</v>
      </c>
    </row>
    <row r="253" spans="1:24" x14ac:dyDescent="0.3">
      <c r="A253" s="9" t="str">
        <f>TRIM('Raw Data'!A249)</f>
        <v>LS-0245</v>
      </c>
      <c r="B253" s="10">
        <f>IF(ISNUMBER('Raw Data'!B249),INT('Raw Data'!B249),IFERROR(DATEVALUE('Raw Data'!B249),""))</f>
        <v>45870</v>
      </c>
      <c r="C253" s="9" t="str">
        <f>PROPER(TRIM('Raw Data'!C249))</f>
        <v>Bianca Reyes</v>
      </c>
      <c r="D253" s="11">
        <f>IF(ISNUMBER('Raw Data'!D249),MOD('Raw Data'!D249,1),IFERROR(TIMEVALUE('Raw Data'!D249),""))</f>
        <v>0.41666666666666669</v>
      </c>
      <c r="E253" s="11">
        <f>IF(ISNUMBER('Raw Data'!E249),MOD('Raw Data'!E249,1),IFERROR(TIMEVALUE('Raw Data'!E249),""))</f>
        <v>0.54166666666666663</v>
      </c>
      <c r="F253" s="12">
        <f>IF(ISNUMBER('Raw Data'!F249),'Raw Data'!F249,IFERROR(VALUE(SUBSTITUTE('Raw Data'!F249,",","")),""))</f>
        <v>38038</v>
      </c>
      <c r="G253" s="13">
        <f>IF(ISNUMBER('Raw Data'!G249),'Raw Data'!G249,IFERROR(VALUE(SUBSTITUTE('Raw Data'!G249,",","")),""))</f>
        <v>119</v>
      </c>
      <c r="H253" s="13">
        <f>IF(ISNUMBER('Raw Data'!H249),'Raw Data'!H249,IFERROR(VALUE(SUBSTITUTE('Raw Data'!H249,",","")),""))</f>
        <v>110722</v>
      </c>
      <c r="I253" s="13">
        <f>IF(ISNUMBER('Raw Data'!I249),'Raw Data'!I249,IFERROR(VALUE(SUBSTITUTE('Raw Data'!I249,",","")),""))</f>
        <v>1202</v>
      </c>
      <c r="J253" s="21">
        <f>IF(AND(ISNUMBER(tblClean[[#This Row],[Start Time]]),ISNUMBER(tblClean[[#This Row],[End Time]])),ROUND(MOD(tblClean[[#This Row],[End Time]]-tblClean[[#This Row],[Start Time]],1)*24,2),"")</f>
        <v>3</v>
      </c>
      <c r="K253" s="12">
        <f>IF(AND(ISNUMBER(tblClean[[#This Row],[Duration Hours]]),ISNUMBER(tblClean[[#This Row],[Attributed GMV PHP]])),IF(tblClean[[#This Row],[Duration Hours]]&gt;0,tblClean[[#This Row],[Attributed GMV PHP]]/tblClean[[#This Row],[Duration Hours]],""),"")</f>
        <v>12679.333333333334</v>
      </c>
      <c r="L253" s="22">
        <f>IF(ISNUMBER(tblClean[[#This Row],[Date]]),DATE(YEAR(tblClean[[#This Row],[Date]]),MONTH(tblClean[[#This Row],[Date]]),1),"")</f>
        <v>45870</v>
      </c>
      <c r="M253" s="10">
        <f>IF(ISNUMBER(tblClean[[#This Row],[Date]]),tblClean[[#This Row],[Date]]-WEEKDAY(tblClean[[#This Row],[Date]],2)+1,"")</f>
        <v>45866</v>
      </c>
      <c r="N253" s="23">
        <f>IF(ISNUMBER(tblClean[[#This Row],[Week Start]]),(tblClean[[#This Row],[Week Start]]-MIN(tblClean[Week Start]))/7+1,"")</f>
        <v>9</v>
      </c>
      <c r="O253" s="24" t="str">
        <f>IF(ISNUMBER(tblClean[[#This Row],[Date]]),CHOOSE(WEEKDAY(tblClean[[#This Row],[Date]],2),"Mon","Tue","Wed","Thu","Fri","Sat","Sun"),"")</f>
        <v>Fri</v>
      </c>
      <c r="P253" s="24" t="str">
        <f>IF(ISNUMBER(tblClean[[#This Row],[Date]]),IF(WEEKDAY(tblClean[[#This Row],[Date]],2)&gt;=6,"Weekend","Weekday"),"")</f>
        <v>Weekday</v>
      </c>
      <c r="Q25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53" s="9" t="str">
        <f>IF(ISNUMBER(tblClean[[#This Row],[Duration Hours]]),IF(tblClean[[#This Row],[Duration Hours]]&lt;2,"Short (under 2h)",IF(tblClean[[#This Row],[Duration Hours]]&lt;3,"Standard (2h to under 3h)","Long (3h or more)")),"")</f>
        <v>Long (3h or more)</v>
      </c>
      <c r="S25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53" s="24">
        <f>IF(COUNTIF(tblClean[Session ID],tblClean[[#This Row],[Session ID]])&gt;1,1,0)</f>
        <v>0</v>
      </c>
      <c r="U253" s="24">
        <f>IF(OR(N(tblClean[[#This Row],[Attributed GMV PHP]])&lt;0,N(tblClean[[#This Row],[Items Sold]])&lt;0,N(tblClean[[#This Row],[Livestream Views]])&lt;0,N(tblClean[[#This Row],[New Followers]])&lt;0),1,0)</f>
        <v>0</v>
      </c>
      <c r="V253" s="24">
        <f>IF(ISNUMBER(tblClean[[#This Row],[Duration Hours]]),IF(OR(tblClean[[#This Row],[Duration Hours]]&lt;=0,tblClean[[#This Row],[Duration Hours]]&gt;12),1,0),1)</f>
        <v>0</v>
      </c>
      <c r="W253" s="24">
        <f>IF(COUNTIF(HostRoster,tblClean[[#This Row],[Host Name]])=0,1,0)</f>
        <v>0</v>
      </c>
      <c r="X253" s="24">
        <f>IF(tblClean[[#This Row],[Missing Flag]]+tblClean[[#This Row],[Duplicate Flag]]+tblClean[[#This Row],[Negative Flag]]+tblClean[[#This Row],[Duration Flag]]+tblClean[[#This Row],[Host Flag]]=0,1,0)</f>
        <v>1</v>
      </c>
    </row>
    <row r="254" spans="1:24" x14ac:dyDescent="0.3">
      <c r="A254" s="9" t="str">
        <f>TRIM('Raw Data'!A250)</f>
        <v>LS-0246</v>
      </c>
      <c r="B254" s="10">
        <f>IF(ISNUMBER('Raw Data'!B250),INT('Raw Data'!B250),IFERROR(DATEVALUE('Raw Data'!B250),""))</f>
        <v>45870</v>
      </c>
      <c r="C254" s="9" t="str">
        <f>PROPER(TRIM('Raw Data'!C250))</f>
        <v>Bianca Reyes</v>
      </c>
      <c r="D254" s="11">
        <f>IF(ISNUMBER('Raw Data'!D250),MOD('Raw Data'!D250,1),IFERROR(TIMEVALUE('Raw Data'!D250),""))</f>
        <v>0.66666666666666663</v>
      </c>
      <c r="E254" s="11">
        <f>IF(ISNUMBER('Raw Data'!E250),MOD('Raw Data'!E250,1),IFERROR(TIMEVALUE('Raw Data'!E250),""))</f>
        <v>0.75</v>
      </c>
      <c r="F254" s="12">
        <f>IF(ISNUMBER('Raw Data'!F250),'Raw Data'!F250,IFERROR(VALUE(SUBSTITUTE('Raw Data'!F250,",","")),""))</f>
        <v>60248</v>
      </c>
      <c r="G254" s="13">
        <f>IF(ISNUMBER('Raw Data'!G250),'Raw Data'!G250,IFERROR(VALUE(SUBSTITUTE('Raw Data'!G250,",","")),""))</f>
        <v>190</v>
      </c>
      <c r="H254" s="13">
        <f>IF(ISNUMBER('Raw Data'!H250),'Raw Data'!H250,IFERROR(VALUE(SUBSTITUTE('Raw Data'!H250,",","")),""))</f>
        <v>267455</v>
      </c>
      <c r="I254" s="13">
        <f>IF(ISNUMBER('Raw Data'!I250),'Raw Data'!I250,IFERROR(VALUE(SUBSTITUTE('Raw Data'!I250,",","")),""))</f>
        <v>2996</v>
      </c>
      <c r="J254" s="21">
        <f>IF(AND(ISNUMBER(tblClean[[#This Row],[Start Time]]),ISNUMBER(tblClean[[#This Row],[End Time]])),ROUND(MOD(tblClean[[#This Row],[End Time]]-tblClean[[#This Row],[Start Time]],1)*24,2),"")</f>
        <v>2</v>
      </c>
      <c r="K254" s="12">
        <f>IF(AND(ISNUMBER(tblClean[[#This Row],[Duration Hours]]),ISNUMBER(tblClean[[#This Row],[Attributed GMV PHP]])),IF(tblClean[[#This Row],[Duration Hours]]&gt;0,tblClean[[#This Row],[Attributed GMV PHP]]/tblClean[[#This Row],[Duration Hours]],""),"")</f>
        <v>30124</v>
      </c>
      <c r="L254" s="22">
        <f>IF(ISNUMBER(tblClean[[#This Row],[Date]]),DATE(YEAR(tblClean[[#This Row],[Date]]),MONTH(tblClean[[#This Row],[Date]]),1),"")</f>
        <v>45870</v>
      </c>
      <c r="M254" s="10">
        <f>IF(ISNUMBER(tblClean[[#This Row],[Date]]),tblClean[[#This Row],[Date]]-WEEKDAY(tblClean[[#This Row],[Date]],2)+1,"")</f>
        <v>45866</v>
      </c>
      <c r="N254" s="23">
        <f>IF(ISNUMBER(tblClean[[#This Row],[Week Start]]),(tblClean[[#This Row],[Week Start]]-MIN(tblClean[Week Start]))/7+1,"")</f>
        <v>9</v>
      </c>
      <c r="O254" s="24" t="str">
        <f>IF(ISNUMBER(tblClean[[#This Row],[Date]]),CHOOSE(WEEKDAY(tblClean[[#This Row],[Date]],2),"Mon","Tue","Wed","Thu","Fri","Sat","Sun"),"")</f>
        <v>Fri</v>
      </c>
      <c r="P254" s="24" t="str">
        <f>IF(ISNUMBER(tblClean[[#This Row],[Date]]),IF(WEEKDAY(tblClean[[#This Row],[Date]],2)&gt;=6,"Weekend","Weekday"),"")</f>
        <v>Weekday</v>
      </c>
      <c r="Q25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54" s="9" t="str">
        <f>IF(ISNUMBER(tblClean[[#This Row],[Duration Hours]]),IF(tblClean[[#This Row],[Duration Hours]]&lt;2,"Short (under 2h)",IF(tblClean[[#This Row],[Duration Hours]]&lt;3,"Standard (2h to under 3h)","Long (3h or more)")),"")</f>
        <v>Standard (2h to under 3h)</v>
      </c>
      <c r="S25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54" s="24">
        <f>IF(COUNTIF(tblClean[Session ID],tblClean[[#This Row],[Session ID]])&gt;1,1,0)</f>
        <v>0</v>
      </c>
      <c r="U254" s="24">
        <f>IF(OR(N(tblClean[[#This Row],[Attributed GMV PHP]])&lt;0,N(tblClean[[#This Row],[Items Sold]])&lt;0,N(tblClean[[#This Row],[Livestream Views]])&lt;0,N(tblClean[[#This Row],[New Followers]])&lt;0),1,0)</f>
        <v>0</v>
      </c>
      <c r="V254" s="24">
        <f>IF(ISNUMBER(tblClean[[#This Row],[Duration Hours]]),IF(OR(tblClean[[#This Row],[Duration Hours]]&lt;=0,tblClean[[#This Row],[Duration Hours]]&gt;12),1,0),1)</f>
        <v>0</v>
      </c>
      <c r="W254" s="24">
        <f>IF(COUNTIF(HostRoster,tblClean[[#This Row],[Host Name]])=0,1,0)</f>
        <v>0</v>
      </c>
      <c r="X254" s="24">
        <f>IF(tblClean[[#This Row],[Missing Flag]]+tblClean[[#This Row],[Duplicate Flag]]+tblClean[[#This Row],[Negative Flag]]+tblClean[[#This Row],[Duration Flag]]+tblClean[[#This Row],[Host Flag]]=0,1,0)</f>
        <v>1</v>
      </c>
    </row>
    <row r="255" spans="1:24" x14ac:dyDescent="0.3">
      <c r="A255" s="9" t="str">
        <f>TRIM('Raw Data'!A251)</f>
        <v>LS-0247</v>
      </c>
      <c r="B255" s="10">
        <f>IF(ISNUMBER('Raw Data'!B251),INT('Raw Data'!B251),IFERROR(DATEVALUE('Raw Data'!B251),""))</f>
        <v>45870</v>
      </c>
      <c r="C255" s="9" t="str">
        <f>PROPER(TRIM('Raw Data'!C251))</f>
        <v>Bianca Reyes</v>
      </c>
      <c r="D255" s="11">
        <f>IF(ISNUMBER('Raw Data'!D251),MOD('Raw Data'!D251,1),IFERROR(TIMEVALUE('Raw Data'!D251),""))</f>
        <v>0.79166666666666663</v>
      </c>
      <c r="E255" s="11">
        <f>IF(ISNUMBER('Raw Data'!E251),MOD('Raw Data'!E251,1),IFERROR(TIMEVALUE('Raw Data'!E251),""))</f>
        <v>0.875</v>
      </c>
      <c r="F255" s="12">
        <f>IF(ISNUMBER('Raw Data'!F251),'Raw Data'!F251,IFERROR(VALUE(SUBSTITUTE('Raw Data'!F251,",","")),""))</f>
        <v>29945</v>
      </c>
      <c r="G255" s="13">
        <f>IF(ISNUMBER('Raw Data'!G251),'Raw Data'!G251,IFERROR(VALUE(SUBSTITUTE('Raw Data'!G251,",","")),""))</f>
        <v>78</v>
      </c>
      <c r="H255" s="13">
        <f>IF(ISNUMBER('Raw Data'!H251),'Raw Data'!H251,IFERROR(VALUE(SUBSTITUTE('Raw Data'!H251,",","")),""))</f>
        <v>91709</v>
      </c>
      <c r="I255" s="13">
        <f>IF(ISNUMBER('Raw Data'!I251),'Raw Data'!I251,IFERROR(VALUE(SUBSTITUTE('Raw Data'!I251,",","")),""))</f>
        <v>942</v>
      </c>
      <c r="J255" s="21">
        <f>IF(AND(ISNUMBER(tblClean[[#This Row],[Start Time]]),ISNUMBER(tblClean[[#This Row],[End Time]])),ROUND(MOD(tblClean[[#This Row],[End Time]]-tblClean[[#This Row],[Start Time]],1)*24,2),"")</f>
        <v>2</v>
      </c>
      <c r="K255" s="12">
        <f>IF(AND(ISNUMBER(tblClean[[#This Row],[Duration Hours]]),ISNUMBER(tblClean[[#This Row],[Attributed GMV PHP]])),IF(tblClean[[#This Row],[Duration Hours]]&gt;0,tblClean[[#This Row],[Attributed GMV PHP]]/tblClean[[#This Row],[Duration Hours]],""),"")</f>
        <v>14972.5</v>
      </c>
      <c r="L255" s="22">
        <f>IF(ISNUMBER(tblClean[[#This Row],[Date]]),DATE(YEAR(tblClean[[#This Row],[Date]]),MONTH(tblClean[[#This Row],[Date]]),1),"")</f>
        <v>45870</v>
      </c>
      <c r="M255" s="10">
        <f>IF(ISNUMBER(tblClean[[#This Row],[Date]]),tblClean[[#This Row],[Date]]-WEEKDAY(tblClean[[#This Row],[Date]],2)+1,"")</f>
        <v>45866</v>
      </c>
      <c r="N255" s="23">
        <f>IF(ISNUMBER(tblClean[[#This Row],[Week Start]]),(tblClean[[#This Row],[Week Start]]-MIN(tblClean[Week Start]))/7+1,"")</f>
        <v>9</v>
      </c>
      <c r="O255" s="24" t="str">
        <f>IF(ISNUMBER(tblClean[[#This Row],[Date]]),CHOOSE(WEEKDAY(tblClean[[#This Row],[Date]],2),"Mon","Tue","Wed","Thu","Fri","Sat","Sun"),"")</f>
        <v>Fri</v>
      </c>
      <c r="P255" s="24" t="str">
        <f>IF(ISNUMBER(tblClean[[#This Row],[Date]]),IF(WEEKDAY(tblClean[[#This Row],[Date]],2)&gt;=6,"Weekend","Weekday"),"")</f>
        <v>Weekday</v>
      </c>
      <c r="Q25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55" s="9" t="str">
        <f>IF(ISNUMBER(tblClean[[#This Row],[Duration Hours]]),IF(tblClean[[#This Row],[Duration Hours]]&lt;2,"Short (under 2h)",IF(tblClean[[#This Row],[Duration Hours]]&lt;3,"Standard (2h to under 3h)","Long (3h or more)")),"")</f>
        <v>Standard (2h to under 3h)</v>
      </c>
      <c r="S25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55" s="24">
        <f>IF(COUNTIF(tblClean[Session ID],tblClean[[#This Row],[Session ID]])&gt;1,1,0)</f>
        <v>0</v>
      </c>
      <c r="U255" s="24">
        <f>IF(OR(N(tblClean[[#This Row],[Attributed GMV PHP]])&lt;0,N(tblClean[[#This Row],[Items Sold]])&lt;0,N(tblClean[[#This Row],[Livestream Views]])&lt;0,N(tblClean[[#This Row],[New Followers]])&lt;0),1,0)</f>
        <v>0</v>
      </c>
      <c r="V255" s="24">
        <f>IF(ISNUMBER(tblClean[[#This Row],[Duration Hours]]),IF(OR(tblClean[[#This Row],[Duration Hours]]&lt;=0,tblClean[[#This Row],[Duration Hours]]&gt;12),1,0),1)</f>
        <v>0</v>
      </c>
      <c r="W255" s="24">
        <f>IF(COUNTIF(HostRoster,tblClean[[#This Row],[Host Name]])=0,1,0)</f>
        <v>0</v>
      </c>
      <c r="X255" s="24">
        <f>IF(tblClean[[#This Row],[Missing Flag]]+tblClean[[#This Row],[Duplicate Flag]]+tblClean[[#This Row],[Negative Flag]]+tblClean[[#This Row],[Duration Flag]]+tblClean[[#This Row],[Host Flag]]=0,1,0)</f>
        <v>1</v>
      </c>
    </row>
    <row r="256" spans="1:24" x14ac:dyDescent="0.3">
      <c r="A256" s="9" t="str">
        <f>TRIM('Raw Data'!A252)</f>
        <v>LS-0248</v>
      </c>
      <c r="B256" s="10">
        <f>IF(ISNUMBER('Raw Data'!B252),INT('Raw Data'!B252),IFERROR(DATEVALUE('Raw Data'!B252),""))</f>
        <v>45870</v>
      </c>
      <c r="C256" s="9" t="str">
        <f>PROPER(TRIM('Raw Data'!C252))</f>
        <v>Bianca Reyes</v>
      </c>
      <c r="D256" s="11">
        <f>IF(ISNUMBER('Raw Data'!D252),MOD('Raw Data'!D252,1),IFERROR(TIMEVALUE('Raw Data'!D252),""))</f>
        <v>0.91666666666666663</v>
      </c>
      <c r="E256" s="11">
        <f>IF(ISNUMBER('Raw Data'!E252),MOD('Raw Data'!E252,1),IFERROR(TIMEVALUE('Raw Data'!E252),""))</f>
        <v>4.1666666666666657E-2</v>
      </c>
      <c r="F256" s="12">
        <f>IF(ISNUMBER('Raw Data'!F252),'Raw Data'!F252,IFERROR(VALUE(SUBSTITUTE('Raw Data'!F252,",","")),""))</f>
        <v>56031</v>
      </c>
      <c r="G256" s="13">
        <f>IF(ISNUMBER('Raw Data'!G252),'Raw Data'!G252,IFERROR(VALUE(SUBSTITUTE('Raw Data'!G252,",","")),""))</f>
        <v>176</v>
      </c>
      <c r="H256" s="13">
        <f>IF(ISNUMBER('Raw Data'!H252),'Raw Data'!H252,IFERROR(VALUE(SUBSTITUTE('Raw Data'!H252,",","")),""))</f>
        <v>149462</v>
      </c>
      <c r="I256" s="13">
        <f>IF(ISNUMBER('Raw Data'!I252),'Raw Data'!I252,IFERROR(VALUE(SUBSTITUTE('Raw Data'!I252,",","")),""))</f>
        <v>1748</v>
      </c>
      <c r="J256" s="21">
        <f>IF(AND(ISNUMBER(tblClean[[#This Row],[Start Time]]),ISNUMBER(tblClean[[#This Row],[End Time]])),ROUND(MOD(tblClean[[#This Row],[End Time]]-tblClean[[#This Row],[Start Time]],1)*24,2),"")</f>
        <v>3</v>
      </c>
      <c r="K256" s="12">
        <f>IF(AND(ISNUMBER(tblClean[[#This Row],[Duration Hours]]),ISNUMBER(tblClean[[#This Row],[Attributed GMV PHP]])),IF(tblClean[[#This Row],[Duration Hours]]&gt;0,tblClean[[#This Row],[Attributed GMV PHP]]/tblClean[[#This Row],[Duration Hours]],""),"")</f>
        <v>18677</v>
      </c>
      <c r="L256" s="22">
        <f>IF(ISNUMBER(tblClean[[#This Row],[Date]]),DATE(YEAR(tblClean[[#This Row],[Date]]),MONTH(tblClean[[#This Row],[Date]]),1),"")</f>
        <v>45870</v>
      </c>
      <c r="M256" s="10">
        <f>IF(ISNUMBER(tblClean[[#This Row],[Date]]),tblClean[[#This Row],[Date]]-WEEKDAY(tblClean[[#This Row],[Date]],2)+1,"")</f>
        <v>45866</v>
      </c>
      <c r="N256" s="23">
        <f>IF(ISNUMBER(tblClean[[#This Row],[Week Start]]),(tblClean[[#This Row],[Week Start]]-MIN(tblClean[Week Start]))/7+1,"")</f>
        <v>9</v>
      </c>
      <c r="O256" s="24" t="str">
        <f>IF(ISNUMBER(tblClean[[#This Row],[Date]]),CHOOSE(WEEKDAY(tblClean[[#This Row],[Date]],2),"Mon","Tue","Wed","Thu","Fri","Sat","Sun"),"")</f>
        <v>Fri</v>
      </c>
      <c r="P256" s="24" t="str">
        <f>IF(ISNUMBER(tblClean[[#This Row],[Date]]),IF(WEEKDAY(tblClean[[#This Row],[Date]],2)&gt;=6,"Weekend","Weekday"),"")</f>
        <v>Weekday</v>
      </c>
      <c r="Q25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56" s="9" t="str">
        <f>IF(ISNUMBER(tblClean[[#This Row],[Duration Hours]]),IF(tblClean[[#This Row],[Duration Hours]]&lt;2,"Short (under 2h)",IF(tblClean[[#This Row],[Duration Hours]]&lt;3,"Standard (2h to under 3h)","Long (3h or more)")),"")</f>
        <v>Long (3h or more)</v>
      </c>
      <c r="S25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56" s="24">
        <f>IF(COUNTIF(tblClean[Session ID],tblClean[[#This Row],[Session ID]])&gt;1,1,0)</f>
        <v>0</v>
      </c>
      <c r="U256" s="24">
        <f>IF(OR(N(tblClean[[#This Row],[Attributed GMV PHP]])&lt;0,N(tblClean[[#This Row],[Items Sold]])&lt;0,N(tblClean[[#This Row],[Livestream Views]])&lt;0,N(tblClean[[#This Row],[New Followers]])&lt;0),1,0)</f>
        <v>0</v>
      </c>
      <c r="V256" s="24">
        <f>IF(ISNUMBER(tblClean[[#This Row],[Duration Hours]]),IF(OR(tblClean[[#This Row],[Duration Hours]]&lt;=0,tblClean[[#This Row],[Duration Hours]]&gt;12),1,0),1)</f>
        <v>0</v>
      </c>
      <c r="W256" s="24">
        <f>IF(COUNTIF(HostRoster,tblClean[[#This Row],[Host Name]])=0,1,0)</f>
        <v>0</v>
      </c>
      <c r="X256" s="24">
        <f>IF(tblClean[[#This Row],[Missing Flag]]+tblClean[[#This Row],[Duplicate Flag]]+tblClean[[#This Row],[Negative Flag]]+tblClean[[#This Row],[Duration Flag]]+tblClean[[#This Row],[Host Flag]]=0,1,0)</f>
        <v>1</v>
      </c>
    </row>
    <row r="257" spans="1:24" x14ac:dyDescent="0.3">
      <c r="A257" s="9" t="str">
        <f>TRIM('Raw Data'!A253)</f>
        <v>LS-0249</v>
      </c>
      <c r="B257" s="10">
        <f>IF(ISNUMBER('Raw Data'!B253),INT('Raw Data'!B253),IFERROR(DATEVALUE('Raw Data'!B253),""))</f>
        <v>45871</v>
      </c>
      <c r="C257" s="9" t="str">
        <f>PROPER(TRIM('Raw Data'!C253))</f>
        <v>Bianca Reyes</v>
      </c>
      <c r="D257" s="11">
        <f>IF(ISNUMBER('Raw Data'!D253),MOD('Raw Data'!D253,1),IFERROR(TIMEVALUE('Raw Data'!D253),""))</f>
        <v>0.41666666666666669</v>
      </c>
      <c r="E257" s="11">
        <f>IF(ISNUMBER('Raw Data'!E253),MOD('Raw Data'!E253,1),IFERROR(TIMEVALUE('Raw Data'!E253),""))</f>
        <v>0.52083333333333337</v>
      </c>
      <c r="F257" s="12">
        <f>IF(ISNUMBER('Raw Data'!F253),'Raw Data'!F253,IFERROR(VALUE(SUBSTITUTE('Raw Data'!F253,",","")),""))</f>
        <v>25650</v>
      </c>
      <c r="G257" s="13">
        <f>IF(ISNUMBER('Raw Data'!G253),'Raw Data'!G253,IFERROR(VALUE(SUBSTITUTE('Raw Data'!G253,",","")),""))</f>
        <v>76</v>
      </c>
      <c r="H257" s="13">
        <f>IF(ISNUMBER('Raw Data'!H253),'Raw Data'!H253,IFERROR(VALUE(SUBSTITUTE('Raw Data'!H253,",","")),""))</f>
        <v>81923</v>
      </c>
      <c r="I257" s="13">
        <f>IF(ISNUMBER('Raw Data'!I253),'Raw Data'!I253,IFERROR(VALUE(SUBSTITUTE('Raw Data'!I253,",","")),""))</f>
        <v>393</v>
      </c>
      <c r="J257" s="21">
        <f>IF(AND(ISNUMBER(tblClean[[#This Row],[Start Time]]),ISNUMBER(tblClean[[#This Row],[End Time]])),ROUND(MOD(tblClean[[#This Row],[End Time]]-tblClean[[#This Row],[Start Time]],1)*24,2),"")</f>
        <v>2.5</v>
      </c>
      <c r="K257" s="12">
        <f>IF(AND(ISNUMBER(tblClean[[#This Row],[Duration Hours]]),ISNUMBER(tblClean[[#This Row],[Attributed GMV PHP]])),IF(tblClean[[#This Row],[Duration Hours]]&gt;0,tblClean[[#This Row],[Attributed GMV PHP]]/tblClean[[#This Row],[Duration Hours]],""),"")</f>
        <v>10260</v>
      </c>
      <c r="L257" s="22">
        <f>IF(ISNUMBER(tblClean[[#This Row],[Date]]),DATE(YEAR(tblClean[[#This Row],[Date]]),MONTH(tblClean[[#This Row],[Date]]),1),"")</f>
        <v>45870</v>
      </c>
      <c r="M257" s="10">
        <f>IF(ISNUMBER(tblClean[[#This Row],[Date]]),tblClean[[#This Row],[Date]]-WEEKDAY(tblClean[[#This Row],[Date]],2)+1,"")</f>
        <v>45866</v>
      </c>
      <c r="N257" s="23">
        <f>IF(ISNUMBER(tblClean[[#This Row],[Week Start]]),(tblClean[[#This Row],[Week Start]]-MIN(tblClean[Week Start]))/7+1,"")</f>
        <v>9</v>
      </c>
      <c r="O257" s="24" t="str">
        <f>IF(ISNUMBER(tblClean[[#This Row],[Date]]),CHOOSE(WEEKDAY(tblClean[[#This Row],[Date]],2),"Mon","Tue","Wed","Thu","Fri","Sat","Sun"),"")</f>
        <v>Sat</v>
      </c>
      <c r="P257" s="24" t="str">
        <f>IF(ISNUMBER(tblClean[[#This Row],[Date]]),IF(WEEKDAY(tblClean[[#This Row],[Date]],2)&gt;=6,"Weekend","Weekday"),"")</f>
        <v>Weekend</v>
      </c>
      <c r="Q25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57" s="9" t="str">
        <f>IF(ISNUMBER(tblClean[[#This Row],[Duration Hours]]),IF(tblClean[[#This Row],[Duration Hours]]&lt;2,"Short (under 2h)",IF(tblClean[[#This Row],[Duration Hours]]&lt;3,"Standard (2h to under 3h)","Long (3h or more)")),"")</f>
        <v>Standard (2h to under 3h)</v>
      </c>
      <c r="S25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57" s="24">
        <f>IF(COUNTIF(tblClean[Session ID],tblClean[[#This Row],[Session ID]])&gt;1,1,0)</f>
        <v>0</v>
      </c>
      <c r="U257" s="24">
        <f>IF(OR(N(tblClean[[#This Row],[Attributed GMV PHP]])&lt;0,N(tblClean[[#This Row],[Items Sold]])&lt;0,N(tblClean[[#This Row],[Livestream Views]])&lt;0,N(tblClean[[#This Row],[New Followers]])&lt;0),1,0)</f>
        <v>0</v>
      </c>
      <c r="V257" s="24">
        <f>IF(ISNUMBER(tblClean[[#This Row],[Duration Hours]]),IF(OR(tblClean[[#This Row],[Duration Hours]]&lt;=0,tblClean[[#This Row],[Duration Hours]]&gt;12),1,0),1)</f>
        <v>0</v>
      </c>
      <c r="W257" s="24">
        <f>IF(COUNTIF(HostRoster,tblClean[[#This Row],[Host Name]])=0,1,0)</f>
        <v>0</v>
      </c>
      <c r="X257" s="24">
        <f>IF(tblClean[[#This Row],[Missing Flag]]+tblClean[[#This Row],[Duplicate Flag]]+tblClean[[#This Row],[Negative Flag]]+tblClean[[#This Row],[Duration Flag]]+tblClean[[#This Row],[Host Flag]]=0,1,0)</f>
        <v>1</v>
      </c>
    </row>
    <row r="258" spans="1:24" x14ac:dyDescent="0.3">
      <c r="A258" s="9" t="str">
        <f>TRIM('Raw Data'!A254)</f>
        <v>LS-0250</v>
      </c>
      <c r="B258" s="10">
        <f>IF(ISNUMBER('Raw Data'!B254),INT('Raw Data'!B254),IFERROR(DATEVALUE('Raw Data'!B254),""))</f>
        <v>45871</v>
      </c>
      <c r="C258" s="9" t="str">
        <f>PROPER(TRIM('Raw Data'!C254))</f>
        <v>Elise Navarro</v>
      </c>
      <c r="D258" s="11">
        <f>IF(ISNUMBER('Raw Data'!D254),MOD('Raw Data'!D254,1),IFERROR(TIMEVALUE('Raw Data'!D254),""))</f>
        <v>0.54166666666666663</v>
      </c>
      <c r="E258" s="11">
        <f>IF(ISNUMBER('Raw Data'!E254),MOD('Raw Data'!E254,1),IFERROR(TIMEVALUE('Raw Data'!E254),""))</f>
        <v>0.64583333333333337</v>
      </c>
      <c r="F258" s="12">
        <f>IF(ISNUMBER('Raw Data'!F254),'Raw Data'!F254,IFERROR(VALUE(SUBSTITUTE('Raw Data'!F254,",","")),""))</f>
        <v>33877</v>
      </c>
      <c r="G258" s="13">
        <f>IF(ISNUMBER('Raw Data'!G254),'Raw Data'!G254,IFERROR(VALUE(SUBSTITUTE('Raw Data'!G254,",","")),""))</f>
        <v>90</v>
      </c>
      <c r="H258" s="13">
        <f>IF(ISNUMBER('Raw Data'!H254),'Raw Data'!H254,IFERROR(VALUE(SUBSTITUTE('Raw Data'!H254,",","")),""))</f>
        <v>168835</v>
      </c>
      <c r="I258" s="13">
        <f>IF(ISNUMBER('Raw Data'!I254),'Raw Data'!I254,IFERROR(VALUE(SUBSTITUTE('Raw Data'!I254,",","")),""))</f>
        <v>941</v>
      </c>
      <c r="J258" s="21">
        <f>IF(AND(ISNUMBER(tblClean[[#This Row],[Start Time]]),ISNUMBER(tblClean[[#This Row],[End Time]])),ROUND(MOD(tblClean[[#This Row],[End Time]]-tblClean[[#This Row],[Start Time]],1)*24,2),"")</f>
        <v>2.5</v>
      </c>
      <c r="K258" s="12">
        <f>IF(AND(ISNUMBER(tblClean[[#This Row],[Duration Hours]]),ISNUMBER(tblClean[[#This Row],[Attributed GMV PHP]])),IF(tblClean[[#This Row],[Duration Hours]]&gt;0,tblClean[[#This Row],[Attributed GMV PHP]]/tblClean[[#This Row],[Duration Hours]],""),"")</f>
        <v>13550.8</v>
      </c>
      <c r="L258" s="22">
        <f>IF(ISNUMBER(tblClean[[#This Row],[Date]]),DATE(YEAR(tblClean[[#This Row],[Date]]),MONTH(tblClean[[#This Row],[Date]]),1),"")</f>
        <v>45870</v>
      </c>
      <c r="M258" s="10">
        <f>IF(ISNUMBER(tblClean[[#This Row],[Date]]),tblClean[[#This Row],[Date]]-WEEKDAY(tblClean[[#This Row],[Date]],2)+1,"")</f>
        <v>45866</v>
      </c>
      <c r="N258" s="23">
        <f>IF(ISNUMBER(tblClean[[#This Row],[Week Start]]),(tblClean[[#This Row],[Week Start]]-MIN(tblClean[Week Start]))/7+1,"")</f>
        <v>9</v>
      </c>
      <c r="O258" s="24" t="str">
        <f>IF(ISNUMBER(tblClean[[#This Row],[Date]]),CHOOSE(WEEKDAY(tblClean[[#This Row],[Date]],2),"Mon","Tue","Wed","Thu","Fri","Sat","Sun"),"")</f>
        <v>Sat</v>
      </c>
      <c r="P258" s="24" t="str">
        <f>IF(ISNUMBER(tblClean[[#This Row],[Date]]),IF(WEEKDAY(tblClean[[#This Row],[Date]],2)&gt;=6,"Weekend","Weekday"),"")</f>
        <v>Weekend</v>
      </c>
      <c r="Q25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58" s="9" t="str">
        <f>IF(ISNUMBER(tblClean[[#This Row],[Duration Hours]]),IF(tblClean[[#This Row],[Duration Hours]]&lt;2,"Short (under 2h)",IF(tblClean[[#This Row],[Duration Hours]]&lt;3,"Standard (2h to under 3h)","Long (3h or more)")),"")</f>
        <v>Standard (2h to under 3h)</v>
      </c>
      <c r="S25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58" s="24">
        <f>IF(COUNTIF(tblClean[Session ID],tblClean[[#This Row],[Session ID]])&gt;1,1,0)</f>
        <v>0</v>
      </c>
      <c r="U258" s="24">
        <f>IF(OR(N(tblClean[[#This Row],[Attributed GMV PHP]])&lt;0,N(tblClean[[#This Row],[Items Sold]])&lt;0,N(tblClean[[#This Row],[Livestream Views]])&lt;0,N(tblClean[[#This Row],[New Followers]])&lt;0),1,0)</f>
        <v>0</v>
      </c>
      <c r="V258" s="24">
        <f>IF(ISNUMBER(tblClean[[#This Row],[Duration Hours]]),IF(OR(tblClean[[#This Row],[Duration Hours]]&lt;=0,tblClean[[#This Row],[Duration Hours]]&gt;12),1,0),1)</f>
        <v>0</v>
      </c>
      <c r="W258" s="24">
        <f>IF(COUNTIF(HostRoster,tblClean[[#This Row],[Host Name]])=0,1,0)</f>
        <v>0</v>
      </c>
      <c r="X258" s="24">
        <f>IF(tblClean[[#This Row],[Missing Flag]]+tblClean[[#This Row],[Duplicate Flag]]+tblClean[[#This Row],[Negative Flag]]+tblClean[[#This Row],[Duration Flag]]+tblClean[[#This Row],[Host Flag]]=0,1,0)</f>
        <v>1</v>
      </c>
    </row>
    <row r="259" spans="1:24" x14ac:dyDescent="0.3">
      <c r="A259" s="9" t="str">
        <f>TRIM('Raw Data'!A255)</f>
        <v>LS-0251</v>
      </c>
      <c r="B259" s="10">
        <f>IF(ISNUMBER('Raw Data'!B255),INT('Raw Data'!B255),IFERROR(DATEVALUE('Raw Data'!B255),""))</f>
        <v>45871</v>
      </c>
      <c r="C259" s="9" t="str">
        <f>PROPER(TRIM('Raw Data'!C255))</f>
        <v>Bianca Reyes</v>
      </c>
      <c r="D259" s="11">
        <f>IF(ISNUMBER('Raw Data'!D255),MOD('Raw Data'!D255,1),IFERROR(TIMEVALUE('Raw Data'!D255),""))</f>
        <v>0.66666666666666663</v>
      </c>
      <c r="E259" s="11">
        <f>IF(ISNUMBER('Raw Data'!E255),MOD('Raw Data'!E255,1),IFERROR(TIMEVALUE('Raw Data'!E255),""))</f>
        <v>0.79166666666666663</v>
      </c>
      <c r="F259" s="12">
        <f>IF(ISNUMBER('Raw Data'!F255),'Raw Data'!F255,IFERROR(VALUE(SUBSTITUTE('Raw Data'!F255,",","")),""))</f>
        <v>49749</v>
      </c>
      <c r="G259" s="13">
        <f>IF(ISNUMBER('Raw Data'!G255),'Raw Data'!G255,IFERROR(VALUE(SUBSTITUTE('Raw Data'!G255,",","")),""))</f>
        <v>133</v>
      </c>
      <c r="H259" s="13">
        <f>IF(ISNUMBER('Raw Data'!H255),'Raw Data'!H255,IFERROR(VALUE(SUBSTITUTE('Raw Data'!H255,",","")),""))</f>
        <v>160086</v>
      </c>
      <c r="I259" s="13">
        <f>IF(ISNUMBER('Raw Data'!I255),'Raw Data'!I255,IFERROR(VALUE(SUBSTITUTE('Raw Data'!I255,",","")),""))</f>
        <v>1606</v>
      </c>
      <c r="J259" s="21">
        <f>IF(AND(ISNUMBER(tblClean[[#This Row],[Start Time]]),ISNUMBER(tblClean[[#This Row],[End Time]])),ROUND(MOD(tblClean[[#This Row],[End Time]]-tblClean[[#This Row],[Start Time]],1)*24,2),"")</f>
        <v>3</v>
      </c>
      <c r="K259" s="12">
        <f>IF(AND(ISNUMBER(tblClean[[#This Row],[Duration Hours]]),ISNUMBER(tblClean[[#This Row],[Attributed GMV PHP]])),IF(tblClean[[#This Row],[Duration Hours]]&gt;0,tblClean[[#This Row],[Attributed GMV PHP]]/tblClean[[#This Row],[Duration Hours]],""),"")</f>
        <v>16583</v>
      </c>
      <c r="L259" s="22">
        <f>IF(ISNUMBER(tblClean[[#This Row],[Date]]),DATE(YEAR(tblClean[[#This Row],[Date]]),MONTH(tblClean[[#This Row],[Date]]),1),"")</f>
        <v>45870</v>
      </c>
      <c r="M259" s="10">
        <f>IF(ISNUMBER(tblClean[[#This Row],[Date]]),tblClean[[#This Row],[Date]]-WEEKDAY(tblClean[[#This Row],[Date]],2)+1,"")</f>
        <v>45866</v>
      </c>
      <c r="N259" s="23">
        <f>IF(ISNUMBER(tblClean[[#This Row],[Week Start]]),(tblClean[[#This Row],[Week Start]]-MIN(tblClean[Week Start]))/7+1,"")</f>
        <v>9</v>
      </c>
      <c r="O259" s="24" t="str">
        <f>IF(ISNUMBER(tblClean[[#This Row],[Date]]),CHOOSE(WEEKDAY(tblClean[[#This Row],[Date]],2),"Mon","Tue","Wed","Thu","Fri","Sat","Sun"),"")</f>
        <v>Sat</v>
      </c>
      <c r="P259" s="24" t="str">
        <f>IF(ISNUMBER(tblClean[[#This Row],[Date]]),IF(WEEKDAY(tblClean[[#This Row],[Date]],2)&gt;=6,"Weekend","Weekday"),"")</f>
        <v>Weekend</v>
      </c>
      <c r="Q25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59" s="9" t="str">
        <f>IF(ISNUMBER(tblClean[[#This Row],[Duration Hours]]),IF(tblClean[[#This Row],[Duration Hours]]&lt;2,"Short (under 2h)",IF(tblClean[[#This Row],[Duration Hours]]&lt;3,"Standard (2h to under 3h)","Long (3h or more)")),"")</f>
        <v>Long (3h or more)</v>
      </c>
      <c r="S25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59" s="24">
        <f>IF(COUNTIF(tblClean[Session ID],tblClean[[#This Row],[Session ID]])&gt;1,1,0)</f>
        <v>0</v>
      </c>
      <c r="U259" s="24">
        <f>IF(OR(N(tblClean[[#This Row],[Attributed GMV PHP]])&lt;0,N(tblClean[[#This Row],[Items Sold]])&lt;0,N(tblClean[[#This Row],[Livestream Views]])&lt;0,N(tblClean[[#This Row],[New Followers]])&lt;0),1,0)</f>
        <v>0</v>
      </c>
      <c r="V259" s="24">
        <f>IF(ISNUMBER(tblClean[[#This Row],[Duration Hours]]),IF(OR(tblClean[[#This Row],[Duration Hours]]&lt;=0,tblClean[[#This Row],[Duration Hours]]&gt;12),1,0),1)</f>
        <v>0</v>
      </c>
      <c r="W259" s="24">
        <f>IF(COUNTIF(HostRoster,tblClean[[#This Row],[Host Name]])=0,1,0)</f>
        <v>0</v>
      </c>
      <c r="X259" s="24">
        <f>IF(tblClean[[#This Row],[Missing Flag]]+tblClean[[#This Row],[Duplicate Flag]]+tblClean[[#This Row],[Negative Flag]]+tblClean[[#This Row],[Duration Flag]]+tblClean[[#This Row],[Host Flag]]=0,1,0)</f>
        <v>1</v>
      </c>
    </row>
    <row r="260" spans="1:24" x14ac:dyDescent="0.3">
      <c r="A260" s="9" t="str">
        <f>TRIM('Raw Data'!A256)</f>
        <v>LS-0252</v>
      </c>
      <c r="B260" s="10">
        <f>IF(ISNUMBER('Raw Data'!B256),INT('Raw Data'!B256),IFERROR(DATEVALUE('Raw Data'!B256),""))</f>
        <v>45871</v>
      </c>
      <c r="C260" s="9" t="str">
        <f>PROPER(TRIM('Raw Data'!C256))</f>
        <v>Bianca Reyes</v>
      </c>
      <c r="D260" s="11">
        <f>IF(ISNUMBER('Raw Data'!D256),MOD('Raw Data'!D256,1),IFERROR(TIMEVALUE('Raw Data'!D256),""))</f>
        <v>0.79166666666666663</v>
      </c>
      <c r="E260" s="11">
        <f>IF(ISNUMBER('Raw Data'!E256),MOD('Raw Data'!E256,1),IFERROR(TIMEVALUE('Raw Data'!E256),""))</f>
        <v>0.875</v>
      </c>
      <c r="F260" s="12">
        <f>IF(ISNUMBER('Raw Data'!F256),'Raw Data'!F256,IFERROR(VALUE(SUBSTITUTE('Raw Data'!F256,",","")),""))</f>
        <v>51124</v>
      </c>
      <c r="G260" s="13">
        <f>IF(ISNUMBER('Raw Data'!G256),'Raw Data'!G256,IFERROR(VALUE(SUBSTITUTE('Raw Data'!G256,",","")),""))</f>
        <v>188</v>
      </c>
      <c r="H260" s="13">
        <f>IF(ISNUMBER('Raw Data'!H256),'Raw Data'!H256,IFERROR(VALUE(SUBSTITUTE('Raw Data'!H256,",","")),""))</f>
        <v>191325</v>
      </c>
      <c r="I260" s="13">
        <f>IF(ISNUMBER('Raw Data'!I256),'Raw Data'!I256,IFERROR(VALUE(SUBSTITUTE('Raw Data'!I256,",","")),""))</f>
        <v>802</v>
      </c>
      <c r="J260" s="21">
        <f>IF(AND(ISNUMBER(tblClean[[#This Row],[Start Time]]),ISNUMBER(tblClean[[#This Row],[End Time]])),ROUND(MOD(tblClean[[#This Row],[End Time]]-tblClean[[#This Row],[Start Time]],1)*24,2),"")</f>
        <v>2</v>
      </c>
      <c r="K260" s="12">
        <f>IF(AND(ISNUMBER(tblClean[[#This Row],[Duration Hours]]),ISNUMBER(tblClean[[#This Row],[Attributed GMV PHP]])),IF(tblClean[[#This Row],[Duration Hours]]&gt;0,tblClean[[#This Row],[Attributed GMV PHP]]/tblClean[[#This Row],[Duration Hours]],""),"")</f>
        <v>25562</v>
      </c>
      <c r="L260" s="22">
        <f>IF(ISNUMBER(tblClean[[#This Row],[Date]]),DATE(YEAR(tblClean[[#This Row],[Date]]),MONTH(tblClean[[#This Row],[Date]]),1),"")</f>
        <v>45870</v>
      </c>
      <c r="M260" s="10">
        <f>IF(ISNUMBER(tblClean[[#This Row],[Date]]),tblClean[[#This Row],[Date]]-WEEKDAY(tblClean[[#This Row],[Date]],2)+1,"")</f>
        <v>45866</v>
      </c>
      <c r="N260" s="23">
        <f>IF(ISNUMBER(tblClean[[#This Row],[Week Start]]),(tblClean[[#This Row],[Week Start]]-MIN(tblClean[Week Start]))/7+1,"")</f>
        <v>9</v>
      </c>
      <c r="O260" s="24" t="str">
        <f>IF(ISNUMBER(tblClean[[#This Row],[Date]]),CHOOSE(WEEKDAY(tblClean[[#This Row],[Date]],2),"Mon","Tue","Wed","Thu","Fri","Sat","Sun"),"")</f>
        <v>Sat</v>
      </c>
      <c r="P260" s="24" t="str">
        <f>IF(ISNUMBER(tblClean[[#This Row],[Date]]),IF(WEEKDAY(tblClean[[#This Row],[Date]],2)&gt;=6,"Weekend","Weekday"),"")</f>
        <v>Weekend</v>
      </c>
      <c r="Q26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60" s="9" t="str">
        <f>IF(ISNUMBER(tblClean[[#This Row],[Duration Hours]]),IF(tblClean[[#This Row],[Duration Hours]]&lt;2,"Short (under 2h)",IF(tblClean[[#This Row],[Duration Hours]]&lt;3,"Standard (2h to under 3h)","Long (3h or more)")),"")</f>
        <v>Standard (2h to under 3h)</v>
      </c>
      <c r="S26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60" s="24">
        <f>IF(COUNTIF(tblClean[Session ID],tblClean[[#This Row],[Session ID]])&gt;1,1,0)</f>
        <v>0</v>
      </c>
      <c r="U260" s="24">
        <f>IF(OR(N(tblClean[[#This Row],[Attributed GMV PHP]])&lt;0,N(tblClean[[#This Row],[Items Sold]])&lt;0,N(tblClean[[#This Row],[Livestream Views]])&lt;0,N(tblClean[[#This Row],[New Followers]])&lt;0),1,0)</f>
        <v>0</v>
      </c>
      <c r="V260" s="24">
        <f>IF(ISNUMBER(tblClean[[#This Row],[Duration Hours]]),IF(OR(tblClean[[#This Row],[Duration Hours]]&lt;=0,tblClean[[#This Row],[Duration Hours]]&gt;12),1,0),1)</f>
        <v>0</v>
      </c>
      <c r="W260" s="24">
        <f>IF(COUNTIF(HostRoster,tblClean[[#This Row],[Host Name]])=0,1,0)</f>
        <v>0</v>
      </c>
      <c r="X260" s="24">
        <f>IF(tblClean[[#This Row],[Missing Flag]]+tblClean[[#This Row],[Duplicate Flag]]+tblClean[[#This Row],[Negative Flag]]+tblClean[[#This Row],[Duration Flag]]+tblClean[[#This Row],[Host Flag]]=0,1,0)</f>
        <v>1</v>
      </c>
    </row>
    <row r="261" spans="1:24" x14ac:dyDescent="0.3">
      <c r="A261" s="9" t="str">
        <f>TRIM('Raw Data'!A257)</f>
        <v>LS-0253</v>
      </c>
      <c r="B261" s="10">
        <f>IF(ISNUMBER('Raw Data'!B257),INT('Raw Data'!B257),IFERROR(DATEVALUE('Raw Data'!B257),""))</f>
        <v>45871</v>
      </c>
      <c r="C261" s="9" t="str">
        <f>PROPER(TRIM('Raw Data'!C257))</f>
        <v>Carlo Mendoza</v>
      </c>
      <c r="D261" s="11">
        <f>IF(ISNUMBER('Raw Data'!D257),MOD('Raw Data'!D257,1),IFERROR(TIMEVALUE('Raw Data'!D257),""))</f>
        <v>0.91666666666666663</v>
      </c>
      <c r="E261" s="11">
        <f>IF(ISNUMBER('Raw Data'!E257),MOD('Raw Data'!E257,1),IFERROR(TIMEVALUE('Raw Data'!E257),""))</f>
        <v>2.0833333333333329E-2</v>
      </c>
      <c r="F261" s="12">
        <f>IF(ISNUMBER('Raw Data'!F257),'Raw Data'!F257,IFERROR(VALUE(SUBSTITUTE('Raw Data'!F257,",","")),""))</f>
        <v>52537</v>
      </c>
      <c r="G261" s="13">
        <f>IF(ISNUMBER('Raw Data'!G257),'Raw Data'!G257,IFERROR(VALUE(SUBSTITUTE('Raw Data'!G257,",","")),""))</f>
        <v>171</v>
      </c>
      <c r="H261" s="13">
        <f>IF(ISNUMBER('Raw Data'!H257),'Raw Data'!H257,IFERROR(VALUE(SUBSTITUTE('Raw Data'!H257,",","")),""))</f>
        <v>127371</v>
      </c>
      <c r="I261" s="13">
        <f>IF(ISNUMBER('Raw Data'!I257),'Raw Data'!I257,IFERROR(VALUE(SUBSTITUTE('Raw Data'!I257,",","")),""))</f>
        <v>1078</v>
      </c>
      <c r="J261" s="21">
        <f>IF(AND(ISNUMBER(tblClean[[#This Row],[Start Time]]),ISNUMBER(tblClean[[#This Row],[End Time]])),ROUND(MOD(tblClean[[#This Row],[End Time]]-tblClean[[#This Row],[Start Time]],1)*24,2),"")</f>
        <v>2.5</v>
      </c>
      <c r="K261" s="12">
        <f>IF(AND(ISNUMBER(tblClean[[#This Row],[Duration Hours]]),ISNUMBER(tblClean[[#This Row],[Attributed GMV PHP]])),IF(tblClean[[#This Row],[Duration Hours]]&gt;0,tblClean[[#This Row],[Attributed GMV PHP]]/tblClean[[#This Row],[Duration Hours]],""),"")</f>
        <v>21014.799999999999</v>
      </c>
      <c r="L261" s="22">
        <f>IF(ISNUMBER(tblClean[[#This Row],[Date]]),DATE(YEAR(tblClean[[#This Row],[Date]]),MONTH(tblClean[[#This Row],[Date]]),1),"")</f>
        <v>45870</v>
      </c>
      <c r="M261" s="10">
        <f>IF(ISNUMBER(tblClean[[#This Row],[Date]]),tblClean[[#This Row],[Date]]-WEEKDAY(tblClean[[#This Row],[Date]],2)+1,"")</f>
        <v>45866</v>
      </c>
      <c r="N261" s="23">
        <f>IF(ISNUMBER(tblClean[[#This Row],[Week Start]]),(tblClean[[#This Row],[Week Start]]-MIN(tblClean[Week Start]))/7+1,"")</f>
        <v>9</v>
      </c>
      <c r="O261" s="24" t="str">
        <f>IF(ISNUMBER(tblClean[[#This Row],[Date]]),CHOOSE(WEEKDAY(tblClean[[#This Row],[Date]],2),"Mon","Tue","Wed","Thu","Fri","Sat","Sun"),"")</f>
        <v>Sat</v>
      </c>
      <c r="P261" s="24" t="str">
        <f>IF(ISNUMBER(tblClean[[#This Row],[Date]]),IF(WEEKDAY(tblClean[[#This Row],[Date]],2)&gt;=6,"Weekend","Weekday"),"")</f>
        <v>Weekend</v>
      </c>
      <c r="Q26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61" s="9" t="str">
        <f>IF(ISNUMBER(tblClean[[#This Row],[Duration Hours]]),IF(tblClean[[#This Row],[Duration Hours]]&lt;2,"Short (under 2h)",IF(tblClean[[#This Row],[Duration Hours]]&lt;3,"Standard (2h to under 3h)","Long (3h or more)")),"")</f>
        <v>Standard (2h to under 3h)</v>
      </c>
      <c r="S26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61" s="24">
        <f>IF(COUNTIF(tblClean[Session ID],tblClean[[#This Row],[Session ID]])&gt;1,1,0)</f>
        <v>0</v>
      </c>
      <c r="U261" s="24">
        <f>IF(OR(N(tblClean[[#This Row],[Attributed GMV PHP]])&lt;0,N(tblClean[[#This Row],[Items Sold]])&lt;0,N(tblClean[[#This Row],[Livestream Views]])&lt;0,N(tblClean[[#This Row],[New Followers]])&lt;0),1,0)</f>
        <v>0</v>
      </c>
      <c r="V261" s="24">
        <f>IF(ISNUMBER(tblClean[[#This Row],[Duration Hours]]),IF(OR(tblClean[[#This Row],[Duration Hours]]&lt;=0,tblClean[[#This Row],[Duration Hours]]&gt;12),1,0),1)</f>
        <v>0</v>
      </c>
      <c r="W261" s="24">
        <f>IF(COUNTIF(HostRoster,tblClean[[#This Row],[Host Name]])=0,1,0)</f>
        <v>0</v>
      </c>
      <c r="X261" s="24">
        <f>IF(tblClean[[#This Row],[Missing Flag]]+tblClean[[#This Row],[Duplicate Flag]]+tblClean[[#This Row],[Negative Flag]]+tblClean[[#This Row],[Duration Flag]]+tblClean[[#This Row],[Host Flag]]=0,1,0)</f>
        <v>1</v>
      </c>
    </row>
    <row r="262" spans="1:24" x14ac:dyDescent="0.3">
      <c r="A262" s="9" t="str">
        <f>TRIM('Raw Data'!A258)</f>
        <v>LS-0254</v>
      </c>
      <c r="B262" s="10">
        <f>IF(ISNUMBER('Raw Data'!B258),INT('Raw Data'!B258),IFERROR(DATEVALUE('Raw Data'!B258),""))</f>
        <v>45872</v>
      </c>
      <c r="C262" s="9" t="str">
        <f>PROPER(TRIM('Raw Data'!C258))</f>
        <v>Carlo Mendoza</v>
      </c>
      <c r="D262" s="11">
        <f>IF(ISNUMBER('Raw Data'!D258),MOD('Raw Data'!D258,1),IFERROR(TIMEVALUE('Raw Data'!D258),""))</f>
        <v>0.41666666666666669</v>
      </c>
      <c r="E262" s="11">
        <f>IF(ISNUMBER('Raw Data'!E258),MOD('Raw Data'!E258,1),IFERROR(TIMEVALUE('Raw Data'!E258),""))</f>
        <v>0.5</v>
      </c>
      <c r="F262" s="12">
        <f>IF(ISNUMBER('Raw Data'!F258),'Raw Data'!F258,IFERROR(VALUE(SUBSTITUTE('Raw Data'!F258,",","")),""))</f>
        <v>24709</v>
      </c>
      <c r="G262" s="13">
        <f>IF(ISNUMBER('Raw Data'!G258),'Raw Data'!G258,IFERROR(VALUE(SUBSTITUTE('Raw Data'!G258,",","")),""))</f>
        <v>64</v>
      </c>
      <c r="H262" s="13">
        <f>IF(ISNUMBER('Raw Data'!H258),'Raw Data'!H258,IFERROR(VALUE(SUBSTITUTE('Raw Data'!H258,",","")),""))</f>
        <v>75123</v>
      </c>
      <c r="I262" s="13">
        <f>IF(ISNUMBER('Raw Data'!I258),'Raw Data'!I258,IFERROR(VALUE(SUBSTITUTE('Raw Data'!I258,",","")),""))</f>
        <v>312</v>
      </c>
      <c r="J262" s="21">
        <f>IF(AND(ISNUMBER(tblClean[[#This Row],[Start Time]]),ISNUMBER(tblClean[[#This Row],[End Time]])),ROUND(MOD(tblClean[[#This Row],[End Time]]-tblClean[[#This Row],[Start Time]],1)*24,2),"")</f>
        <v>2</v>
      </c>
      <c r="K262" s="12">
        <f>IF(AND(ISNUMBER(tblClean[[#This Row],[Duration Hours]]),ISNUMBER(tblClean[[#This Row],[Attributed GMV PHP]])),IF(tblClean[[#This Row],[Duration Hours]]&gt;0,tblClean[[#This Row],[Attributed GMV PHP]]/tblClean[[#This Row],[Duration Hours]],""),"")</f>
        <v>12354.5</v>
      </c>
      <c r="L262" s="22">
        <f>IF(ISNUMBER(tblClean[[#This Row],[Date]]),DATE(YEAR(tblClean[[#This Row],[Date]]),MONTH(tblClean[[#This Row],[Date]]),1),"")</f>
        <v>45870</v>
      </c>
      <c r="M262" s="10">
        <f>IF(ISNUMBER(tblClean[[#This Row],[Date]]),tblClean[[#This Row],[Date]]-WEEKDAY(tblClean[[#This Row],[Date]],2)+1,"")</f>
        <v>45866</v>
      </c>
      <c r="N262" s="23">
        <f>IF(ISNUMBER(tblClean[[#This Row],[Week Start]]),(tblClean[[#This Row],[Week Start]]-MIN(tblClean[Week Start]))/7+1,"")</f>
        <v>9</v>
      </c>
      <c r="O262" s="24" t="str">
        <f>IF(ISNUMBER(tblClean[[#This Row],[Date]]),CHOOSE(WEEKDAY(tblClean[[#This Row],[Date]],2),"Mon","Tue","Wed","Thu","Fri","Sat","Sun"),"")</f>
        <v>Sun</v>
      </c>
      <c r="P262" s="24" t="str">
        <f>IF(ISNUMBER(tblClean[[#This Row],[Date]]),IF(WEEKDAY(tblClean[[#This Row],[Date]],2)&gt;=6,"Weekend","Weekday"),"")</f>
        <v>Weekend</v>
      </c>
      <c r="Q26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62" s="9" t="str">
        <f>IF(ISNUMBER(tblClean[[#This Row],[Duration Hours]]),IF(tblClean[[#This Row],[Duration Hours]]&lt;2,"Short (under 2h)",IF(tblClean[[#This Row],[Duration Hours]]&lt;3,"Standard (2h to under 3h)","Long (3h or more)")),"")</f>
        <v>Standard (2h to under 3h)</v>
      </c>
      <c r="S26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62" s="24">
        <f>IF(COUNTIF(tblClean[Session ID],tblClean[[#This Row],[Session ID]])&gt;1,1,0)</f>
        <v>0</v>
      </c>
      <c r="U262" s="24">
        <f>IF(OR(N(tblClean[[#This Row],[Attributed GMV PHP]])&lt;0,N(tblClean[[#This Row],[Items Sold]])&lt;0,N(tblClean[[#This Row],[Livestream Views]])&lt;0,N(tblClean[[#This Row],[New Followers]])&lt;0),1,0)</f>
        <v>0</v>
      </c>
      <c r="V262" s="24">
        <f>IF(ISNUMBER(tblClean[[#This Row],[Duration Hours]]),IF(OR(tblClean[[#This Row],[Duration Hours]]&lt;=0,tblClean[[#This Row],[Duration Hours]]&gt;12),1,0),1)</f>
        <v>0</v>
      </c>
      <c r="W262" s="24">
        <f>IF(COUNTIF(HostRoster,tblClean[[#This Row],[Host Name]])=0,1,0)</f>
        <v>0</v>
      </c>
      <c r="X262" s="24">
        <f>IF(tblClean[[#This Row],[Missing Flag]]+tblClean[[#This Row],[Duplicate Flag]]+tblClean[[#This Row],[Negative Flag]]+tblClean[[#This Row],[Duration Flag]]+tblClean[[#This Row],[Host Flag]]=0,1,0)</f>
        <v>1</v>
      </c>
    </row>
    <row r="263" spans="1:24" x14ac:dyDescent="0.3">
      <c r="A263" s="9" t="str">
        <f>TRIM('Raw Data'!A259)</f>
        <v>LS-0255</v>
      </c>
      <c r="B263" s="10">
        <f>IF(ISNUMBER('Raw Data'!B259),INT('Raw Data'!B259),IFERROR(DATEVALUE('Raw Data'!B259),""))</f>
        <v>45872</v>
      </c>
      <c r="C263" s="9" t="str">
        <f>PROPER(TRIM('Raw Data'!C259))</f>
        <v>Bianca Reyes</v>
      </c>
      <c r="D263" s="11">
        <f>IF(ISNUMBER('Raw Data'!D259),MOD('Raw Data'!D259,1),IFERROR(TIMEVALUE('Raw Data'!D259),""))</f>
        <v>0.54166666666666663</v>
      </c>
      <c r="E263" s="11">
        <f>IF(ISNUMBER('Raw Data'!E259),MOD('Raw Data'!E259,1),IFERROR(TIMEVALUE('Raw Data'!E259),""))</f>
        <v>0.66666666666666663</v>
      </c>
      <c r="F263" s="12">
        <f>IF(ISNUMBER('Raw Data'!F259),'Raw Data'!F259,IFERROR(VALUE(SUBSTITUTE('Raw Data'!F259,",","")),""))</f>
        <v>29438</v>
      </c>
      <c r="G263" s="13">
        <f>IF(ISNUMBER('Raw Data'!G259),'Raw Data'!G259,IFERROR(VALUE(SUBSTITUTE('Raw Data'!G259,",","")),""))</f>
        <v>95</v>
      </c>
      <c r="H263" s="13">
        <f>IF(ISNUMBER('Raw Data'!H259),'Raw Data'!H259,IFERROR(VALUE(SUBSTITUTE('Raw Data'!H259,",","")),""))</f>
        <v>100247</v>
      </c>
      <c r="I263" s="13">
        <f>IF(ISNUMBER('Raw Data'!I259),'Raw Data'!I259,IFERROR(VALUE(SUBSTITUTE('Raw Data'!I259,",","")),""))</f>
        <v>659</v>
      </c>
      <c r="J263" s="21">
        <f>IF(AND(ISNUMBER(tblClean[[#This Row],[Start Time]]),ISNUMBER(tblClean[[#This Row],[End Time]])),ROUND(MOD(tblClean[[#This Row],[End Time]]-tblClean[[#This Row],[Start Time]],1)*24,2),"")</f>
        <v>3</v>
      </c>
      <c r="K263" s="12">
        <f>IF(AND(ISNUMBER(tblClean[[#This Row],[Duration Hours]]),ISNUMBER(tblClean[[#This Row],[Attributed GMV PHP]])),IF(tblClean[[#This Row],[Duration Hours]]&gt;0,tblClean[[#This Row],[Attributed GMV PHP]]/tblClean[[#This Row],[Duration Hours]],""),"")</f>
        <v>9812.6666666666661</v>
      </c>
      <c r="L263" s="22">
        <f>IF(ISNUMBER(tblClean[[#This Row],[Date]]),DATE(YEAR(tblClean[[#This Row],[Date]]),MONTH(tblClean[[#This Row],[Date]]),1),"")</f>
        <v>45870</v>
      </c>
      <c r="M263" s="10">
        <f>IF(ISNUMBER(tblClean[[#This Row],[Date]]),tblClean[[#This Row],[Date]]-WEEKDAY(tblClean[[#This Row],[Date]],2)+1,"")</f>
        <v>45866</v>
      </c>
      <c r="N263" s="23">
        <f>IF(ISNUMBER(tblClean[[#This Row],[Week Start]]),(tblClean[[#This Row],[Week Start]]-MIN(tblClean[Week Start]))/7+1,"")</f>
        <v>9</v>
      </c>
      <c r="O263" s="24" t="str">
        <f>IF(ISNUMBER(tblClean[[#This Row],[Date]]),CHOOSE(WEEKDAY(tblClean[[#This Row],[Date]],2),"Mon","Tue","Wed","Thu","Fri","Sat","Sun"),"")</f>
        <v>Sun</v>
      </c>
      <c r="P263" s="24" t="str">
        <f>IF(ISNUMBER(tblClean[[#This Row],[Date]]),IF(WEEKDAY(tblClean[[#This Row],[Date]],2)&gt;=6,"Weekend","Weekday"),"")</f>
        <v>Weekend</v>
      </c>
      <c r="Q26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63" s="9" t="str">
        <f>IF(ISNUMBER(tblClean[[#This Row],[Duration Hours]]),IF(tblClean[[#This Row],[Duration Hours]]&lt;2,"Short (under 2h)",IF(tblClean[[#This Row],[Duration Hours]]&lt;3,"Standard (2h to under 3h)","Long (3h or more)")),"")</f>
        <v>Long (3h or more)</v>
      </c>
      <c r="S26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63" s="24">
        <f>IF(COUNTIF(tblClean[Session ID],tblClean[[#This Row],[Session ID]])&gt;1,1,0)</f>
        <v>0</v>
      </c>
      <c r="U263" s="24">
        <f>IF(OR(N(tblClean[[#This Row],[Attributed GMV PHP]])&lt;0,N(tblClean[[#This Row],[Items Sold]])&lt;0,N(tblClean[[#This Row],[Livestream Views]])&lt;0,N(tblClean[[#This Row],[New Followers]])&lt;0),1,0)</f>
        <v>0</v>
      </c>
      <c r="V263" s="24">
        <f>IF(ISNUMBER(tblClean[[#This Row],[Duration Hours]]),IF(OR(tblClean[[#This Row],[Duration Hours]]&lt;=0,tblClean[[#This Row],[Duration Hours]]&gt;12),1,0),1)</f>
        <v>0</v>
      </c>
      <c r="W263" s="24">
        <f>IF(COUNTIF(HostRoster,tblClean[[#This Row],[Host Name]])=0,1,0)</f>
        <v>0</v>
      </c>
      <c r="X263" s="24">
        <f>IF(tblClean[[#This Row],[Missing Flag]]+tblClean[[#This Row],[Duplicate Flag]]+tblClean[[#This Row],[Negative Flag]]+tblClean[[#This Row],[Duration Flag]]+tblClean[[#This Row],[Host Flag]]=0,1,0)</f>
        <v>1</v>
      </c>
    </row>
    <row r="264" spans="1:24" x14ac:dyDescent="0.3">
      <c r="A264" s="9" t="str">
        <f>TRIM('Raw Data'!A260)</f>
        <v>LS-0256</v>
      </c>
      <c r="B264" s="10">
        <f>IF(ISNUMBER('Raw Data'!B260),INT('Raw Data'!B260),IFERROR(DATEVALUE('Raw Data'!B260),""))</f>
        <v>45872</v>
      </c>
      <c r="C264" s="9" t="str">
        <f>PROPER(TRIM('Raw Data'!C260))</f>
        <v>Carlo Mendoza</v>
      </c>
      <c r="D264" s="11">
        <f>IF(ISNUMBER('Raw Data'!D260),MOD('Raw Data'!D260,1),IFERROR(TIMEVALUE('Raw Data'!D260),""))</f>
        <v>0.66666666666666663</v>
      </c>
      <c r="E264" s="11">
        <f>IF(ISNUMBER('Raw Data'!E260),MOD('Raw Data'!E260,1),IFERROR(TIMEVALUE('Raw Data'!E260),""))</f>
        <v>0.75</v>
      </c>
      <c r="F264" s="12">
        <f>IF(ISNUMBER('Raw Data'!F260),'Raw Data'!F260,IFERROR(VALUE(SUBSTITUTE('Raw Data'!F260,",","")),""))</f>
        <v>36295</v>
      </c>
      <c r="G264" s="13">
        <f>IF(ISNUMBER('Raw Data'!G260),'Raw Data'!G260,IFERROR(VALUE(SUBSTITUTE('Raw Data'!G260,",","")),""))</f>
        <v>131</v>
      </c>
      <c r="H264" s="13">
        <f>IF(ISNUMBER('Raw Data'!H260),'Raw Data'!H260,IFERROR(VALUE(SUBSTITUTE('Raw Data'!H260,",","")),""))</f>
        <v>157509</v>
      </c>
      <c r="I264" s="13">
        <f>IF(ISNUMBER('Raw Data'!I260),'Raw Data'!I260,IFERROR(VALUE(SUBSTITUTE('Raw Data'!I260,",","")),""))</f>
        <v>900</v>
      </c>
      <c r="J264" s="21">
        <f>IF(AND(ISNUMBER(tblClean[[#This Row],[Start Time]]),ISNUMBER(tblClean[[#This Row],[End Time]])),ROUND(MOD(tblClean[[#This Row],[End Time]]-tblClean[[#This Row],[Start Time]],1)*24,2),"")</f>
        <v>2</v>
      </c>
      <c r="K264" s="12">
        <f>IF(AND(ISNUMBER(tblClean[[#This Row],[Duration Hours]]),ISNUMBER(tblClean[[#This Row],[Attributed GMV PHP]])),IF(tblClean[[#This Row],[Duration Hours]]&gt;0,tblClean[[#This Row],[Attributed GMV PHP]]/tblClean[[#This Row],[Duration Hours]],""),"")</f>
        <v>18147.5</v>
      </c>
      <c r="L264" s="22">
        <f>IF(ISNUMBER(tblClean[[#This Row],[Date]]),DATE(YEAR(tblClean[[#This Row],[Date]]),MONTH(tblClean[[#This Row],[Date]]),1),"")</f>
        <v>45870</v>
      </c>
      <c r="M264" s="10">
        <f>IF(ISNUMBER(tblClean[[#This Row],[Date]]),tblClean[[#This Row],[Date]]-WEEKDAY(tblClean[[#This Row],[Date]],2)+1,"")</f>
        <v>45866</v>
      </c>
      <c r="N264" s="23">
        <f>IF(ISNUMBER(tblClean[[#This Row],[Week Start]]),(tblClean[[#This Row],[Week Start]]-MIN(tblClean[Week Start]))/7+1,"")</f>
        <v>9</v>
      </c>
      <c r="O264" s="24" t="str">
        <f>IF(ISNUMBER(tblClean[[#This Row],[Date]]),CHOOSE(WEEKDAY(tblClean[[#This Row],[Date]],2),"Mon","Tue","Wed","Thu","Fri","Sat","Sun"),"")</f>
        <v>Sun</v>
      </c>
      <c r="P264" s="24" t="str">
        <f>IF(ISNUMBER(tblClean[[#This Row],[Date]]),IF(WEEKDAY(tblClean[[#This Row],[Date]],2)&gt;=6,"Weekend","Weekday"),"")</f>
        <v>Weekend</v>
      </c>
      <c r="Q26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64" s="9" t="str">
        <f>IF(ISNUMBER(tblClean[[#This Row],[Duration Hours]]),IF(tblClean[[#This Row],[Duration Hours]]&lt;2,"Short (under 2h)",IF(tblClean[[#This Row],[Duration Hours]]&lt;3,"Standard (2h to under 3h)","Long (3h or more)")),"")</f>
        <v>Standard (2h to under 3h)</v>
      </c>
      <c r="S26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64" s="24">
        <f>IF(COUNTIF(tblClean[Session ID],tblClean[[#This Row],[Session ID]])&gt;1,1,0)</f>
        <v>0</v>
      </c>
      <c r="U264" s="24">
        <f>IF(OR(N(tblClean[[#This Row],[Attributed GMV PHP]])&lt;0,N(tblClean[[#This Row],[Items Sold]])&lt;0,N(tblClean[[#This Row],[Livestream Views]])&lt;0,N(tblClean[[#This Row],[New Followers]])&lt;0),1,0)</f>
        <v>0</v>
      </c>
      <c r="V264" s="24">
        <f>IF(ISNUMBER(tblClean[[#This Row],[Duration Hours]]),IF(OR(tblClean[[#This Row],[Duration Hours]]&lt;=0,tblClean[[#This Row],[Duration Hours]]&gt;12),1,0),1)</f>
        <v>0</v>
      </c>
      <c r="W264" s="24">
        <f>IF(COUNTIF(HostRoster,tblClean[[#This Row],[Host Name]])=0,1,0)</f>
        <v>0</v>
      </c>
      <c r="X264" s="24">
        <f>IF(tblClean[[#This Row],[Missing Flag]]+tblClean[[#This Row],[Duplicate Flag]]+tblClean[[#This Row],[Negative Flag]]+tblClean[[#This Row],[Duration Flag]]+tblClean[[#This Row],[Host Flag]]=0,1,0)</f>
        <v>1</v>
      </c>
    </row>
    <row r="265" spans="1:24" x14ac:dyDescent="0.3">
      <c r="A265" s="9" t="str">
        <f>TRIM('Raw Data'!A261)</f>
        <v>LS-0257</v>
      </c>
      <c r="B265" s="10">
        <f>IF(ISNUMBER('Raw Data'!B261),INT('Raw Data'!B261),IFERROR(DATEVALUE('Raw Data'!B261),""))</f>
        <v>45872</v>
      </c>
      <c r="C265" s="9" t="str">
        <f>PROPER(TRIM('Raw Data'!C261))</f>
        <v>Aira Valdez</v>
      </c>
      <c r="D265" s="11">
        <f>IF(ISNUMBER('Raw Data'!D261),MOD('Raw Data'!D261,1),IFERROR(TIMEVALUE('Raw Data'!D261),""))</f>
        <v>0.79166666666666663</v>
      </c>
      <c r="E265" s="11">
        <f>IF(ISNUMBER('Raw Data'!E261),MOD('Raw Data'!E261,1),IFERROR(TIMEVALUE('Raw Data'!E261),""))</f>
        <v>0.89583333333333337</v>
      </c>
      <c r="F265" s="12">
        <f>IF(ISNUMBER('Raw Data'!F261),'Raw Data'!F261,IFERROR(VALUE(SUBSTITUTE('Raw Data'!F261,",","")),""))</f>
        <v>83618</v>
      </c>
      <c r="G265" s="13">
        <f>IF(ISNUMBER('Raw Data'!G261),'Raw Data'!G261,IFERROR(VALUE(SUBSTITUTE('Raw Data'!G261,",","")),""))</f>
        <v>234</v>
      </c>
      <c r="H265" s="13">
        <f>IF(ISNUMBER('Raw Data'!H261),'Raw Data'!H261,IFERROR(VALUE(SUBSTITUTE('Raw Data'!H261,",","")),""))</f>
        <v>345227</v>
      </c>
      <c r="I265" s="13">
        <f>IF(ISNUMBER('Raw Data'!I261),'Raw Data'!I261,IFERROR(VALUE(SUBSTITUTE('Raw Data'!I261,",","")),""))</f>
        <v>1997</v>
      </c>
      <c r="J265" s="21">
        <f>IF(AND(ISNUMBER(tblClean[[#This Row],[Start Time]]),ISNUMBER(tblClean[[#This Row],[End Time]])),ROUND(MOD(tblClean[[#This Row],[End Time]]-tblClean[[#This Row],[Start Time]],1)*24,2),"")</f>
        <v>2.5</v>
      </c>
      <c r="K265" s="12">
        <f>IF(AND(ISNUMBER(tblClean[[#This Row],[Duration Hours]]),ISNUMBER(tblClean[[#This Row],[Attributed GMV PHP]])),IF(tblClean[[#This Row],[Duration Hours]]&gt;0,tblClean[[#This Row],[Attributed GMV PHP]]/tblClean[[#This Row],[Duration Hours]],""),"")</f>
        <v>33447.199999999997</v>
      </c>
      <c r="L265" s="22">
        <f>IF(ISNUMBER(tblClean[[#This Row],[Date]]),DATE(YEAR(tblClean[[#This Row],[Date]]),MONTH(tblClean[[#This Row],[Date]]),1),"")</f>
        <v>45870</v>
      </c>
      <c r="M265" s="10">
        <f>IF(ISNUMBER(tblClean[[#This Row],[Date]]),tblClean[[#This Row],[Date]]-WEEKDAY(tblClean[[#This Row],[Date]],2)+1,"")</f>
        <v>45866</v>
      </c>
      <c r="N265" s="23">
        <f>IF(ISNUMBER(tblClean[[#This Row],[Week Start]]),(tblClean[[#This Row],[Week Start]]-MIN(tblClean[Week Start]))/7+1,"")</f>
        <v>9</v>
      </c>
      <c r="O265" s="24" t="str">
        <f>IF(ISNUMBER(tblClean[[#This Row],[Date]]),CHOOSE(WEEKDAY(tblClean[[#This Row],[Date]],2),"Mon","Tue","Wed","Thu","Fri","Sat","Sun"),"")</f>
        <v>Sun</v>
      </c>
      <c r="P265" s="24" t="str">
        <f>IF(ISNUMBER(tblClean[[#This Row],[Date]]),IF(WEEKDAY(tblClean[[#This Row],[Date]],2)&gt;=6,"Weekend","Weekday"),"")</f>
        <v>Weekend</v>
      </c>
      <c r="Q26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65" s="9" t="str">
        <f>IF(ISNUMBER(tblClean[[#This Row],[Duration Hours]]),IF(tblClean[[#This Row],[Duration Hours]]&lt;2,"Short (under 2h)",IF(tblClean[[#This Row],[Duration Hours]]&lt;3,"Standard (2h to under 3h)","Long (3h or more)")),"")</f>
        <v>Standard (2h to under 3h)</v>
      </c>
      <c r="S26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65" s="24">
        <f>IF(COUNTIF(tblClean[Session ID],tblClean[[#This Row],[Session ID]])&gt;1,1,0)</f>
        <v>0</v>
      </c>
      <c r="U265" s="24">
        <f>IF(OR(N(tblClean[[#This Row],[Attributed GMV PHP]])&lt;0,N(tblClean[[#This Row],[Items Sold]])&lt;0,N(tblClean[[#This Row],[Livestream Views]])&lt;0,N(tblClean[[#This Row],[New Followers]])&lt;0),1,0)</f>
        <v>0</v>
      </c>
      <c r="V265" s="24">
        <f>IF(ISNUMBER(tblClean[[#This Row],[Duration Hours]]),IF(OR(tblClean[[#This Row],[Duration Hours]]&lt;=0,tblClean[[#This Row],[Duration Hours]]&gt;12),1,0),1)</f>
        <v>0</v>
      </c>
      <c r="W265" s="24">
        <f>IF(COUNTIF(HostRoster,tblClean[[#This Row],[Host Name]])=0,1,0)</f>
        <v>0</v>
      </c>
      <c r="X265" s="24">
        <f>IF(tblClean[[#This Row],[Missing Flag]]+tblClean[[#This Row],[Duplicate Flag]]+tblClean[[#This Row],[Negative Flag]]+tblClean[[#This Row],[Duration Flag]]+tblClean[[#This Row],[Host Flag]]=0,1,0)</f>
        <v>1</v>
      </c>
    </row>
    <row r="266" spans="1:24" x14ac:dyDescent="0.3">
      <c r="A266" s="9" t="str">
        <f>TRIM('Raw Data'!A262)</f>
        <v>LS-0258</v>
      </c>
      <c r="B266" s="10">
        <f>IF(ISNUMBER('Raw Data'!B262),INT('Raw Data'!B262),IFERROR(DATEVALUE('Raw Data'!B262),""))</f>
        <v>45873</v>
      </c>
      <c r="C266" s="9" t="str">
        <f>PROPER(TRIM('Raw Data'!C262))</f>
        <v>Dani Villanueva</v>
      </c>
      <c r="D266" s="11">
        <f>IF(ISNUMBER('Raw Data'!D262),MOD('Raw Data'!D262,1),IFERROR(TIMEVALUE('Raw Data'!D262),""))</f>
        <v>0.41666666666666669</v>
      </c>
      <c r="E266" s="11">
        <f>IF(ISNUMBER('Raw Data'!E262),MOD('Raw Data'!E262,1),IFERROR(TIMEVALUE('Raw Data'!E262),""))</f>
        <v>0.5</v>
      </c>
      <c r="F266" s="12">
        <f>IF(ISNUMBER('Raw Data'!F262),'Raw Data'!F262,IFERROR(VALUE(SUBSTITUTE('Raw Data'!F262,",","")),""))</f>
        <v>9360</v>
      </c>
      <c r="G266" s="13">
        <f>IF(ISNUMBER('Raw Data'!G262),'Raw Data'!G262,IFERROR(VALUE(SUBSTITUTE('Raw Data'!G262,",","")),""))</f>
        <v>25</v>
      </c>
      <c r="H266" s="13">
        <f>IF(ISNUMBER('Raw Data'!H262),'Raw Data'!H262,IFERROR(VALUE(SUBSTITUTE('Raw Data'!H262,",","")),""))</f>
        <v>29517</v>
      </c>
      <c r="I266" s="13">
        <f>IF(ISNUMBER('Raw Data'!I262),'Raw Data'!I262,IFERROR(VALUE(SUBSTITUTE('Raw Data'!I262,",","")),""))</f>
        <v>232</v>
      </c>
      <c r="J266" s="21">
        <f>IF(AND(ISNUMBER(tblClean[[#This Row],[Start Time]]),ISNUMBER(tblClean[[#This Row],[End Time]])),ROUND(MOD(tblClean[[#This Row],[End Time]]-tblClean[[#This Row],[Start Time]],1)*24,2),"")</f>
        <v>2</v>
      </c>
      <c r="K266" s="12">
        <f>IF(AND(ISNUMBER(tblClean[[#This Row],[Duration Hours]]),ISNUMBER(tblClean[[#This Row],[Attributed GMV PHP]])),IF(tblClean[[#This Row],[Duration Hours]]&gt;0,tblClean[[#This Row],[Attributed GMV PHP]]/tblClean[[#This Row],[Duration Hours]],""),"")</f>
        <v>4680</v>
      </c>
      <c r="L266" s="22">
        <f>IF(ISNUMBER(tblClean[[#This Row],[Date]]),DATE(YEAR(tblClean[[#This Row],[Date]]),MONTH(tblClean[[#This Row],[Date]]),1),"")</f>
        <v>45870</v>
      </c>
      <c r="M266" s="10">
        <f>IF(ISNUMBER(tblClean[[#This Row],[Date]]),tblClean[[#This Row],[Date]]-WEEKDAY(tblClean[[#This Row],[Date]],2)+1,"")</f>
        <v>45873</v>
      </c>
      <c r="N266" s="23">
        <f>IF(ISNUMBER(tblClean[[#This Row],[Week Start]]),(tblClean[[#This Row],[Week Start]]-MIN(tblClean[Week Start]))/7+1,"")</f>
        <v>10</v>
      </c>
      <c r="O266" s="24" t="str">
        <f>IF(ISNUMBER(tblClean[[#This Row],[Date]]),CHOOSE(WEEKDAY(tblClean[[#This Row],[Date]],2),"Mon","Tue","Wed","Thu","Fri","Sat","Sun"),"")</f>
        <v>Mon</v>
      </c>
      <c r="P266" s="24" t="str">
        <f>IF(ISNUMBER(tblClean[[#This Row],[Date]]),IF(WEEKDAY(tblClean[[#This Row],[Date]],2)&gt;=6,"Weekend","Weekday"),"")</f>
        <v>Weekday</v>
      </c>
      <c r="Q26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66" s="9" t="str">
        <f>IF(ISNUMBER(tblClean[[#This Row],[Duration Hours]]),IF(tblClean[[#This Row],[Duration Hours]]&lt;2,"Short (under 2h)",IF(tblClean[[#This Row],[Duration Hours]]&lt;3,"Standard (2h to under 3h)","Long (3h or more)")),"")</f>
        <v>Standard (2h to under 3h)</v>
      </c>
      <c r="S26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66" s="24">
        <f>IF(COUNTIF(tblClean[Session ID],tblClean[[#This Row],[Session ID]])&gt;1,1,0)</f>
        <v>0</v>
      </c>
      <c r="U266" s="24">
        <f>IF(OR(N(tblClean[[#This Row],[Attributed GMV PHP]])&lt;0,N(tblClean[[#This Row],[Items Sold]])&lt;0,N(tblClean[[#This Row],[Livestream Views]])&lt;0,N(tblClean[[#This Row],[New Followers]])&lt;0),1,0)</f>
        <v>0</v>
      </c>
      <c r="V266" s="24">
        <f>IF(ISNUMBER(tblClean[[#This Row],[Duration Hours]]),IF(OR(tblClean[[#This Row],[Duration Hours]]&lt;=0,tblClean[[#This Row],[Duration Hours]]&gt;12),1,0),1)</f>
        <v>0</v>
      </c>
      <c r="W266" s="24">
        <f>IF(COUNTIF(HostRoster,tblClean[[#This Row],[Host Name]])=0,1,0)</f>
        <v>0</v>
      </c>
      <c r="X266" s="24">
        <f>IF(tblClean[[#This Row],[Missing Flag]]+tblClean[[#This Row],[Duplicate Flag]]+tblClean[[#This Row],[Negative Flag]]+tblClean[[#This Row],[Duration Flag]]+tblClean[[#This Row],[Host Flag]]=0,1,0)</f>
        <v>1</v>
      </c>
    </row>
    <row r="267" spans="1:24" x14ac:dyDescent="0.3">
      <c r="A267" s="9" t="str">
        <f>TRIM('Raw Data'!A263)</f>
        <v>LS-0259</v>
      </c>
      <c r="B267" s="10">
        <f>IF(ISNUMBER('Raw Data'!B263),INT('Raw Data'!B263),IFERROR(DATEVALUE('Raw Data'!B263),""))</f>
        <v>45873</v>
      </c>
      <c r="C267" s="9" t="str">
        <f>PROPER(TRIM('Raw Data'!C263))</f>
        <v>Elise Navarro</v>
      </c>
      <c r="D267" s="11">
        <f>IF(ISNUMBER('Raw Data'!D263),MOD('Raw Data'!D263,1),IFERROR(TIMEVALUE('Raw Data'!D263),""))</f>
        <v>0.66666666666666663</v>
      </c>
      <c r="E267" s="11">
        <f>IF(ISNUMBER('Raw Data'!E263),MOD('Raw Data'!E263,1),IFERROR(TIMEVALUE('Raw Data'!E263),""))</f>
        <v>0.79166666666666663</v>
      </c>
      <c r="F267" s="12">
        <f>IF(ISNUMBER('Raw Data'!F263),'Raw Data'!F263,IFERROR(VALUE(SUBSTITUTE('Raw Data'!F263,",","")),""))</f>
        <v>30615</v>
      </c>
      <c r="G267" s="13">
        <f>IF(ISNUMBER('Raw Data'!G263),'Raw Data'!G263,IFERROR(VALUE(SUBSTITUTE('Raw Data'!G263,",","")),""))</f>
        <v>97</v>
      </c>
      <c r="H267" s="13">
        <f>IF(ISNUMBER('Raw Data'!H263),'Raw Data'!H263,IFERROR(VALUE(SUBSTITUTE('Raw Data'!H263,",","")),""))</f>
        <v>73391</v>
      </c>
      <c r="I267" s="13">
        <f>IF(ISNUMBER('Raw Data'!I263),'Raw Data'!I263,IFERROR(VALUE(SUBSTITUTE('Raw Data'!I263,",","")),""))</f>
        <v>782</v>
      </c>
      <c r="J267" s="21">
        <f>IF(AND(ISNUMBER(tblClean[[#This Row],[Start Time]]),ISNUMBER(tblClean[[#This Row],[End Time]])),ROUND(MOD(tblClean[[#This Row],[End Time]]-tblClean[[#This Row],[Start Time]],1)*24,2),"")</f>
        <v>3</v>
      </c>
      <c r="K267" s="12">
        <f>IF(AND(ISNUMBER(tblClean[[#This Row],[Duration Hours]]),ISNUMBER(tblClean[[#This Row],[Attributed GMV PHP]])),IF(tblClean[[#This Row],[Duration Hours]]&gt;0,tblClean[[#This Row],[Attributed GMV PHP]]/tblClean[[#This Row],[Duration Hours]],""),"")</f>
        <v>10205</v>
      </c>
      <c r="L267" s="22">
        <f>IF(ISNUMBER(tblClean[[#This Row],[Date]]),DATE(YEAR(tblClean[[#This Row],[Date]]),MONTH(tblClean[[#This Row],[Date]]),1),"")</f>
        <v>45870</v>
      </c>
      <c r="M267" s="10">
        <f>IF(ISNUMBER(tblClean[[#This Row],[Date]]),tblClean[[#This Row],[Date]]-WEEKDAY(tblClean[[#This Row],[Date]],2)+1,"")</f>
        <v>45873</v>
      </c>
      <c r="N267" s="23">
        <f>IF(ISNUMBER(tblClean[[#This Row],[Week Start]]),(tblClean[[#This Row],[Week Start]]-MIN(tblClean[Week Start]))/7+1,"")</f>
        <v>10</v>
      </c>
      <c r="O267" s="24" t="str">
        <f>IF(ISNUMBER(tblClean[[#This Row],[Date]]),CHOOSE(WEEKDAY(tblClean[[#This Row],[Date]],2),"Mon","Tue","Wed","Thu","Fri","Sat","Sun"),"")</f>
        <v>Mon</v>
      </c>
      <c r="P267" s="24" t="str">
        <f>IF(ISNUMBER(tblClean[[#This Row],[Date]]),IF(WEEKDAY(tblClean[[#This Row],[Date]],2)&gt;=6,"Weekend","Weekday"),"")</f>
        <v>Weekday</v>
      </c>
      <c r="Q26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67" s="9" t="str">
        <f>IF(ISNUMBER(tblClean[[#This Row],[Duration Hours]]),IF(tblClean[[#This Row],[Duration Hours]]&lt;2,"Short (under 2h)",IF(tblClean[[#This Row],[Duration Hours]]&lt;3,"Standard (2h to under 3h)","Long (3h or more)")),"")</f>
        <v>Long (3h or more)</v>
      </c>
      <c r="S26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67" s="24">
        <f>IF(COUNTIF(tblClean[Session ID],tblClean[[#This Row],[Session ID]])&gt;1,1,0)</f>
        <v>0</v>
      </c>
      <c r="U267" s="24">
        <f>IF(OR(N(tblClean[[#This Row],[Attributed GMV PHP]])&lt;0,N(tblClean[[#This Row],[Items Sold]])&lt;0,N(tblClean[[#This Row],[Livestream Views]])&lt;0,N(tblClean[[#This Row],[New Followers]])&lt;0),1,0)</f>
        <v>0</v>
      </c>
      <c r="V267" s="24">
        <f>IF(ISNUMBER(tblClean[[#This Row],[Duration Hours]]),IF(OR(tblClean[[#This Row],[Duration Hours]]&lt;=0,tblClean[[#This Row],[Duration Hours]]&gt;12),1,0),1)</f>
        <v>0</v>
      </c>
      <c r="W267" s="24">
        <f>IF(COUNTIF(HostRoster,tblClean[[#This Row],[Host Name]])=0,1,0)</f>
        <v>0</v>
      </c>
      <c r="X267" s="24">
        <f>IF(tblClean[[#This Row],[Missing Flag]]+tblClean[[#This Row],[Duplicate Flag]]+tblClean[[#This Row],[Negative Flag]]+tblClean[[#This Row],[Duration Flag]]+tblClean[[#This Row],[Host Flag]]=0,1,0)</f>
        <v>1</v>
      </c>
    </row>
    <row r="268" spans="1:24" x14ac:dyDescent="0.3">
      <c r="A268" s="9" t="str">
        <f>TRIM('Raw Data'!A264)</f>
        <v>LS-0260</v>
      </c>
      <c r="B268" s="10">
        <f>IF(ISNUMBER('Raw Data'!B264),INT('Raw Data'!B264),IFERROR(DATEVALUE('Raw Data'!B264),""))</f>
        <v>45873</v>
      </c>
      <c r="C268" s="9" t="str">
        <f>PROPER(TRIM('Raw Data'!C264))</f>
        <v>Bianca Reyes</v>
      </c>
      <c r="D268" s="11">
        <f>IF(ISNUMBER('Raw Data'!D264),MOD('Raw Data'!D264,1),IFERROR(TIMEVALUE('Raw Data'!D264),""))</f>
        <v>0.79166666666666663</v>
      </c>
      <c r="E268" s="11">
        <f>IF(ISNUMBER('Raw Data'!E264),MOD('Raw Data'!E264,1),IFERROR(TIMEVALUE('Raw Data'!E264),""))</f>
        <v>0.91666666666666663</v>
      </c>
      <c r="F268" s="12">
        <f>IF(ISNUMBER('Raw Data'!F264),'Raw Data'!F264,IFERROR(VALUE(SUBSTITUTE('Raw Data'!F264,",","")),""))</f>
        <v>24933</v>
      </c>
      <c r="G268" s="13">
        <f>IF(ISNUMBER('Raw Data'!G264),'Raw Data'!G264,IFERROR(VALUE(SUBSTITUTE('Raw Data'!G264,",","")),""))</f>
        <v>76</v>
      </c>
      <c r="H268" s="13">
        <f>IF(ISNUMBER('Raw Data'!H264),'Raw Data'!H264,IFERROR(VALUE(SUBSTITUTE('Raw Data'!H264,",","")),""))</f>
        <v>79269</v>
      </c>
      <c r="I268" s="13">
        <f>IF(ISNUMBER('Raw Data'!I264),'Raw Data'!I264,IFERROR(VALUE(SUBSTITUTE('Raw Data'!I264,",","")),""))</f>
        <v>804</v>
      </c>
      <c r="J268" s="21">
        <f>IF(AND(ISNUMBER(tblClean[[#This Row],[Start Time]]),ISNUMBER(tblClean[[#This Row],[End Time]])),ROUND(MOD(tblClean[[#This Row],[End Time]]-tblClean[[#This Row],[Start Time]],1)*24,2),"")</f>
        <v>3</v>
      </c>
      <c r="K268" s="12">
        <f>IF(AND(ISNUMBER(tblClean[[#This Row],[Duration Hours]]),ISNUMBER(tblClean[[#This Row],[Attributed GMV PHP]])),IF(tblClean[[#This Row],[Duration Hours]]&gt;0,tblClean[[#This Row],[Attributed GMV PHP]]/tblClean[[#This Row],[Duration Hours]],""),"")</f>
        <v>8311</v>
      </c>
      <c r="L268" s="22">
        <f>IF(ISNUMBER(tblClean[[#This Row],[Date]]),DATE(YEAR(tblClean[[#This Row],[Date]]),MONTH(tblClean[[#This Row],[Date]]),1),"")</f>
        <v>45870</v>
      </c>
      <c r="M268" s="10">
        <f>IF(ISNUMBER(tblClean[[#This Row],[Date]]),tblClean[[#This Row],[Date]]-WEEKDAY(tblClean[[#This Row],[Date]],2)+1,"")</f>
        <v>45873</v>
      </c>
      <c r="N268" s="23">
        <f>IF(ISNUMBER(tblClean[[#This Row],[Week Start]]),(tblClean[[#This Row],[Week Start]]-MIN(tblClean[Week Start]))/7+1,"")</f>
        <v>10</v>
      </c>
      <c r="O268" s="24" t="str">
        <f>IF(ISNUMBER(tblClean[[#This Row],[Date]]),CHOOSE(WEEKDAY(tblClean[[#This Row],[Date]],2),"Mon","Tue","Wed","Thu","Fri","Sat","Sun"),"")</f>
        <v>Mon</v>
      </c>
      <c r="P268" s="24" t="str">
        <f>IF(ISNUMBER(tblClean[[#This Row],[Date]]),IF(WEEKDAY(tblClean[[#This Row],[Date]],2)&gt;=6,"Weekend","Weekday"),"")</f>
        <v>Weekday</v>
      </c>
      <c r="Q26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68" s="9" t="str">
        <f>IF(ISNUMBER(tblClean[[#This Row],[Duration Hours]]),IF(tblClean[[#This Row],[Duration Hours]]&lt;2,"Short (under 2h)",IF(tblClean[[#This Row],[Duration Hours]]&lt;3,"Standard (2h to under 3h)","Long (3h or more)")),"")</f>
        <v>Long (3h or more)</v>
      </c>
      <c r="S26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68" s="24">
        <f>IF(COUNTIF(tblClean[Session ID],tblClean[[#This Row],[Session ID]])&gt;1,1,0)</f>
        <v>0</v>
      </c>
      <c r="U268" s="24">
        <f>IF(OR(N(tblClean[[#This Row],[Attributed GMV PHP]])&lt;0,N(tblClean[[#This Row],[Items Sold]])&lt;0,N(tblClean[[#This Row],[Livestream Views]])&lt;0,N(tblClean[[#This Row],[New Followers]])&lt;0),1,0)</f>
        <v>0</v>
      </c>
      <c r="V268" s="24">
        <f>IF(ISNUMBER(tblClean[[#This Row],[Duration Hours]]),IF(OR(tblClean[[#This Row],[Duration Hours]]&lt;=0,tblClean[[#This Row],[Duration Hours]]&gt;12),1,0),1)</f>
        <v>0</v>
      </c>
      <c r="W268" s="24">
        <f>IF(COUNTIF(HostRoster,tblClean[[#This Row],[Host Name]])=0,1,0)</f>
        <v>0</v>
      </c>
      <c r="X268" s="24">
        <f>IF(tblClean[[#This Row],[Missing Flag]]+tblClean[[#This Row],[Duplicate Flag]]+tblClean[[#This Row],[Negative Flag]]+tblClean[[#This Row],[Duration Flag]]+tblClean[[#This Row],[Host Flag]]=0,1,0)</f>
        <v>1</v>
      </c>
    </row>
    <row r="269" spans="1:24" x14ac:dyDescent="0.3">
      <c r="A269" s="9" t="str">
        <f>TRIM('Raw Data'!A265)</f>
        <v>LS-0261</v>
      </c>
      <c r="B269" s="10">
        <f>IF(ISNUMBER('Raw Data'!B265),INT('Raw Data'!B265),IFERROR(DATEVALUE('Raw Data'!B265),""))</f>
        <v>45873</v>
      </c>
      <c r="C269" s="9" t="str">
        <f>PROPER(TRIM('Raw Data'!C265))</f>
        <v>Bianca Reyes</v>
      </c>
      <c r="D269" s="11">
        <f>IF(ISNUMBER('Raw Data'!D265),MOD('Raw Data'!D265,1),IFERROR(TIMEVALUE('Raw Data'!D265),""))</f>
        <v>0.91666666666666663</v>
      </c>
      <c r="E269" s="11">
        <f>IF(ISNUMBER('Raw Data'!E265),MOD('Raw Data'!E265,1),IFERROR(TIMEVALUE('Raw Data'!E265),""))</f>
        <v>2.0833333333333329E-2</v>
      </c>
      <c r="F269" s="12">
        <f>IF(ISNUMBER('Raw Data'!F265),'Raw Data'!F265,IFERROR(VALUE(SUBSTITUTE('Raw Data'!F265,",","")),""))</f>
        <v>22685</v>
      </c>
      <c r="G269" s="13">
        <f>IF(ISNUMBER('Raw Data'!G265),'Raw Data'!G265,IFERROR(VALUE(SUBSTITUTE('Raw Data'!G265,",","")),""))</f>
        <v>64</v>
      </c>
      <c r="H269" s="13">
        <f>IF(ISNUMBER('Raw Data'!H265),'Raw Data'!H265,IFERROR(VALUE(SUBSTITUTE('Raw Data'!H265,",","")),""))</f>
        <v>70850</v>
      </c>
      <c r="I269" s="13">
        <f>IF(ISNUMBER('Raw Data'!I265),'Raw Data'!I265,IFERROR(VALUE(SUBSTITUTE('Raw Data'!I265,",","")),""))</f>
        <v>693</v>
      </c>
      <c r="J269" s="21">
        <f>IF(AND(ISNUMBER(tblClean[[#This Row],[Start Time]]),ISNUMBER(tblClean[[#This Row],[End Time]])),ROUND(MOD(tblClean[[#This Row],[End Time]]-tblClean[[#This Row],[Start Time]],1)*24,2),"")</f>
        <v>2.5</v>
      </c>
      <c r="K269" s="12">
        <f>IF(AND(ISNUMBER(tblClean[[#This Row],[Duration Hours]]),ISNUMBER(tblClean[[#This Row],[Attributed GMV PHP]])),IF(tblClean[[#This Row],[Duration Hours]]&gt;0,tblClean[[#This Row],[Attributed GMV PHP]]/tblClean[[#This Row],[Duration Hours]],""),"")</f>
        <v>9074</v>
      </c>
      <c r="L269" s="22">
        <f>IF(ISNUMBER(tblClean[[#This Row],[Date]]),DATE(YEAR(tblClean[[#This Row],[Date]]),MONTH(tblClean[[#This Row],[Date]]),1),"")</f>
        <v>45870</v>
      </c>
      <c r="M269" s="10">
        <f>IF(ISNUMBER(tblClean[[#This Row],[Date]]),tblClean[[#This Row],[Date]]-WEEKDAY(tblClean[[#This Row],[Date]],2)+1,"")</f>
        <v>45873</v>
      </c>
      <c r="N269" s="23">
        <f>IF(ISNUMBER(tblClean[[#This Row],[Week Start]]),(tblClean[[#This Row],[Week Start]]-MIN(tblClean[Week Start]))/7+1,"")</f>
        <v>10</v>
      </c>
      <c r="O269" s="24" t="str">
        <f>IF(ISNUMBER(tblClean[[#This Row],[Date]]),CHOOSE(WEEKDAY(tblClean[[#This Row],[Date]],2),"Mon","Tue","Wed","Thu","Fri","Sat","Sun"),"")</f>
        <v>Mon</v>
      </c>
      <c r="P269" s="24" t="str">
        <f>IF(ISNUMBER(tblClean[[#This Row],[Date]]),IF(WEEKDAY(tblClean[[#This Row],[Date]],2)&gt;=6,"Weekend","Weekday"),"")</f>
        <v>Weekday</v>
      </c>
      <c r="Q26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69" s="9" t="str">
        <f>IF(ISNUMBER(tblClean[[#This Row],[Duration Hours]]),IF(tblClean[[#This Row],[Duration Hours]]&lt;2,"Short (under 2h)",IF(tblClean[[#This Row],[Duration Hours]]&lt;3,"Standard (2h to under 3h)","Long (3h or more)")),"")</f>
        <v>Standard (2h to under 3h)</v>
      </c>
      <c r="S26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69" s="24">
        <f>IF(COUNTIF(tblClean[Session ID],tblClean[[#This Row],[Session ID]])&gt;1,1,0)</f>
        <v>0</v>
      </c>
      <c r="U269" s="24">
        <f>IF(OR(N(tblClean[[#This Row],[Attributed GMV PHP]])&lt;0,N(tblClean[[#This Row],[Items Sold]])&lt;0,N(tblClean[[#This Row],[Livestream Views]])&lt;0,N(tblClean[[#This Row],[New Followers]])&lt;0),1,0)</f>
        <v>0</v>
      </c>
      <c r="V269" s="24">
        <f>IF(ISNUMBER(tblClean[[#This Row],[Duration Hours]]),IF(OR(tblClean[[#This Row],[Duration Hours]]&lt;=0,tblClean[[#This Row],[Duration Hours]]&gt;12),1,0),1)</f>
        <v>0</v>
      </c>
      <c r="W269" s="24">
        <f>IF(COUNTIF(HostRoster,tblClean[[#This Row],[Host Name]])=0,1,0)</f>
        <v>0</v>
      </c>
      <c r="X269" s="24">
        <f>IF(tblClean[[#This Row],[Missing Flag]]+tblClean[[#This Row],[Duplicate Flag]]+tblClean[[#This Row],[Negative Flag]]+tblClean[[#This Row],[Duration Flag]]+tblClean[[#This Row],[Host Flag]]=0,1,0)</f>
        <v>1</v>
      </c>
    </row>
    <row r="270" spans="1:24" x14ac:dyDescent="0.3">
      <c r="A270" s="9" t="str">
        <f>TRIM('Raw Data'!A266)</f>
        <v>LS-0262</v>
      </c>
      <c r="B270" s="10">
        <f>IF(ISNUMBER('Raw Data'!B266),INT('Raw Data'!B266),IFERROR(DATEVALUE('Raw Data'!B266),""))</f>
        <v>45874</v>
      </c>
      <c r="C270" s="9" t="str">
        <f>PROPER(TRIM('Raw Data'!C266))</f>
        <v>Dani Villanueva</v>
      </c>
      <c r="D270" s="11">
        <f>IF(ISNUMBER('Raw Data'!D266),MOD('Raw Data'!D266,1),IFERROR(TIMEVALUE('Raw Data'!D266),""))</f>
        <v>0.41666666666666669</v>
      </c>
      <c r="E270" s="11">
        <f>IF(ISNUMBER('Raw Data'!E266),MOD('Raw Data'!E266,1),IFERROR(TIMEVALUE('Raw Data'!E266),""))</f>
        <v>0.52083333333333337</v>
      </c>
      <c r="F270" s="12">
        <f>IF(ISNUMBER('Raw Data'!F266),'Raw Data'!F266,IFERROR(VALUE(SUBSTITUTE('Raw Data'!F266,",","")),""))</f>
        <v>8353</v>
      </c>
      <c r="G270" s="13">
        <f>IF(ISNUMBER('Raw Data'!G266),'Raw Data'!G266,IFERROR(VALUE(SUBSTITUTE('Raw Data'!G266,",","")),""))</f>
        <v>25</v>
      </c>
      <c r="H270" s="13">
        <f>IF(ISNUMBER('Raw Data'!H266),'Raw Data'!H266,IFERROR(VALUE(SUBSTITUTE('Raw Data'!H266,",","")),""))</f>
        <v>26913</v>
      </c>
      <c r="I270" s="13">
        <f>IF(ISNUMBER('Raw Data'!I266),'Raw Data'!I266,IFERROR(VALUE(SUBSTITUTE('Raw Data'!I266,",","")),""))</f>
        <v>108</v>
      </c>
      <c r="J270" s="21">
        <f>IF(AND(ISNUMBER(tblClean[[#This Row],[Start Time]]),ISNUMBER(tblClean[[#This Row],[End Time]])),ROUND(MOD(tblClean[[#This Row],[End Time]]-tblClean[[#This Row],[Start Time]],1)*24,2),"")</f>
        <v>2.5</v>
      </c>
      <c r="K270" s="12">
        <f>IF(AND(ISNUMBER(tblClean[[#This Row],[Duration Hours]]),ISNUMBER(tblClean[[#This Row],[Attributed GMV PHP]])),IF(tblClean[[#This Row],[Duration Hours]]&gt;0,tblClean[[#This Row],[Attributed GMV PHP]]/tblClean[[#This Row],[Duration Hours]],""),"")</f>
        <v>3341.2</v>
      </c>
      <c r="L270" s="22">
        <f>IF(ISNUMBER(tblClean[[#This Row],[Date]]),DATE(YEAR(tblClean[[#This Row],[Date]]),MONTH(tblClean[[#This Row],[Date]]),1),"")</f>
        <v>45870</v>
      </c>
      <c r="M270" s="10">
        <f>IF(ISNUMBER(tblClean[[#This Row],[Date]]),tblClean[[#This Row],[Date]]-WEEKDAY(tblClean[[#This Row],[Date]],2)+1,"")</f>
        <v>45873</v>
      </c>
      <c r="N270" s="23">
        <f>IF(ISNUMBER(tblClean[[#This Row],[Week Start]]),(tblClean[[#This Row],[Week Start]]-MIN(tblClean[Week Start]))/7+1,"")</f>
        <v>10</v>
      </c>
      <c r="O270" s="24" t="str">
        <f>IF(ISNUMBER(tblClean[[#This Row],[Date]]),CHOOSE(WEEKDAY(tblClean[[#This Row],[Date]],2),"Mon","Tue","Wed","Thu","Fri","Sat","Sun"),"")</f>
        <v>Tue</v>
      </c>
      <c r="P270" s="24" t="str">
        <f>IF(ISNUMBER(tblClean[[#This Row],[Date]]),IF(WEEKDAY(tblClean[[#This Row],[Date]],2)&gt;=6,"Weekend","Weekday"),"")</f>
        <v>Weekday</v>
      </c>
      <c r="Q27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70" s="9" t="str">
        <f>IF(ISNUMBER(tblClean[[#This Row],[Duration Hours]]),IF(tblClean[[#This Row],[Duration Hours]]&lt;2,"Short (under 2h)",IF(tblClean[[#This Row],[Duration Hours]]&lt;3,"Standard (2h to under 3h)","Long (3h or more)")),"")</f>
        <v>Standard (2h to under 3h)</v>
      </c>
      <c r="S27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70" s="24">
        <f>IF(COUNTIF(tblClean[Session ID],tblClean[[#This Row],[Session ID]])&gt;1,1,0)</f>
        <v>0</v>
      </c>
      <c r="U270" s="24">
        <f>IF(OR(N(tblClean[[#This Row],[Attributed GMV PHP]])&lt;0,N(tblClean[[#This Row],[Items Sold]])&lt;0,N(tblClean[[#This Row],[Livestream Views]])&lt;0,N(tblClean[[#This Row],[New Followers]])&lt;0),1,0)</f>
        <v>0</v>
      </c>
      <c r="V270" s="24">
        <f>IF(ISNUMBER(tblClean[[#This Row],[Duration Hours]]),IF(OR(tblClean[[#This Row],[Duration Hours]]&lt;=0,tblClean[[#This Row],[Duration Hours]]&gt;12),1,0),1)</f>
        <v>0</v>
      </c>
      <c r="W270" s="24">
        <f>IF(COUNTIF(HostRoster,tblClean[[#This Row],[Host Name]])=0,1,0)</f>
        <v>0</v>
      </c>
      <c r="X270" s="24">
        <f>IF(tblClean[[#This Row],[Missing Flag]]+tblClean[[#This Row],[Duplicate Flag]]+tblClean[[#This Row],[Negative Flag]]+tblClean[[#This Row],[Duration Flag]]+tblClean[[#This Row],[Host Flag]]=0,1,0)</f>
        <v>1</v>
      </c>
    </row>
    <row r="271" spans="1:24" x14ac:dyDescent="0.3">
      <c r="A271" s="9" t="str">
        <f>TRIM('Raw Data'!A267)</f>
        <v>LS-0263</v>
      </c>
      <c r="B271" s="10">
        <f>IF(ISNUMBER('Raw Data'!B267),INT('Raw Data'!B267),IFERROR(DATEVALUE('Raw Data'!B267),""))</f>
        <v>45874</v>
      </c>
      <c r="C271" s="9" t="str">
        <f>PROPER(TRIM('Raw Data'!C267))</f>
        <v>Dani Villanueva</v>
      </c>
      <c r="D271" s="11">
        <f>IF(ISNUMBER('Raw Data'!D267),MOD('Raw Data'!D267,1),IFERROR(TIMEVALUE('Raw Data'!D267),""))</f>
        <v>0.54166666666666663</v>
      </c>
      <c r="E271" s="11">
        <f>IF(ISNUMBER('Raw Data'!E267),MOD('Raw Data'!E267,1),IFERROR(TIMEVALUE('Raw Data'!E267),""))</f>
        <v>0.625</v>
      </c>
      <c r="F271" s="12">
        <f>IF(ISNUMBER('Raw Data'!F267),'Raw Data'!F267,IFERROR(VALUE(SUBSTITUTE('Raw Data'!F267,",","")),""))</f>
        <v>15999</v>
      </c>
      <c r="G271" s="13">
        <f>IF(ISNUMBER('Raw Data'!G267),'Raw Data'!G267,IFERROR(VALUE(SUBSTITUTE('Raw Data'!G267,",","")),""))</f>
        <v>45</v>
      </c>
      <c r="H271" s="13">
        <f>IF(ISNUMBER('Raw Data'!H267),'Raw Data'!H267,IFERROR(VALUE(SUBSTITUTE('Raw Data'!H267,",","")),""))</f>
        <v>72852</v>
      </c>
      <c r="I271" s="13">
        <f>IF(ISNUMBER('Raw Data'!I267),'Raw Data'!I267,IFERROR(VALUE(SUBSTITUTE('Raw Data'!I267,",","")),""))</f>
        <v>375</v>
      </c>
      <c r="J271" s="21">
        <f>IF(AND(ISNUMBER(tblClean[[#This Row],[Start Time]]),ISNUMBER(tblClean[[#This Row],[End Time]])),ROUND(MOD(tblClean[[#This Row],[End Time]]-tblClean[[#This Row],[Start Time]],1)*24,2),"")</f>
        <v>2</v>
      </c>
      <c r="K271" s="12">
        <f>IF(AND(ISNUMBER(tblClean[[#This Row],[Duration Hours]]),ISNUMBER(tblClean[[#This Row],[Attributed GMV PHP]])),IF(tblClean[[#This Row],[Duration Hours]]&gt;0,tblClean[[#This Row],[Attributed GMV PHP]]/tblClean[[#This Row],[Duration Hours]],""),"")</f>
        <v>7999.5</v>
      </c>
      <c r="L271" s="22">
        <f>IF(ISNUMBER(tblClean[[#This Row],[Date]]),DATE(YEAR(tblClean[[#This Row],[Date]]),MONTH(tblClean[[#This Row],[Date]]),1),"")</f>
        <v>45870</v>
      </c>
      <c r="M271" s="10">
        <f>IF(ISNUMBER(tblClean[[#This Row],[Date]]),tblClean[[#This Row],[Date]]-WEEKDAY(tblClean[[#This Row],[Date]],2)+1,"")</f>
        <v>45873</v>
      </c>
      <c r="N271" s="23">
        <f>IF(ISNUMBER(tblClean[[#This Row],[Week Start]]),(tblClean[[#This Row],[Week Start]]-MIN(tblClean[Week Start]))/7+1,"")</f>
        <v>10</v>
      </c>
      <c r="O271" s="24" t="str">
        <f>IF(ISNUMBER(tblClean[[#This Row],[Date]]),CHOOSE(WEEKDAY(tblClean[[#This Row],[Date]],2),"Mon","Tue","Wed","Thu","Fri","Sat","Sun"),"")</f>
        <v>Tue</v>
      </c>
      <c r="P271" s="24" t="str">
        <f>IF(ISNUMBER(tblClean[[#This Row],[Date]]),IF(WEEKDAY(tblClean[[#This Row],[Date]],2)&gt;=6,"Weekend","Weekday"),"")</f>
        <v>Weekday</v>
      </c>
      <c r="Q27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71" s="9" t="str">
        <f>IF(ISNUMBER(tblClean[[#This Row],[Duration Hours]]),IF(tblClean[[#This Row],[Duration Hours]]&lt;2,"Short (under 2h)",IF(tblClean[[#This Row],[Duration Hours]]&lt;3,"Standard (2h to under 3h)","Long (3h or more)")),"")</f>
        <v>Standard (2h to under 3h)</v>
      </c>
      <c r="S27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71" s="24">
        <f>IF(COUNTIF(tblClean[Session ID],tblClean[[#This Row],[Session ID]])&gt;1,1,0)</f>
        <v>0</v>
      </c>
      <c r="U271" s="24">
        <f>IF(OR(N(tblClean[[#This Row],[Attributed GMV PHP]])&lt;0,N(tblClean[[#This Row],[Items Sold]])&lt;0,N(tblClean[[#This Row],[Livestream Views]])&lt;0,N(tblClean[[#This Row],[New Followers]])&lt;0),1,0)</f>
        <v>0</v>
      </c>
      <c r="V271" s="24">
        <f>IF(ISNUMBER(tblClean[[#This Row],[Duration Hours]]),IF(OR(tblClean[[#This Row],[Duration Hours]]&lt;=0,tblClean[[#This Row],[Duration Hours]]&gt;12),1,0),1)</f>
        <v>0</v>
      </c>
      <c r="W271" s="24">
        <f>IF(COUNTIF(HostRoster,tblClean[[#This Row],[Host Name]])=0,1,0)</f>
        <v>0</v>
      </c>
      <c r="X271" s="24">
        <f>IF(tblClean[[#This Row],[Missing Flag]]+tblClean[[#This Row],[Duplicate Flag]]+tblClean[[#This Row],[Negative Flag]]+tblClean[[#This Row],[Duration Flag]]+tblClean[[#This Row],[Host Flag]]=0,1,0)</f>
        <v>1</v>
      </c>
    </row>
    <row r="272" spans="1:24" x14ac:dyDescent="0.3">
      <c r="A272" s="9" t="str">
        <f>TRIM('Raw Data'!A268)</f>
        <v>LS-0264</v>
      </c>
      <c r="B272" s="10">
        <f>IF(ISNUMBER('Raw Data'!B268),INT('Raw Data'!B268),IFERROR(DATEVALUE('Raw Data'!B268),""))</f>
        <v>45874</v>
      </c>
      <c r="C272" s="9" t="str">
        <f>PROPER(TRIM('Raw Data'!C268))</f>
        <v>Bianca Reyes</v>
      </c>
      <c r="D272" s="11">
        <f>IF(ISNUMBER('Raw Data'!D268),MOD('Raw Data'!D268,1),IFERROR(TIMEVALUE('Raw Data'!D268),""))</f>
        <v>0.66666666666666663</v>
      </c>
      <c r="E272" s="11">
        <f>IF(ISNUMBER('Raw Data'!E268),MOD('Raw Data'!E268,1),IFERROR(TIMEVALUE('Raw Data'!E268),""))</f>
        <v>0.79166666666666663</v>
      </c>
      <c r="F272" s="12">
        <f>IF(ISNUMBER('Raw Data'!F268),'Raw Data'!F268,IFERROR(VALUE(SUBSTITUTE('Raw Data'!F268,",","")),""))</f>
        <v>6639</v>
      </c>
      <c r="G272" s="13">
        <f>IF(ISNUMBER('Raw Data'!G268),'Raw Data'!G268,IFERROR(VALUE(SUBSTITUTE('Raw Data'!G268,",","")),""))</f>
        <v>20</v>
      </c>
      <c r="H272" s="13">
        <f>IF(ISNUMBER('Raw Data'!H268),'Raw Data'!H268,IFERROR(VALUE(SUBSTITUTE('Raw Data'!H268,",","")),""))</f>
        <v>30487</v>
      </c>
      <c r="I272" s="13">
        <f>IF(ISNUMBER('Raw Data'!I268),'Raw Data'!I268,IFERROR(VALUE(SUBSTITUTE('Raw Data'!I268,",","")),""))</f>
        <v>277</v>
      </c>
      <c r="J272" s="21">
        <f>IF(AND(ISNUMBER(tblClean[[#This Row],[Start Time]]),ISNUMBER(tblClean[[#This Row],[End Time]])),ROUND(MOD(tblClean[[#This Row],[End Time]]-tblClean[[#This Row],[Start Time]],1)*24,2),"")</f>
        <v>3</v>
      </c>
      <c r="K272" s="12">
        <f>IF(AND(ISNUMBER(tblClean[[#This Row],[Duration Hours]]),ISNUMBER(tblClean[[#This Row],[Attributed GMV PHP]])),IF(tblClean[[#This Row],[Duration Hours]]&gt;0,tblClean[[#This Row],[Attributed GMV PHP]]/tblClean[[#This Row],[Duration Hours]],""),"")</f>
        <v>2213</v>
      </c>
      <c r="L272" s="22">
        <f>IF(ISNUMBER(tblClean[[#This Row],[Date]]),DATE(YEAR(tblClean[[#This Row],[Date]]),MONTH(tblClean[[#This Row],[Date]]),1),"")</f>
        <v>45870</v>
      </c>
      <c r="M272" s="10">
        <f>IF(ISNUMBER(tblClean[[#This Row],[Date]]),tblClean[[#This Row],[Date]]-WEEKDAY(tblClean[[#This Row],[Date]],2)+1,"")</f>
        <v>45873</v>
      </c>
      <c r="N272" s="23">
        <f>IF(ISNUMBER(tblClean[[#This Row],[Week Start]]),(tblClean[[#This Row],[Week Start]]-MIN(tblClean[Week Start]))/7+1,"")</f>
        <v>10</v>
      </c>
      <c r="O272" s="24" t="str">
        <f>IF(ISNUMBER(tblClean[[#This Row],[Date]]),CHOOSE(WEEKDAY(tblClean[[#This Row],[Date]],2),"Mon","Tue","Wed","Thu","Fri","Sat","Sun"),"")</f>
        <v>Tue</v>
      </c>
      <c r="P272" s="24" t="str">
        <f>IF(ISNUMBER(tblClean[[#This Row],[Date]]),IF(WEEKDAY(tblClean[[#This Row],[Date]],2)&gt;=6,"Weekend","Weekday"),"")</f>
        <v>Weekday</v>
      </c>
      <c r="Q27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72" s="9" t="str">
        <f>IF(ISNUMBER(tblClean[[#This Row],[Duration Hours]]),IF(tblClean[[#This Row],[Duration Hours]]&lt;2,"Short (under 2h)",IF(tblClean[[#This Row],[Duration Hours]]&lt;3,"Standard (2h to under 3h)","Long (3h or more)")),"")</f>
        <v>Long (3h or more)</v>
      </c>
      <c r="S27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72" s="24">
        <f>IF(COUNTIF(tblClean[Session ID],tblClean[[#This Row],[Session ID]])&gt;1,1,0)</f>
        <v>0</v>
      </c>
      <c r="U272" s="24">
        <f>IF(OR(N(tblClean[[#This Row],[Attributed GMV PHP]])&lt;0,N(tblClean[[#This Row],[Items Sold]])&lt;0,N(tblClean[[#This Row],[Livestream Views]])&lt;0,N(tblClean[[#This Row],[New Followers]])&lt;0),1,0)</f>
        <v>0</v>
      </c>
      <c r="V272" s="24">
        <f>IF(ISNUMBER(tblClean[[#This Row],[Duration Hours]]),IF(OR(tblClean[[#This Row],[Duration Hours]]&lt;=0,tblClean[[#This Row],[Duration Hours]]&gt;12),1,0),1)</f>
        <v>0</v>
      </c>
      <c r="W272" s="24">
        <f>IF(COUNTIF(HostRoster,tblClean[[#This Row],[Host Name]])=0,1,0)</f>
        <v>0</v>
      </c>
      <c r="X272" s="24">
        <f>IF(tblClean[[#This Row],[Missing Flag]]+tblClean[[#This Row],[Duplicate Flag]]+tblClean[[#This Row],[Negative Flag]]+tblClean[[#This Row],[Duration Flag]]+tblClean[[#This Row],[Host Flag]]=0,1,0)</f>
        <v>1</v>
      </c>
    </row>
    <row r="273" spans="1:24" x14ac:dyDescent="0.3">
      <c r="A273" s="9" t="str">
        <f>TRIM('Raw Data'!A269)</f>
        <v>LS-0265</v>
      </c>
      <c r="B273" s="10">
        <f>IF(ISNUMBER('Raw Data'!B269),INT('Raw Data'!B269),IFERROR(DATEVALUE('Raw Data'!B269),""))</f>
        <v>45874</v>
      </c>
      <c r="C273" s="9" t="str">
        <f>PROPER(TRIM('Raw Data'!C269))</f>
        <v>Carlo Mendoza</v>
      </c>
      <c r="D273" s="11">
        <f>IF(ISNUMBER('Raw Data'!D269),MOD('Raw Data'!D269,1),IFERROR(TIMEVALUE('Raw Data'!D269),""))</f>
        <v>0.79166666666666663</v>
      </c>
      <c r="E273" s="11">
        <f>IF(ISNUMBER('Raw Data'!E269),MOD('Raw Data'!E269,1),IFERROR(TIMEVALUE('Raw Data'!E269),""))</f>
        <v>0.875</v>
      </c>
      <c r="F273" s="12">
        <f>IF(ISNUMBER('Raw Data'!F269),'Raw Data'!F269,IFERROR(VALUE(SUBSTITUTE('Raw Data'!F269,",","")),""))</f>
        <v>30593</v>
      </c>
      <c r="G273" s="13">
        <f>IF(ISNUMBER('Raw Data'!G269),'Raw Data'!G269,IFERROR(VALUE(SUBSTITUTE('Raw Data'!G269,",","")),""))</f>
        <v>89</v>
      </c>
      <c r="H273" s="13">
        <f>IF(ISNUMBER('Raw Data'!H269),'Raw Data'!H269,IFERROR(VALUE(SUBSTITUTE('Raw Data'!H269,",","")),""))</f>
        <v>96539</v>
      </c>
      <c r="I273" s="13">
        <f>IF(ISNUMBER('Raw Data'!I269),'Raw Data'!I269,IFERROR(VALUE(SUBSTITUTE('Raw Data'!I269,",","")),""))</f>
        <v>570</v>
      </c>
      <c r="J273" s="21">
        <f>IF(AND(ISNUMBER(tblClean[[#This Row],[Start Time]]),ISNUMBER(tblClean[[#This Row],[End Time]])),ROUND(MOD(tblClean[[#This Row],[End Time]]-tblClean[[#This Row],[Start Time]],1)*24,2),"")</f>
        <v>2</v>
      </c>
      <c r="K273" s="12">
        <f>IF(AND(ISNUMBER(tblClean[[#This Row],[Duration Hours]]),ISNUMBER(tblClean[[#This Row],[Attributed GMV PHP]])),IF(tblClean[[#This Row],[Duration Hours]]&gt;0,tblClean[[#This Row],[Attributed GMV PHP]]/tblClean[[#This Row],[Duration Hours]],""),"")</f>
        <v>15296.5</v>
      </c>
      <c r="L273" s="22">
        <f>IF(ISNUMBER(tblClean[[#This Row],[Date]]),DATE(YEAR(tblClean[[#This Row],[Date]]),MONTH(tblClean[[#This Row],[Date]]),1),"")</f>
        <v>45870</v>
      </c>
      <c r="M273" s="10">
        <f>IF(ISNUMBER(tblClean[[#This Row],[Date]]),tblClean[[#This Row],[Date]]-WEEKDAY(tblClean[[#This Row],[Date]],2)+1,"")</f>
        <v>45873</v>
      </c>
      <c r="N273" s="23">
        <f>IF(ISNUMBER(tblClean[[#This Row],[Week Start]]),(tblClean[[#This Row],[Week Start]]-MIN(tblClean[Week Start]))/7+1,"")</f>
        <v>10</v>
      </c>
      <c r="O273" s="24" t="str">
        <f>IF(ISNUMBER(tblClean[[#This Row],[Date]]),CHOOSE(WEEKDAY(tblClean[[#This Row],[Date]],2),"Mon","Tue","Wed","Thu","Fri","Sat","Sun"),"")</f>
        <v>Tue</v>
      </c>
      <c r="P273" s="24" t="str">
        <f>IF(ISNUMBER(tblClean[[#This Row],[Date]]),IF(WEEKDAY(tblClean[[#This Row],[Date]],2)&gt;=6,"Weekend","Weekday"),"")</f>
        <v>Weekday</v>
      </c>
      <c r="Q27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73" s="9" t="str">
        <f>IF(ISNUMBER(tblClean[[#This Row],[Duration Hours]]),IF(tblClean[[#This Row],[Duration Hours]]&lt;2,"Short (under 2h)",IF(tblClean[[#This Row],[Duration Hours]]&lt;3,"Standard (2h to under 3h)","Long (3h or more)")),"")</f>
        <v>Standard (2h to under 3h)</v>
      </c>
      <c r="S27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73" s="24">
        <f>IF(COUNTIF(tblClean[Session ID],tblClean[[#This Row],[Session ID]])&gt;1,1,0)</f>
        <v>0</v>
      </c>
      <c r="U273" s="24">
        <f>IF(OR(N(tblClean[[#This Row],[Attributed GMV PHP]])&lt;0,N(tblClean[[#This Row],[Items Sold]])&lt;0,N(tblClean[[#This Row],[Livestream Views]])&lt;0,N(tblClean[[#This Row],[New Followers]])&lt;0),1,0)</f>
        <v>0</v>
      </c>
      <c r="V273" s="24">
        <f>IF(ISNUMBER(tblClean[[#This Row],[Duration Hours]]),IF(OR(tblClean[[#This Row],[Duration Hours]]&lt;=0,tblClean[[#This Row],[Duration Hours]]&gt;12),1,0),1)</f>
        <v>0</v>
      </c>
      <c r="W273" s="24">
        <f>IF(COUNTIF(HostRoster,tblClean[[#This Row],[Host Name]])=0,1,0)</f>
        <v>0</v>
      </c>
      <c r="X273" s="24">
        <f>IF(tblClean[[#This Row],[Missing Flag]]+tblClean[[#This Row],[Duplicate Flag]]+tblClean[[#This Row],[Negative Flag]]+tblClean[[#This Row],[Duration Flag]]+tblClean[[#This Row],[Host Flag]]=0,1,0)</f>
        <v>1</v>
      </c>
    </row>
    <row r="274" spans="1:24" x14ac:dyDescent="0.3">
      <c r="A274" s="9" t="str">
        <f>TRIM('Raw Data'!A270)</f>
        <v>LS-0266</v>
      </c>
      <c r="B274" s="10">
        <f>IF(ISNUMBER('Raw Data'!B270),INT('Raw Data'!B270),IFERROR(DATEVALUE('Raw Data'!B270),""))</f>
        <v>45874</v>
      </c>
      <c r="C274" s="9" t="str">
        <f>PROPER(TRIM('Raw Data'!C270))</f>
        <v>Bianca Reyes</v>
      </c>
      <c r="D274" s="11">
        <f>IF(ISNUMBER('Raw Data'!D270),MOD('Raw Data'!D270,1),IFERROR(TIMEVALUE('Raw Data'!D270),""))</f>
        <v>0.91666666666666663</v>
      </c>
      <c r="E274" s="11">
        <f>IF(ISNUMBER('Raw Data'!E270),MOD('Raw Data'!E270,1),IFERROR(TIMEVALUE('Raw Data'!E270),""))</f>
        <v>0</v>
      </c>
      <c r="F274" s="12">
        <f>IF(ISNUMBER('Raw Data'!F270),'Raw Data'!F270,IFERROR(VALUE(SUBSTITUTE('Raw Data'!F270,",","")),""))</f>
        <v>21396</v>
      </c>
      <c r="G274" s="13">
        <f>IF(ISNUMBER('Raw Data'!G270),'Raw Data'!G270,IFERROR(VALUE(SUBSTITUTE('Raw Data'!G270,",","")),""))</f>
        <v>56</v>
      </c>
      <c r="H274" s="13">
        <f>IF(ISNUMBER('Raw Data'!H270),'Raw Data'!H270,IFERROR(VALUE(SUBSTITUTE('Raw Data'!H270,",","")),""))</f>
        <v>66159</v>
      </c>
      <c r="I274" s="13">
        <f>IF(ISNUMBER('Raw Data'!I270),'Raw Data'!I270,IFERROR(VALUE(SUBSTITUTE('Raw Data'!I270,",","")),""))</f>
        <v>526</v>
      </c>
      <c r="J274" s="21">
        <f>IF(AND(ISNUMBER(tblClean[[#This Row],[Start Time]]),ISNUMBER(tblClean[[#This Row],[End Time]])),ROUND(MOD(tblClean[[#This Row],[End Time]]-tblClean[[#This Row],[Start Time]],1)*24,2),"")</f>
        <v>2</v>
      </c>
      <c r="K274" s="12">
        <f>IF(AND(ISNUMBER(tblClean[[#This Row],[Duration Hours]]),ISNUMBER(tblClean[[#This Row],[Attributed GMV PHP]])),IF(tblClean[[#This Row],[Duration Hours]]&gt;0,tblClean[[#This Row],[Attributed GMV PHP]]/tblClean[[#This Row],[Duration Hours]],""),"")</f>
        <v>10698</v>
      </c>
      <c r="L274" s="22">
        <f>IF(ISNUMBER(tblClean[[#This Row],[Date]]),DATE(YEAR(tblClean[[#This Row],[Date]]),MONTH(tblClean[[#This Row],[Date]]),1),"")</f>
        <v>45870</v>
      </c>
      <c r="M274" s="10">
        <f>IF(ISNUMBER(tblClean[[#This Row],[Date]]),tblClean[[#This Row],[Date]]-WEEKDAY(tblClean[[#This Row],[Date]],2)+1,"")</f>
        <v>45873</v>
      </c>
      <c r="N274" s="23">
        <f>IF(ISNUMBER(tblClean[[#This Row],[Week Start]]),(tblClean[[#This Row],[Week Start]]-MIN(tblClean[Week Start]))/7+1,"")</f>
        <v>10</v>
      </c>
      <c r="O274" s="24" t="str">
        <f>IF(ISNUMBER(tblClean[[#This Row],[Date]]),CHOOSE(WEEKDAY(tblClean[[#This Row],[Date]],2),"Mon","Tue","Wed","Thu","Fri","Sat","Sun"),"")</f>
        <v>Tue</v>
      </c>
      <c r="P274" s="24" t="str">
        <f>IF(ISNUMBER(tblClean[[#This Row],[Date]]),IF(WEEKDAY(tblClean[[#This Row],[Date]],2)&gt;=6,"Weekend","Weekday"),"")</f>
        <v>Weekday</v>
      </c>
      <c r="Q27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74" s="9" t="str">
        <f>IF(ISNUMBER(tblClean[[#This Row],[Duration Hours]]),IF(tblClean[[#This Row],[Duration Hours]]&lt;2,"Short (under 2h)",IF(tblClean[[#This Row],[Duration Hours]]&lt;3,"Standard (2h to under 3h)","Long (3h or more)")),"")</f>
        <v>Standard (2h to under 3h)</v>
      </c>
      <c r="S27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74" s="24">
        <f>IF(COUNTIF(tblClean[Session ID],tblClean[[#This Row],[Session ID]])&gt;1,1,0)</f>
        <v>0</v>
      </c>
      <c r="U274" s="24">
        <f>IF(OR(N(tblClean[[#This Row],[Attributed GMV PHP]])&lt;0,N(tblClean[[#This Row],[Items Sold]])&lt;0,N(tblClean[[#This Row],[Livestream Views]])&lt;0,N(tblClean[[#This Row],[New Followers]])&lt;0),1,0)</f>
        <v>0</v>
      </c>
      <c r="V274" s="24">
        <f>IF(ISNUMBER(tblClean[[#This Row],[Duration Hours]]),IF(OR(tblClean[[#This Row],[Duration Hours]]&lt;=0,tblClean[[#This Row],[Duration Hours]]&gt;12),1,0),1)</f>
        <v>0</v>
      </c>
      <c r="W274" s="24">
        <f>IF(COUNTIF(HostRoster,tblClean[[#This Row],[Host Name]])=0,1,0)</f>
        <v>0</v>
      </c>
      <c r="X274" s="24">
        <f>IF(tblClean[[#This Row],[Missing Flag]]+tblClean[[#This Row],[Duplicate Flag]]+tblClean[[#This Row],[Negative Flag]]+tblClean[[#This Row],[Duration Flag]]+tblClean[[#This Row],[Host Flag]]=0,1,0)</f>
        <v>1</v>
      </c>
    </row>
    <row r="275" spans="1:24" x14ac:dyDescent="0.3">
      <c r="A275" s="9" t="str">
        <f>TRIM('Raw Data'!A271)</f>
        <v>LS-0267</v>
      </c>
      <c r="B275" s="10">
        <f>IF(ISNUMBER('Raw Data'!B271),INT('Raw Data'!B271),IFERROR(DATEVALUE('Raw Data'!B271),""))</f>
        <v>45875</v>
      </c>
      <c r="C275" s="9" t="str">
        <f>PROPER(TRIM('Raw Data'!C271))</f>
        <v>Bianca Reyes</v>
      </c>
      <c r="D275" s="11">
        <f>IF(ISNUMBER('Raw Data'!D271),MOD('Raw Data'!D271,1),IFERROR(TIMEVALUE('Raw Data'!D271),""))</f>
        <v>0.41666666666666669</v>
      </c>
      <c r="E275" s="11">
        <f>IF(ISNUMBER('Raw Data'!E271),MOD('Raw Data'!E271,1),IFERROR(TIMEVALUE('Raw Data'!E271),""))</f>
        <v>0.54166666666666663</v>
      </c>
      <c r="F275" s="12">
        <f>IF(ISNUMBER('Raw Data'!F271),'Raw Data'!F271,IFERROR(VALUE(SUBSTITUTE('Raw Data'!F271,",","")),""))</f>
        <v>21562</v>
      </c>
      <c r="G275" s="13">
        <f>IF(ISNUMBER('Raw Data'!G271),'Raw Data'!G271,IFERROR(VALUE(SUBSTITUTE('Raw Data'!G271,",","")),""))</f>
        <v>67</v>
      </c>
      <c r="H275" s="13">
        <f>IF(ISNUMBER('Raw Data'!H271),'Raw Data'!H271,IFERROR(VALUE(SUBSTITUTE('Raw Data'!H271,",","")),""))</f>
        <v>105583</v>
      </c>
      <c r="I275" s="13">
        <f>IF(ISNUMBER('Raw Data'!I271),'Raw Data'!I271,IFERROR(VALUE(SUBSTITUTE('Raw Data'!I271,",","")),""))</f>
        <v>1109</v>
      </c>
      <c r="J275" s="21">
        <f>IF(AND(ISNUMBER(tblClean[[#This Row],[Start Time]]),ISNUMBER(tblClean[[#This Row],[End Time]])),ROUND(MOD(tblClean[[#This Row],[End Time]]-tblClean[[#This Row],[Start Time]],1)*24,2),"")</f>
        <v>3</v>
      </c>
      <c r="K275" s="12">
        <f>IF(AND(ISNUMBER(tblClean[[#This Row],[Duration Hours]]),ISNUMBER(tblClean[[#This Row],[Attributed GMV PHP]])),IF(tblClean[[#This Row],[Duration Hours]]&gt;0,tblClean[[#This Row],[Attributed GMV PHP]]/tblClean[[#This Row],[Duration Hours]],""),"")</f>
        <v>7187.333333333333</v>
      </c>
      <c r="L275" s="22">
        <f>IF(ISNUMBER(tblClean[[#This Row],[Date]]),DATE(YEAR(tblClean[[#This Row],[Date]]),MONTH(tblClean[[#This Row],[Date]]),1),"")</f>
        <v>45870</v>
      </c>
      <c r="M275" s="10">
        <f>IF(ISNUMBER(tblClean[[#This Row],[Date]]),tblClean[[#This Row],[Date]]-WEEKDAY(tblClean[[#This Row],[Date]],2)+1,"")</f>
        <v>45873</v>
      </c>
      <c r="N275" s="23">
        <f>IF(ISNUMBER(tblClean[[#This Row],[Week Start]]),(tblClean[[#This Row],[Week Start]]-MIN(tblClean[Week Start]))/7+1,"")</f>
        <v>10</v>
      </c>
      <c r="O275" s="24" t="str">
        <f>IF(ISNUMBER(tblClean[[#This Row],[Date]]),CHOOSE(WEEKDAY(tblClean[[#This Row],[Date]],2),"Mon","Tue","Wed","Thu","Fri","Sat","Sun"),"")</f>
        <v>Wed</v>
      </c>
      <c r="P275" s="24" t="str">
        <f>IF(ISNUMBER(tblClean[[#This Row],[Date]]),IF(WEEKDAY(tblClean[[#This Row],[Date]],2)&gt;=6,"Weekend","Weekday"),"")</f>
        <v>Weekday</v>
      </c>
      <c r="Q27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75" s="9" t="str">
        <f>IF(ISNUMBER(tblClean[[#This Row],[Duration Hours]]),IF(tblClean[[#This Row],[Duration Hours]]&lt;2,"Short (under 2h)",IF(tblClean[[#This Row],[Duration Hours]]&lt;3,"Standard (2h to under 3h)","Long (3h or more)")),"")</f>
        <v>Long (3h or more)</v>
      </c>
      <c r="S27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75" s="24">
        <f>IF(COUNTIF(tblClean[Session ID],tblClean[[#This Row],[Session ID]])&gt;1,1,0)</f>
        <v>0</v>
      </c>
      <c r="U275" s="24">
        <f>IF(OR(N(tblClean[[#This Row],[Attributed GMV PHP]])&lt;0,N(tblClean[[#This Row],[Items Sold]])&lt;0,N(tblClean[[#This Row],[Livestream Views]])&lt;0,N(tblClean[[#This Row],[New Followers]])&lt;0),1,0)</f>
        <v>0</v>
      </c>
      <c r="V275" s="24">
        <f>IF(ISNUMBER(tblClean[[#This Row],[Duration Hours]]),IF(OR(tblClean[[#This Row],[Duration Hours]]&lt;=0,tblClean[[#This Row],[Duration Hours]]&gt;12),1,0),1)</f>
        <v>0</v>
      </c>
      <c r="W275" s="24">
        <f>IF(COUNTIF(HostRoster,tblClean[[#This Row],[Host Name]])=0,1,0)</f>
        <v>0</v>
      </c>
      <c r="X275" s="24">
        <f>IF(tblClean[[#This Row],[Missing Flag]]+tblClean[[#This Row],[Duplicate Flag]]+tblClean[[#This Row],[Negative Flag]]+tblClean[[#This Row],[Duration Flag]]+tblClean[[#This Row],[Host Flag]]=0,1,0)</f>
        <v>1</v>
      </c>
    </row>
    <row r="276" spans="1:24" x14ac:dyDescent="0.3">
      <c r="A276" s="9" t="str">
        <f>TRIM('Raw Data'!A272)</f>
        <v>LS-0268</v>
      </c>
      <c r="B276" s="10">
        <f>IF(ISNUMBER('Raw Data'!B272),INT('Raw Data'!B272),IFERROR(DATEVALUE('Raw Data'!B272),""))</f>
        <v>45875</v>
      </c>
      <c r="C276" s="9" t="str">
        <f>PROPER(TRIM('Raw Data'!C272))</f>
        <v>Bianca Reyes</v>
      </c>
      <c r="D276" s="11">
        <f>IF(ISNUMBER('Raw Data'!D272),MOD('Raw Data'!D272,1),IFERROR(TIMEVALUE('Raw Data'!D272),""))</f>
        <v>0.66666666666666663</v>
      </c>
      <c r="E276" s="11">
        <f>IF(ISNUMBER('Raw Data'!E272),MOD('Raw Data'!E272,1),IFERROR(TIMEVALUE('Raw Data'!E272),""))</f>
        <v>0.79166666666666663</v>
      </c>
      <c r="F276" s="12">
        <f>IF(ISNUMBER('Raw Data'!F272),'Raw Data'!F272,IFERROR(VALUE(SUBSTITUTE('Raw Data'!F272,",","")),""))</f>
        <v>36879</v>
      </c>
      <c r="G276" s="13">
        <f>IF(ISNUMBER('Raw Data'!G272),'Raw Data'!G272,IFERROR(VALUE(SUBSTITUTE('Raw Data'!G272,",","")),""))</f>
        <v>100</v>
      </c>
      <c r="H276" s="13">
        <f>IF(ISNUMBER('Raw Data'!H272),'Raw Data'!H272,IFERROR(VALUE(SUBSTITUTE('Raw Data'!H272,",","")),""))</f>
        <v>89412</v>
      </c>
      <c r="I276" s="13">
        <f>IF(ISNUMBER('Raw Data'!I272),'Raw Data'!I272,IFERROR(VALUE(SUBSTITUTE('Raw Data'!I272,",","")),""))</f>
        <v>1081</v>
      </c>
      <c r="J276" s="21">
        <f>IF(AND(ISNUMBER(tblClean[[#This Row],[Start Time]]),ISNUMBER(tblClean[[#This Row],[End Time]])),ROUND(MOD(tblClean[[#This Row],[End Time]]-tblClean[[#This Row],[Start Time]],1)*24,2),"")</f>
        <v>3</v>
      </c>
      <c r="K276" s="12">
        <f>IF(AND(ISNUMBER(tblClean[[#This Row],[Duration Hours]]),ISNUMBER(tblClean[[#This Row],[Attributed GMV PHP]])),IF(tblClean[[#This Row],[Duration Hours]]&gt;0,tblClean[[#This Row],[Attributed GMV PHP]]/tblClean[[#This Row],[Duration Hours]],""),"")</f>
        <v>12293</v>
      </c>
      <c r="L276" s="22">
        <f>IF(ISNUMBER(tblClean[[#This Row],[Date]]),DATE(YEAR(tblClean[[#This Row],[Date]]),MONTH(tblClean[[#This Row],[Date]]),1),"")</f>
        <v>45870</v>
      </c>
      <c r="M276" s="10">
        <f>IF(ISNUMBER(tblClean[[#This Row],[Date]]),tblClean[[#This Row],[Date]]-WEEKDAY(tblClean[[#This Row],[Date]],2)+1,"")</f>
        <v>45873</v>
      </c>
      <c r="N276" s="23">
        <f>IF(ISNUMBER(tblClean[[#This Row],[Week Start]]),(tblClean[[#This Row],[Week Start]]-MIN(tblClean[Week Start]))/7+1,"")</f>
        <v>10</v>
      </c>
      <c r="O276" s="24" t="str">
        <f>IF(ISNUMBER(tblClean[[#This Row],[Date]]),CHOOSE(WEEKDAY(tblClean[[#This Row],[Date]],2),"Mon","Tue","Wed","Thu","Fri","Sat","Sun"),"")</f>
        <v>Wed</v>
      </c>
      <c r="P276" s="24" t="str">
        <f>IF(ISNUMBER(tblClean[[#This Row],[Date]]),IF(WEEKDAY(tblClean[[#This Row],[Date]],2)&gt;=6,"Weekend","Weekday"),"")</f>
        <v>Weekday</v>
      </c>
      <c r="Q27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76" s="9" t="str">
        <f>IF(ISNUMBER(tblClean[[#This Row],[Duration Hours]]),IF(tblClean[[#This Row],[Duration Hours]]&lt;2,"Short (under 2h)",IF(tblClean[[#This Row],[Duration Hours]]&lt;3,"Standard (2h to under 3h)","Long (3h or more)")),"")</f>
        <v>Long (3h or more)</v>
      </c>
      <c r="S27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76" s="24">
        <f>IF(COUNTIF(tblClean[Session ID],tblClean[[#This Row],[Session ID]])&gt;1,1,0)</f>
        <v>0</v>
      </c>
      <c r="U276" s="24">
        <f>IF(OR(N(tblClean[[#This Row],[Attributed GMV PHP]])&lt;0,N(tblClean[[#This Row],[Items Sold]])&lt;0,N(tblClean[[#This Row],[Livestream Views]])&lt;0,N(tblClean[[#This Row],[New Followers]])&lt;0),1,0)</f>
        <v>0</v>
      </c>
      <c r="V276" s="24">
        <f>IF(ISNUMBER(tblClean[[#This Row],[Duration Hours]]),IF(OR(tblClean[[#This Row],[Duration Hours]]&lt;=0,tblClean[[#This Row],[Duration Hours]]&gt;12),1,0),1)</f>
        <v>0</v>
      </c>
      <c r="W276" s="24">
        <f>IF(COUNTIF(HostRoster,tblClean[[#This Row],[Host Name]])=0,1,0)</f>
        <v>0</v>
      </c>
      <c r="X276" s="24">
        <f>IF(tblClean[[#This Row],[Missing Flag]]+tblClean[[#This Row],[Duplicate Flag]]+tblClean[[#This Row],[Negative Flag]]+tblClean[[#This Row],[Duration Flag]]+tblClean[[#This Row],[Host Flag]]=0,1,0)</f>
        <v>1</v>
      </c>
    </row>
    <row r="277" spans="1:24" x14ac:dyDescent="0.3">
      <c r="A277" s="9" t="str">
        <f>TRIM('Raw Data'!A273)</f>
        <v>LS-0269</v>
      </c>
      <c r="B277" s="10">
        <f>IF(ISNUMBER('Raw Data'!B273),INT('Raw Data'!B273),IFERROR(DATEVALUE('Raw Data'!B273),""))</f>
        <v>45875</v>
      </c>
      <c r="C277" s="9" t="str">
        <f>PROPER(TRIM('Raw Data'!C273))</f>
        <v>Bianca Reyes</v>
      </c>
      <c r="D277" s="11">
        <f>IF(ISNUMBER('Raw Data'!D273),MOD('Raw Data'!D273,1),IFERROR(TIMEVALUE('Raw Data'!D273),""))</f>
        <v>0.79166666666666663</v>
      </c>
      <c r="E277" s="11">
        <f>IF(ISNUMBER('Raw Data'!E273),MOD('Raw Data'!E273,1),IFERROR(TIMEVALUE('Raw Data'!E273),""))</f>
        <v>0.875</v>
      </c>
      <c r="F277" s="12">
        <f>IF(ISNUMBER('Raw Data'!F273),'Raw Data'!F273,IFERROR(VALUE(SUBSTITUTE('Raw Data'!F273,",","")),""))</f>
        <v>25940</v>
      </c>
      <c r="G277" s="13">
        <f>IF(ISNUMBER('Raw Data'!G273),'Raw Data'!G273,IFERROR(VALUE(SUBSTITUTE('Raw Data'!G273,",","")),""))</f>
        <v>76</v>
      </c>
      <c r="H277" s="13">
        <f>IF(ISNUMBER('Raw Data'!H273),'Raw Data'!H273,IFERROR(VALUE(SUBSTITUTE('Raw Data'!H273,",","")),""))</f>
        <v>84451</v>
      </c>
      <c r="I277" s="13">
        <f>IF(ISNUMBER('Raw Data'!I273),'Raw Data'!I273,IFERROR(VALUE(SUBSTITUTE('Raw Data'!I273,",","")),""))</f>
        <v>609</v>
      </c>
      <c r="J277" s="21">
        <f>IF(AND(ISNUMBER(tblClean[[#This Row],[Start Time]]),ISNUMBER(tblClean[[#This Row],[End Time]])),ROUND(MOD(tblClean[[#This Row],[End Time]]-tblClean[[#This Row],[Start Time]],1)*24,2),"")</f>
        <v>2</v>
      </c>
      <c r="K277" s="12">
        <f>IF(AND(ISNUMBER(tblClean[[#This Row],[Duration Hours]]),ISNUMBER(tblClean[[#This Row],[Attributed GMV PHP]])),IF(tblClean[[#This Row],[Duration Hours]]&gt;0,tblClean[[#This Row],[Attributed GMV PHP]]/tblClean[[#This Row],[Duration Hours]],""),"")</f>
        <v>12970</v>
      </c>
      <c r="L277" s="22">
        <f>IF(ISNUMBER(tblClean[[#This Row],[Date]]),DATE(YEAR(tblClean[[#This Row],[Date]]),MONTH(tblClean[[#This Row],[Date]]),1),"")</f>
        <v>45870</v>
      </c>
      <c r="M277" s="10">
        <f>IF(ISNUMBER(tblClean[[#This Row],[Date]]),tblClean[[#This Row],[Date]]-WEEKDAY(tblClean[[#This Row],[Date]],2)+1,"")</f>
        <v>45873</v>
      </c>
      <c r="N277" s="23">
        <f>IF(ISNUMBER(tblClean[[#This Row],[Week Start]]),(tblClean[[#This Row],[Week Start]]-MIN(tblClean[Week Start]))/7+1,"")</f>
        <v>10</v>
      </c>
      <c r="O277" s="24" t="str">
        <f>IF(ISNUMBER(tblClean[[#This Row],[Date]]),CHOOSE(WEEKDAY(tblClean[[#This Row],[Date]],2),"Mon","Tue","Wed","Thu","Fri","Sat","Sun"),"")</f>
        <v>Wed</v>
      </c>
      <c r="P277" s="24" t="str">
        <f>IF(ISNUMBER(tblClean[[#This Row],[Date]]),IF(WEEKDAY(tblClean[[#This Row],[Date]],2)&gt;=6,"Weekend","Weekday"),"")</f>
        <v>Weekday</v>
      </c>
      <c r="Q27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77" s="9" t="str">
        <f>IF(ISNUMBER(tblClean[[#This Row],[Duration Hours]]),IF(tblClean[[#This Row],[Duration Hours]]&lt;2,"Short (under 2h)",IF(tblClean[[#This Row],[Duration Hours]]&lt;3,"Standard (2h to under 3h)","Long (3h or more)")),"")</f>
        <v>Standard (2h to under 3h)</v>
      </c>
      <c r="S27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77" s="24">
        <f>IF(COUNTIF(tblClean[Session ID],tblClean[[#This Row],[Session ID]])&gt;1,1,0)</f>
        <v>0</v>
      </c>
      <c r="U277" s="24">
        <f>IF(OR(N(tblClean[[#This Row],[Attributed GMV PHP]])&lt;0,N(tblClean[[#This Row],[Items Sold]])&lt;0,N(tblClean[[#This Row],[Livestream Views]])&lt;0,N(tblClean[[#This Row],[New Followers]])&lt;0),1,0)</f>
        <v>0</v>
      </c>
      <c r="V277" s="24">
        <f>IF(ISNUMBER(tblClean[[#This Row],[Duration Hours]]),IF(OR(tblClean[[#This Row],[Duration Hours]]&lt;=0,tblClean[[#This Row],[Duration Hours]]&gt;12),1,0),1)</f>
        <v>0</v>
      </c>
      <c r="W277" s="24">
        <f>IF(COUNTIF(HostRoster,tblClean[[#This Row],[Host Name]])=0,1,0)</f>
        <v>0</v>
      </c>
      <c r="X277" s="24">
        <f>IF(tblClean[[#This Row],[Missing Flag]]+tblClean[[#This Row],[Duplicate Flag]]+tblClean[[#This Row],[Negative Flag]]+tblClean[[#This Row],[Duration Flag]]+tblClean[[#This Row],[Host Flag]]=0,1,0)</f>
        <v>1</v>
      </c>
    </row>
    <row r="278" spans="1:24" x14ac:dyDescent="0.3">
      <c r="A278" s="9" t="str">
        <f>TRIM('Raw Data'!A274)</f>
        <v>LS-0270</v>
      </c>
      <c r="B278" s="10">
        <f>IF(ISNUMBER('Raw Data'!B274),INT('Raw Data'!B274),IFERROR(DATEVALUE('Raw Data'!B274),""))</f>
        <v>45875</v>
      </c>
      <c r="C278" s="9" t="str">
        <f>PROPER(TRIM('Raw Data'!C274))</f>
        <v>Aira Valdez</v>
      </c>
      <c r="D278" s="11">
        <f>IF(ISNUMBER('Raw Data'!D274),MOD('Raw Data'!D274,1),IFERROR(TIMEVALUE('Raw Data'!D274),""))</f>
        <v>0.91666666666666663</v>
      </c>
      <c r="E278" s="11">
        <f>IF(ISNUMBER('Raw Data'!E274),MOD('Raw Data'!E274,1),IFERROR(TIMEVALUE('Raw Data'!E274),""))</f>
        <v>0.97916666666666663</v>
      </c>
      <c r="F278" s="12">
        <f>IF(ISNUMBER('Raw Data'!F274),'Raw Data'!F274,IFERROR(VALUE(SUBSTITUTE('Raw Data'!F274,",","")),""))</f>
        <v>14932</v>
      </c>
      <c r="G278" s="13">
        <f>IF(ISNUMBER('Raw Data'!G274),'Raw Data'!G274,IFERROR(VALUE(SUBSTITUTE('Raw Data'!G274,",","")),""))</f>
        <v>47</v>
      </c>
      <c r="H278" s="13">
        <f>IF(ISNUMBER('Raw Data'!H274),'Raw Data'!H274,IFERROR(VALUE(SUBSTITUTE('Raw Data'!H274,",","")),""))</f>
        <v>81018</v>
      </c>
      <c r="I278" s="13">
        <f>IF(ISNUMBER('Raw Data'!I274),'Raw Data'!I274,IFERROR(VALUE(SUBSTITUTE('Raw Data'!I274,",","")),""))</f>
        <v>561</v>
      </c>
      <c r="J278" s="21">
        <f>IF(AND(ISNUMBER(tblClean[[#This Row],[Start Time]]),ISNUMBER(tblClean[[#This Row],[End Time]])),ROUND(MOD(tblClean[[#This Row],[End Time]]-tblClean[[#This Row],[Start Time]],1)*24,2),"")</f>
        <v>1.5</v>
      </c>
      <c r="K278" s="12">
        <f>IF(AND(ISNUMBER(tblClean[[#This Row],[Duration Hours]]),ISNUMBER(tblClean[[#This Row],[Attributed GMV PHP]])),IF(tblClean[[#This Row],[Duration Hours]]&gt;0,tblClean[[#This Row],[Attributed GMV PHP]]/tblClean[[#This Row],[Duration Hours]],""),"")</f>
        <v>9954.6666666666661</v>
      </c>
      <c r="L278" s="22">
        <f>IF(ISNUMBER(tblClean[[#This Row],[Date]]),DATE(YEAR(tblClean[[#This Row],[Date]]),MONTH(tblClean[[#This Row],[Date]]),1),"")</f>
        <v>45870</v>
      </c>
      <c r="M278" s="10">
        <f>IF(ISNUMBER(tblClean[[#This Row],[Date]]),tblClean[[#This Row],[Date]]-WEEKDAY(tblClean[[#This Row],[Date]],2)+1,"")</f>
        <v>45873</v>
      </c>
      <c r="N278" s="23">
        <f>IF(ISNUMBER(tblClean[[#This Row],[Week Start]]),(tblClean[[#This Row],[Week Start]]-MIN(tblClean[Week Start]))/7+1,"")</f>
        <v>10</v>
      </c>
      <c r="O278" s="24" t="str">
        <f>IF(ISNUMBER(tblClean[[#This Row],[Date]]),CHOOSE(WEEKDAY(tblClean[[#This Row],[Date]],2),"Mon","Tue","Wed","Thu","Fri","Sat","Sun"),"")</f>
        <v>Wed</v>
      </c>
      <c r="P278" s="24" t="str">
        <f>IF(ISNUMBER(tblClean[[#This Row],[Date]]),IF(WEEKDAY(tblClean[[#This Row],[Date]],2)&gt;=6,"Weekend","Weekday"),"")</f>
        <v>Weekday</v>
      </c>
      <c r="Q27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78" s="9" t="str">
        <f>IF(ISNUMBER(tblClean[[#This Row],[Duration Hours]]),IF(tblClean[[#This Row],[Duration Hours]]&lt;2,"Short (under 2h)",IF(tblClean[[#This Row],[Duration Hours]]&lt;3,"Standard (2h to under 3h)","Long (3h or more)")),"")</f>
        <v>Short (under 2h)</v>
      </c>
      <c r="S27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78" s="24">
        <f>IF(COUNTIF(tblClean[Session ID],tblClean[[#This Row],[Session ID]])&gt;1,1,0)</f>
        <v>0</v>
      </c>
      <c r="U278" s="24">
        <f>IF(OR(N(tblClean[[#This Row],[Attributed GMV PHP]])&lt;0,N(tblClean[[#This Row],[Items Sold]])&lt;0,N(tblClean[[#This Row],[Livestream Views]])&lt;0,N(tblClean[[#This Row],[New Followers]])&lt;0),1,0)</f>
        <v>0</v>
      </c>
      <c r="V278" s="24">
        <f>IF(ISNUMBER(tblClean[[#This Row],[Duration Hours]]),IF(OR(tblClean[[#This Row],[Duration Hours]]&lt;=0,tblClean[[#This Row],[Duration Hours]]&gt;12),1,0),1)</f>
        <v>0</v>
      </c>
      <c r="W278" s="24">
        <f>IF(COUNTIF(HostRoster,tblClean[[#This Row],[Host Name]])=0,1,0)</f>
        <v>0</v>
      </c>
      <c r="X278" s="24">
        <f>IF(tblClean[[#This Row],[Missing Flag]]+tblClean[[#This Row],[Duplicate Flag]]+tblClean[[#This Row],[Negative Flag]]+tblClean[[#This Row],[Duration Flag]]+tblClean[[#This Row],[Host Flag]]=0,1,0)</f>
        <v>1</v>
      </c>
    </row>
    <row r="279" spans="1:24" x14ac:dyDescent="0.3">
      <c r="A279" s="9" t="str">
        <f>TRIM('Raw Data'!A275)</f>
        <v>LS-0271</v>
      </c>
      <c r="B279" s="10">
        <f>IF(ISNUMBER('Raw Data'!B275),INT('Raw Data'!B275),IFERROR(DATEVALUE('Raw Data'!B275),""))</f>
        <v>45876</v>
      </c>
      <c r="C279" s="9" t="str">
        <f>PROPER(TRIM('Raw Data'!C275))</f>
        <v>Dani Villanueva</v>
      </c>
      <c r="D279" s="11">
        <f>IF(ISNUMBER('Raw Data'!D275),MOD('Raw Data'!D275,1),IFERROR(TIMEVALUE('Raw Data'!D275),""))</f>
        <v>0.54166666666666663</v>
      </c>
      <c r="E279" s="11">
        <f>IF(ISNUMBER('Raw Data'!E275),MOD('Raw Data'!E275,1),IFERROR(TIMEVALUE('Raw Data'!E275),""))</f>
        <v>0.625</v>
      </c>
      <c r="F279" s="12">
        <f>IF(ISNUMBER('Raw Data'!F275),'Raw Data'!F275,IFERROR(VALUE(SUBSTITUTE('Raw Data'!F275,",","")),""))</f>
        <v>13484</v>
      </c>
      <c r="G279" s="13">
        <f>IF(ISNUMBER('Raw Data'!G275),'Raw Data'!G275,IFERROR(VALUE(SUBSTITUTE('Raw Data'!G275,",","")),""))</f>
        <v>41</v>
      </c>
      <c r="H279" s="13">
        <f>IF(ISNUMBER('Raw Data'!H275),'Raw Data'!H275,IFERROR(VALUE(SUBSTITUTE('Raw Data'!H275,",","")),""))</f>
        <v>68535</v>
      </c>
      <c r="I279" s="13">
        <f>IF(ISNUMBER('Raw Data'!I275),'Raw Data'!I275,IFERROR(VALUE(SUBSTITUTE('Raw Data'!I275,",","")),""))</f>
        <v>657</v>
      </c>
      <c r="J279" s="21">
        <f>IF(AND(ISNUMBER(tblClean[[#This Row],[Start Time]]),ISNUMBER(tblClean[[#This Row],[End Time]])),ROUND(MOD(tblClean[[#This Row],[End Time]]-tblClean[[#This Row],[Start Time]],1)*24,2),"")</f>
        <v>2</v>
      </c>
      <c r="K279" s="12">
        <f>IF(AND(ISNUMBER(tblClean[[#This Row],[Duration Hours]]),ISNUMBER(tblClean[[#This Row],[Attributed GMV PHP]])),IF(tblClean[[#This Row],[Duration Hours]]&gt;0,tblClean[[#This Row],[Attributed GMV PHP]]/tblClean[[#This Row],[Duration Hours]],""),"")</f>
        <v>6742</v>
      </c>
      <c r="L279" s="22">
        <f>IF(ISNUMBER(tblClean[[#This Row],[Date]]),DATE(YEAR(tblClean[[#This Row],[Date]]),MONTH(tblClean[[#This Row],[Date]]),1),"")</f>
        <v>45870</v>
      </c>
      <c r="M279" s="10">
        <f>IF(ISNUMBER(tblClean[[#This Row],[Date]]),tblClean[[#This Row],[Date]]-WEEKDAY(tblClean[[#This Row],[Date]],2)+1,"")</f>
        <v>45873</v>
      </c>
      <c r="N279" s="23">
        <f>IF(ISNUMBER(tblClean[[#This Row],[Week Start]]),(tblClean[[#This Row],[Week Start]]-MIN(tblClean[Week Start]))/7+1,"")</f>
        <v>10</v>
      </c>
      <c r="O279" s="24" t="str">
        <f>IF(ISNUMBER(tblClean[[#This Row],[Date]]),CHOOSE(WEEKDAY(tblClean[[#This Row],[Date]],2),"Mon","Tue","Wed","Thu","Fri","Sat","Sun"),"")</f>
        <v>Thu</v>
      </c>
      <c r="P279" s="24" t="str">
        <f>IF(ISNUMBER(tblClean[[#This Row],[Date]]),IF(WEEKDAY(tblClean[[#This Row],[Date]],2)&gt;=6,"Weekend","Weekday"),"")</f>
        <v>Weekday</v>
      </c>
      <c r="Q27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79" s="9" t="str">
        <f>IF(ISNUMBER(tblClean[[#This Row],[Duration Hours]]),IF(tblClean[[#This Row],[Duration Hours]]&lt;2,"Short (under 2h)",IF(tblClean[[#This Row],[Duration Hours]]&lt;3,"Standard (2h to under 3h)","Long (3h or more)")),"")</f>
        <v>Standard (2h to under 3h)</v>
      </c>
      <c r="S27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79" s="24">
        <f>IF(COUNTIF(tblClean[Session ID],tblClean[[#This Row],[Session ID]])&gt;1,1,0)</f>
        <v>0</v>
      </c>
      <c r="U279" s="24">
        <f>IF(OR(N(tblClean[[#This Row],[Attributed GMV PHP]])&lt;0,N(tblClean[[#This Row],[Items Sold]])&lt;0,N(tblClean[[#This Row],[Livestream Views]])&lt;0,N(tblClean[[#This Row],[New Followers]])&lt;0),1,0)</f>
        <v>0</v>
      </c>
      <c r="V279" s="24">
        <f>IF(ISNUMBER(tblClean[[#This Row],[Duration Hours]]),IF(OR(tblClean[[#This Row],[Duration Hours]]&lt;=0,tblClean[[#This Row],[Duration Hours]]&gt;12),1,0),1)</f>
        <v>0</v>
      </c>
      <c r="W279" s="24">
        <f>IF(COUNTIF(HostRoster,tblClean[[#This Row],[Host Name]])=0,1,0)</f>
        <v>0</v>
      </c>
      <c r="X279" s="24">
        <f>IF(tblClean[[#This Row],[Missing Flag]]+tblClean[[#This Row],[Duplicate Flag]]+tblClean[[#This Row],[Negative Flag]]+tblClean[[#This Row],[Duration Flag]]+tblClean[[#This Row],[Host Flag]]=0,1,0)</f>
        <v>1</v>
      </c>
    </row>
    <row r="280" spans="1:24" x14ac:dyDescent="0.3">
      <c r="A280" s="9" t="str">
        <f>TRIM('Raw Data'!A276)</f>
        <v>LS-0272</v>
      </c>
      <c r="B280" s="10">
        <f>IF(ISNUMBER('Raw Data'!B276),INT('Raw Data'!B276),IFERROR(DATEVALUE('Raw Data'!B276),""))</f>
        <v>45876</v>
      </c>
      <c r="C280" s="9" t="str">
        <f>PROPER(TRIM('Raw Data'!C276))</f>
        <v>Elise Navarro</v>
      </c>
      <c r="D280" s="11">
        <f>IF(ISNUMBER('Raw Data'!D276),MOD('Raw Data'!D276,1),IFERROR(TIMEVALUE('Raw Data'!D276),""))</f>
        <v>0.66666666666666663</v>
      </c>
      <c r="E280" s="11">
        <f>IF(ISNUMBER('Raw Data'!E276),MOD('Raw Data'!E276,1),IFERROR(TIMEVALUE('Raw Data'!E276),""))</f>
        <v>0.79166666666666663</v>
      </c>
      <c r="F280" s="12">
        <f>IF(ISNUMBER('Raw Data'!F276),'Raw Data'!F276,IFERROR(VALUE(SUBSTITUTE('Raw Data'!F276,",","")),""))</f>
        <v>62139</v>
      </c>
      <c r="G280" s="13">
        <f>IF(ISNUMBER('Raw Data'!G276),'Raw Data'!G276,IFERROR(VALUE(SUBSTITUTE('Raw Data'!G276,",","")),""))</f>
        <v>166</v>
      </c>
      <c r="H280" s="13">
        <f>IF(ISNUMBER('Raw Data'!H276),'Raw Data'!H276,IFERROR(VALUE(SUBSTITUTE('Raw Data'!H276,",","")),""))</f>
        <v>222832</v>
      </c>
      <c r="I280" s="13">
        <f>IF(ISNUMBER('Raw Data'!I276),'Raw Data'!I276,IFERROR(VALUE(SUBSTITUTE('Raw Data'!I276,",","")),""))</f>
        <v>1174</v>
      </c>
      <c r="J280" s="21">
        <f>IF(AND(ISNUMBER(tblClean[[#This Row],[Start Time]]),ISNUMBER(tblClean[[#This Row],[End Time]])),ROUND(MOD(tblClean[[#This Row],[End Time]]-tblClean[[#This Row],[Start Time]],1)*24,2),"")</f>
        <v>3</v>
      </c>
      <c r="K280" s="12">
        <f>IF(AND(ISNUMBER(tblClean[[#This Row],[Duration Hours]]),ISNUMBER(tblClean[[#This Row],[Attributed GMV PHP]])),IF(tblClean[[#This Row],[Duration Hours]]&gt;0,tblClean[[#This Row],[Attributed GMV PHP]]/tblClean[[#This Row],[Duration Hours]],""),"")</f>
        <v>20713</v>
      </c>
      <c r="L280" s="22">
        <f>IF(ISNUMBER(tblClean[[#This Row],[Date]]),DATE(YEAR(tblClean[[#This Row],[Date]]),MONTH(tblClean[[#This Row],[Date]]),1),"")</f>
        <v>45870</v>
      </c>
      <c r="M280" s="10">
        <f>IF(ISNUMBER(tblClean[[#This Row],[Date]]),tblClean[[#This Row],[Date]]-WEEKDAY(tblClean[[#This Row],[Date]],2)+1,"")</f>
        <v>45873</v>
      </c>
      <c r="N280" s="23">
        <f>IF(ISNUMBER(tblClean[[#This Row],[Week Start]]),(tblClean[[#This Row],[Week Start]]-MIN(tblClean[Week Start]))/7+1,"")</f>
        <v>10</v>
      </c>
      <c r="O280" s="24" t="str">
        <f>IF(ISNUMBER(tblClean[[#This Row],[Date]]),CHOOSE(WEEKDAY(tblClean[[#This Row],[Date]],2),"Mon","Tue","Wed","Thu","Fri","Sat","Sun"),"")</f>
        <v>Thu</v>
      </c>
      <c r="P280" s="24" t="str">
        <f>IF(ISNUMBER(tblClean[[#This Row],[Date]]),IF(WEEKDAY(tblClean[[#This Row],[Date]],2)&gt;=6,"Weekend","Weekday"),"")</f>
        <v>Weekday</v>
      </c>
      <c r="Q28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80" s="9" t="str">
        <f>IF(ISNUMBER(tblClean[[#This Row],[Duration Hours]]),IF(tblClean[[#This Row],[Duration Hours]]&lt;2,"Short (under 2h)",IF(tblClean[[#This Row],[Duration Hours]]&lt;3,"Standard (2h to under 3h)","Long (3h or more)")),"")</f>
        <v>Long (3h or more)</v>
      </c>
      <c r="S28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80" s="24">
        <f>IF(COUNTIF(tblClean[Session ID],tblClean[[#This Row],[Session ID]])&gt;1,1,0)</f>
        <v>0</v>
      </c>
      <c r="U280" s="24">
        <f>IF(OR(N(tblClean[[#This Row],[Attributed GMV PHP]])&lt;0,N(tblClean[[#This Row],[Items Sold]])&lt;0,N(tblClean[[#This Row],[Livestream Views]])&lt;0,N(tblClean[[#This Row],[New Followers]])&lt;0),1,0)</f>
        <v>0</v>
      </c>
      <c r="V280" s="24">
        <f>IF(ISNUMBER(tblClean[[#This Row],[Duration Hours]]),IF(OR(tblClean[[#This Row],[Duration Hours]]&lt;=0,tblClean[[#This Row],[Duration Hours]]&gt;12),1,0),1)</f>
        <v>0</v>
      </c>
      <c r="W280" s="24">
        <f>IF(COUNTIF(HostRoster,tblClean[[#This Row],[Host Name]])=0,1,0)</f>
        <v>0</v>
      </c>
      <c r="X280" s="24">
        <f>IF(tblClean[[#This Row],[Missing Flag]]+tblClean[[#This Row],[Duplicate Flag]]+tblClean[[#This Row],[Negative Flag]]+tblClean[[#This Row],[Duration Flag]]+tblClean[[#This Row],[Host Flag]]=0,1,0)</f>
        <v>1</v>
      </c>
    </row>
    <row r="281" spans="1:24" x14ac:dyDescent="0.3">
      <c r="A281" s="9" t="str">
        <f>TRIM('Raw Data'!A277)</f>
        <v>LS-0273</v>
      </c>
      <c r="B281" s="10">
        <f>IF(ISNUMBER('Raw Data'!B277),INT('Raw Data'!B277),IFERROR(DATEVALUE('Raw Data'!B277),""))</f>
        <v>45876</v>
      </c>
      <c r="C281" s="9" t="str">
        <f>PROPER(TRIM('Raw Data'!C277))</f>
        <v>Aira Valdez</v>
      </c>
      <c r="D281" s="11">
        <f>IF(ISNUMBER('Raw Data'!D277),MOD('Raw Data'!D277,1),IFERROR(TIMEVALUE('Raw Data'!D277),""))</f>
        <v>0.79166666666666663</v>
      </c>
      <c r="E281" s="11">
        <f>IF(ISNUMBER('Raw Data'!E277),MOD('Raw Data'!E277,1),IFERROR(TIMEVALUE('Raw Data'!E277),""))</f>
        <v>0.875</v>
      </c>
      <c r="F281" s="12">
        <f>IF(ISNUMBER('Raw Data'!F277),'Raw Data'!F277,IFERROR(VALUE(SUBSTITUTE('Raw Data'!F277,",","")),""))</f>
        <v>53438</v>
      </c>
      <c r="G281" s="13">
        <f>IF(ISNUMBER('Raw Data'!G277),'Raw Data'!G277,IFERROR(VALUE(SUBSTITUTE('Raw Data'!G277,",","")),""))</f>
        <v>147</v>
      </c>
      <c r="H281" s="13">
        <f>IF(ISNUMBER('Raw Data'!H277),'Raw Data'!H277,IFERROR(VALUE(SUBSTITUTE('Raw Data'!H277,",","")),""))</f>
        <v>182958</v>
      </c>
      <c r="I281" s="13">
        <f>IF(ISNUMBER('Raw Data'!I277),'Raw Data'!I277,IFERROR(VALUE(SUBSTITUTE('Raw Data'!I277,",","")),""))</f>
        <v>1384</v>
      </c>
      <c r="J281" s="21">
        <f>IF(AND(ISNUMBER(tblClean[[#This Row],[Start Time]]),ISNUMBER(tblClean[[#This Row],[End Time]])),ROUND(MOD(tblClean[[#This Row],[End Time]]-tblClean[[#This Row],[Start Time]],1)*24,2),"")</f>
        <v>2</v>
      </c>
      <c r="K281" s="12">
        <f>IF(AND(ISNUMBER(tblClean[[#This Row],[Duration Hours]]),ISNUMBER(tblClean[[#This Row],[Attributed GMV PHP]])),IF(tblClean[[#This Row],[Duration Hours]]&gt;0,tblClean[[#This Row],[Attributed GMV PHP]]/tblClean[[#This Row],[Duration Hours]],""),"")</f>
        <v>26719</v>
      </c>
      <c r="L281" s="22">
        <f>IF(ISNUMBER(tblClean[[#This Row],[Date]]),DATE(YEAR(tblClean[[#This Row],[Date]]),MONTH(tblClean[[#This Row],[Date]]),1),"")</f>
        <v>45870</v>
      </c>
      <c r="M281" s="10">
        <f>IF(ISNUMBER(tblClean[[#This Row],[Date]]),tblClean[[#This Row],[Date]]-WEEKDAY(tblClean[[#This Row],[Date]],2)+1,"")</f>
        <v>45873</v>
      </c>
      <c r="N281" s="23">
        <f>IF(ISNUMBER(tblClean[[#This Row],[Week Start]]),(tblClean[[#This Row],[Week Start]]-MIN(tblClean[Week Start]))/7+1,"")</f>
        <v>10</v>
      </c>
      <c r="O281" s="24" t="str">
        <f>IF(ISNUMBER(tblClean[[#This Row],[Date]]),CHOOSE(WEEKDAY(tblClean[[#This Row],[Date]],2),"Mon","Tue","Wed","Thu","Fri","Sat","Sun"),"")</f>
        <v>Thu</v>
      </c>
      <c r="P281" s="24" t="str">
        <f>IF(ISNUMBER(tblClean[[#This Row],[Date]]),IF(WEEKDAY(tblClean[[#This Row],[Date]],2)&gt;=6,"Weekend","Weekday"),"")</f>
        <v>Weekday</v>
      </c>
      <c r="Q28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81" s="9" t="str">
        <f>IF(ISNUMBER(tblClean[[#This Row],[Duration Hours]]),IF(tblClean[[#This Row],[Duration Hours]]&lt;2,"Short (under 2h)",IF(tblClean[[#This Row],[Duration Hours]]&lt;3,"Standard (2h to under 3h)","Long (3h or more)")),"")</f>
        <v>Standard (2h to under 3h)</v>
      </c>
      <c r="S28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81" s="24">
        <f>IF(COUNTIF(tblClean[Session ID],tblClean[[#This Row],[Session ID]])&gt;1,1,0)</f>
        <v>0</v>
      </c>
      <c r="U281" s="24">
        <f>IF(OR(N(tblClean[[#This Row],[Attributed GMV PHP]])&lt;0,N(tblClean[[#This Row],[Items Sold]])&lt;0,N(tblClean[[#This Row],[Livestream Views]])&lt;0,N(tblClean[[#This Row],[New Followers]])&lt;0),1,0)</f>
        <v>0</v>
      </c>
      <c r="V281" s="24">
        <f>IF(ISNUMBER(tblClean[[#This Row],[Duration Hours]]),IF(OR(tblClean[[#This Row],[Duration Hours]]&lt;=0,tblClean[[#This Row],[Duration Hours]]&gt;12),1,0),1)</f>
        <v>0</v>
      </c>
      <c r="W281" s="24">
        <f>IF(COUNTIF(HostRoster,tblClean[[#This Row],[Host Name]])=0,1,0)</f>
        <v>0</v>
      </c>
      <c r="X281" s="24">
        <f>IF(tblClean[[#This Row],[Missing Flag]]+tblClean[[#This Row],[Duplicate Flag]]+tblClean[[#This Row],[Negative Flag]]+tblClean[[#This Row],[Duration Flag]]+tblClean[[#This Row],[Host Flag]]=0,1,0)</f>
        <v>1</v>
      </c>
    </row>
    <row r="282" spans="1:24" x14ac:dyDescent="0.3">
      <c r="A282" s="9" t="str">
        <f>TRIM('Raw Data'!A278)</f>
        <v>LS-0274</v>
      </c>
      <c r="B282" s="10">
        <f>IF(ISNUMBER('Raw Data'!B278),INT('Raw Data'!B278),IFERROR(DATEVALUE('Raw Data'!B278),""))</f>
        <v>45876</v>
      </c>
      <c r="C282" s="9" t="str">
        <f>PROPER(TRIM('Raw Data'!C278))</f>
        <v>Dani Villanueva</v>
      </c>
      <c r="D282" s="11">
        <f>IF(ISNUMBER('Raw Data'!D278),MOD('Raw Data'!D278,1),IFERROR(TIMEVALUE('Raw Data'!D278),""))</f>
        <v>0.91666666666666663</v>
      </c>
      <c r="E282" s="11">
        <f>IF(ISNUMBER('Raw Data'!E278),MOD('Raw Data'!E278,1),IFERROR(TIMEVALUE('Raw Data'!E278),""))</f>
        <v>0.97916666666666663</v>
      </c>
      <c r="F282" s="12">
        <f>IF(ISNUMBER('Raw Data'!F278),'Raw Data'!F278,IFERROR(VALUE(SUBSTITUTE('Raw Data'!F278,",","")),""))</f>
        <v>19160</v>
      </c>
      <c r="G282" s="13">
        <f>IF(ISNUMBER('Raw Data'!G278),'Raw Data'!G278,IFERROR(VALUE(SUBSTITUTE('Raw Data'!G278,",","")),""))</f>
        <v>55</v>
      </c>
      <c r="H282" s="13">
        <f>IF(ISNUMBER('Raw Data'!H278),'Raw Data'!H278,IFERROR(VALUE(SUBSTITUTE('Raw Data'!H278,",","")),""))</f>
        <v>71931</v>
      </c>
      <c r="I282" s="13">
        <f>IF(ISNUMBER('Raw Data'!I278),'Raw Data'!I278,IFERROR(VALUE(SUBSTITUTE('Raw Data'!I278,",","")),""))</f>
        <v>397</v>
      </c>
      <c r="J282" s="21">
        <f>IF(AND(ISNUMBER(tblClean[[#This Row],[Start Time]]),ISNUMBER(tblClean[[#This Row],[End Time]])),ROUND(MOD(tblClean[[#This Row],[End Time]]-tblClean[[#This Row],[Start Time]],1)*24,2),"")</f>
        <v>1.5</v>
      </c>
      <c r="K282" s="12">
        <f>IF(AND(ISNUMBER(tblClean[[#This Row],[Duration Hours]]),ISNUMBER(tblClean[[#This Row],[Attributed GMV PHP]])),IF(tblClean[[#This Row],[Duration Hours]]&gt;0,tblClean[[#This Row],[Attributed GMV PHP]]/tblClean[[#This Row],[Duration Hours]],""),"")</f>
        <v>12773.333333333334</v>
      </c>
      <c r="L282" s="22">
        <f>IF(ISNUMBER(tblClean[[#This Row],[Date]]),DATE(YEAR(tblClean[[#This Row],[Date]]),MONTH(tblClean[[#This Row],[Date]]),1),"")</f>
        <v>45870</v>
      </c>
      <c r="M282" s="10">
        <f>IF(ISNUMBER(tblClean[[#This Row],[Date]]),tblClean[[#This Row],[Date]]-WEEKDAY(tblClean[[#This Row],[Date]],2)+1,"")</f>
        <v>45873</v>
      </c>
      <c r="N282" s="23">
        <f>IF(ISNUMBER(tblClean[[#This Row],[Week Start]]),(tblClean[[#This Row],[Week Start]]-MIN(tblClean[Week Start]))/7+1,"")</f>
        <v>10</v>
      </c>
      <c r="O282" s="24" t="str">
        <f>IF(ISNUMBER(tblClean[[#This Row],[Date]]),CHOOSE(WEEKDAY(tblClean[[#This Row],[Date]],2),"Mon","Tue","Wed","Thu","Fri","Sat","Sun"),"")</f>
        <v>Thu</v>
      </c>
      <c r="P282" s="24" t="str">
        <f>IF(ISNUMBER(tblClean[[#This Row],[Date]]),IF(WEEKDAY(tblClean[[#This Row],[Date]],2)&gt;=6,"Weekend","Weekday"),"")</f>
        <v>Weekday</v>
      </c>
      <c r="Q28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82" s="9" t="str">
        <f>IF(ISNUMBER(tblClean[[#This Row],[Duration Hours]]),IF(tblClean[[#This Row],[Duration Hours]]&lt;2,"Short (under 2h)",IF(tblClean[[#This Row],[Duration Hours]]&lt;3,"Standard (2h to under 3h)","Long (3h or more)")),"")</f>
        <v>Short (under 2h)</v>
      </c>
      <c r="S28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82" s="24">
        <f>IF(COUNTIF(tblClean[Session ID],tblClean[[#This Row],[Session ID]])&gt;1,1,0)</f>
        <v>0</v>
      </c>
      <c r="U282" s="24">
        <f>IF(OR(N(tblClean[[#This Row],[Attributed GMV PHP]])&lt;0,N(tblClean[[#This Row],[Items Sold]])&lt;0,N(tblClean[[#This Row],[Livestream Views]])&lt;0,N(tblClean[[#This Row],[New Followers]])&lt;0),1,0)</f>
        <v>0</v>
      </c>
      <c r="V282" s="24">
        <f>IF(ISNUMBER(tblClean[[#This Row],[Duration Hours]]),IF(OR(tblClean[[#This Row],[Duration Hours]]&lt;=0,tblClean[[#This Row],[Duration Hours]]&gt;12),1,0),1)</f>
        <v>0</v>
      </c>
      <c r="W282" s="24">
        <f>IF(COUNTIF(HostRoster,tblClean[[#This Row],[Host Name]])=0,1,0)</f>
        <v>0</v>
      </c>
      <c r="X282" s="24">
        <f>IF(tblClean[[#This Row],[Missing Flag]]+tblClean[[#This Row],[Duplicate Flag]]+tblClean[[#This Row],[Negative Flag]]+tblClean[[#This Row],[Duration Flag]]+tblClean[[#This Row],[Host Flag]]=0,1,0)</f>
        <v>1</v>
      </c>
    </row>
    <row r="283" spans="1:24" x14ac:dyDescent="0.3">
      <c r="A283" s="9" t="str">
        <f>TRIM('Raw Data'!A279)</f>
        <v>LS-0275</v>
      </c>
      <c r="B283" s="10">
        <f>IF(ISNUMBER('Raw Data'!B279),INT('Raw Data'!B279),IFERROR(DATEVALUE('Raw Data'!B279),""))</f>
        <v>45877</v>
      </c>
      <c r="C283" s="9" t="str">
        <f>PROPER(TRIM('Raw Data'!C279))</f>
        <v>Bianca Reyes</v>
      </c>
      <c r="D283" s="11">
        <f>IF(ISNUMBER('Raw Data'!D279),MOD('Raw Data'!D279,1),IFERROR(TIMEVALUE('Raw Data'!D279),""))</f>
        <v>0.41666666666666669</v>
      </c>
      <c r="E283" s="11">
        <f>IF(ISNUMBER('Raw Data'!E279),MOD('Raw Data'!E279,1),IFERROR(TIMEVALUE('Raw Data'!E279),""))</f>
        <v>0.54166666666666663</v>
      </c>
      <c r="F283" s="12">
        <f>IF(ISNUMBER('Raw Data'!F279),'Raw Data'!F279,IFERROR(VALUE(SUBSTITUTE('Raw Data'!F279,",","")),""))</f>
        <v>38731</v>
      </c>
      <c r="G283" s="13">
        <f>IF(ISNUMBER('Raw Data'!G279),'Raw Data'!G279,IFERROR(VALUE(SUBSTITUTE('Raw Data'!G279,",","")),""))</f>
        <v>122</v>
      </c>
      <c r="H283" s="13">
        <f>IF(ISNUMBER('Raw Data'!H279),'Raw Data'!H279,IFERROR(VALUE(SUBSTITUTE('Raw Data'!H279,",","")),""))</f>
        <v>115592</v>
      </c>
      <c r="I283" s="13">
        <f>IF(ISNUMBER('Raw Data'!I279),'Raw Data'!I279,IFERROR(VALUE(SUBSTITUTE('Raw Data'!I279,",","")),""))</f>
        <v>1242</v>
      </c>
      <c r="J283" s="21">
        <f>IF(AND(ISNUMBER(tblClean[[#This Row],[Start Time]]),ISNUMBER(tblClean[[#This Row],[End Time]])),ROUND(MOD(tblClean[[#This Row],[End Time]]-tblClean[[#This Row],[Start Time]],1)*24,2),"")</f>
        <v>3</v>
      </c>
      <c r="K283" s="12">
        <f>IF(AND(ISNUMBER(tblClean[[#This Row],[Duration Hours]]),ISNUMBER(tblClean[[#This Row],[Attributed GMV PHP]])),IF(tblClean[[#This Row],[Duration Hours]]&gt;0,tblClean[[#This Row],[Attributed GMV PHP]]/tblClean[[#This Row],[Duration Hours]],""),"")</f>
        <v>12910.333333333334</v>
      </c>
      <c r="L283" s="22">
        <f>IF(ISNUMBER(tblClean[[#This Row],[Date]]),DATE(YEAR(tblClean[[#This Row],[Date]]),MONTH(tblClean[[#This Row],[Date]]),1),"")</f>
        <v>45870</v>
      </c>
      <c r="M283" s="10">
        <f>IF(ISNUMBER(tblClean[[#This Row],[Date]]),tblClean[[#This Row],[Date]]-WEEKDAY(tblClean[[#This Row],[Date]],2)+1,"")</f>
        <v>45873</v>
      </c>
      <c r="N283" s="23">
        <f>IF(ISNUMBER(tblClean[[#This Row],[Week Start]]),(tblClean[[#This Row],[Week Start]]-MIN(tblClean[Week Start]))/7+1,"")</f>
        <v>10</v>
      </c>
      <c r="O283" s="24" t="str">
        <f>IF(ISNUMBER(tblClean[[#This Row],[Date]]),CHOOSE(WEEKDAY(tblClean[[#This Row],[Date]],2),"Mon","Tue","Wed","Thu","Fri","Sat","Sun"),"")</f>
        <v>Fri</v>
      </c>
      <c r="P283" s="24" t="str">
        <f>IF(ISNUMBER(tblClean[[#This Row],[Date]]),IF(WEEKDAY(tblClean[[#This Row],[Date]],2)&gt;=6,"Weekend","Weekday"),"")</f>
        <v>Weekday</v>
      </c>
      <c r="Q28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83" s="9" t="str">
        <f>IF(ISNUMBER(tblClean[[#This Row],[Duration Hours]]),IF(tblClean[[#This Row],[Duration Hours]]&lt;2,"Short (under 2h)",IF(tblClean[[#This Row],[Duration Hours]]&lt;3,"Standard (2h to under 3h)","Long (3h or more)")),"")</f>
        <v>Long (3h or more)</v>
      </c>
      <c r="S28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83" s="24">
        <f>IF(COUNTIF(tblClean[Session ID],tblClean[[#This Row],[Session ID]])&gt;1,1,0)</f>
        <v>0</v>
      </c>
      <c r="U283" s="24">
        <f>IF(OR(N(tblClean[[#This Row],[Attributed GMV PHP]])&lt;0,N(tblClean[[#This Row],[Items Sold]])&lt;0,N(tblClean[[#This Row],[Livestream Views]])&lt;0,N(tblClean[[#This Row],[New Followers]])&lt;0),1,0)</f>
        <v>0</v>
      </c>
      <c r="V283" s="24">
        <f>IF(ISNUMBER(tblClean[[#This Row],[Duration Hours]]),IF(OR(tblClean[[#This Row],[Duration Hours]]&lt;=0,tblClean[[#This Row],[Duration Hours]]&gt;12),1,0),1)</f>
        <v>0</v>
      </c>
      <c r="W283" s="24">
        <f>IF(COUNTIF(HostRoster,tblClean[[#This Row],[Host Name]])=0,1,0)</f>
        <v>0</v>
      </c>
      <c r="X283" s="24">
        <f>IF(tblClean[[#This Row],[Missing Flag]]+tblClean[[#This Row],[Duplicate Flag]]+tblClean[[#This Row],[Negative Flag]]+tblClean[[#This Row],[Duration Flag]]+tblClean[[#This Row],[Host Flag]]=0,1,0)</f>
        <v>1</v>
      </c>
    </row>
    <row r="284" spans="1:24" x14ac:dyDescent="0.3">
      <c r="A284" s="9" t="str">
        <f>TRIM('Raw Data'!A280)</f>
        <v>LS-0276</v>
      </c>
      <c r="B284" s="10">
        <f>IF(ISNUMBER('Raw Data'!B280),INT('Raw Data'!B280),IFERROR(DATEVALUE('Raw Data'!B280),""))</f>
        <v>45877</v>
      </c>
      <c r="C284" s="9" t="str">
        <f>PROPER(TRIM('Raw Data'!C280))</f>
        <v>Dani Villanueva</v>
      </c>
      <c r="D284" s="11">
        <f>IF(ISNUMBER('Raw Data'!D280),MOD('Raw Data'!D280,1),IFERROR(TIMEVALUE('Raw Data'!D280),""))</f>
        <v>0.54166666666666663</v>
      </c>
      <c r="E284" s="11">
        <f>IF(ISNUMBER('Raw Data'!E280),MOD('Raw Data'!E280,1),IFERROR(TIMEVALUE('Raw Data'!E280),""))</f>
        <v>0.64583333333333337</v>
      </c>
      <c r="F284" s="12">
        <f>IF(ISNUMBER('Raw Data'!F280),'Raw Data'!F280,IFERROR(VALUE(SUBSTITUTE('Raw Data'!F280,",","")),""))</f>
        <v>32994</v>
      </c>
      <c r="G284" s="13">
        <f>IF(ISNUMBER('Raw Data'!G280),'Raw Data'!G280,IFERROR(VALUE(SUBSTITUTE('Raw Data'!G280,",","")),""))</f>
        <v>91</v>
      </c>
      <c r="H284" s="13">
        <f>IF(ISNUMBER('Raw Data'!H280),'Raw Data'!H280,IFERROR(VALUE(SUBSTITUTE('Raw Data'!H280,",","")),""))</f>
        <v>130251</v>
      </c>
      <c r="I284" s="13">
        <f>IF(ISNUMBER('Raw Data'!I280),'Raw Data'!I280,IFERROR(VALUE(SUBSTITUTE('Raw Data'!I280,",","")),""))</f>
        <v>1672</v>
      </c>
      <c r="J284" s="21">
        <f>IF(AND(ISNUMBER(tblClean[[#This Row],[Start Time]]),ISNUMBER(tblClean[[#This Row],[End Time]])),ROUND(MOD(tblClean[[#This Row],[End Time]]-tblClean[[#This Row],[Start Time]],1)*24,2),"")</f>
        <v>2.5</v>
      </c>
      <c r="K284" s="12">
        <f>IF(AND(ISNUMBER(tblClean[[#This Row],[Duration Hours]]),ISNUMBER(tblClean[[#This Row],[Attributed GMV PHP]])),IF(tblClean[[#This Row],[Duration Hours]]&gt;0,tblClean[[#This Row],[Attributed GMV PHP]]/tblClean[[#This Row],[Duration Hours]],""),"")</f>
        <v>13197.6</v>
      </c>
      <c r="L284" s="22">
        <f>IF(ISNUMBER(tblClean[[#This Row],[Date]]),DATE(YEAR(tblClean[[#This Row],[Date]]),MONTH(tblClean[[#This Row],[Date]]),1),"")</f>
        <v>45870</v>
      </c>
      <c r="M284" s="10">
        <f>IF(ISNUMBER(tblClean[[#This Row],[Date]]),tblClean[[#This Row],[Date]]-WEEKDAY(tblClean[[#This Row],[Date]],2)+1,"")</f>
        <v>45873</v>
      </c>
      <c r="N284" s="23">
        <f>IF(ISNUMBER(tblClean[[#This Row],[Week Start]]),(tblClean[[#This Row],[Week Start]]-MIN(tblClean[Week Start]))/7+1,"")</f>
        <v>10</v>
      </c>
      <c r="O284" s="24" t="str">
        <f>IF(ISNUMBER(tblClean[[#This Row],[Date]]),CHOOSE(WEEKDAY(tblClean[[#This Row],[Date]],2),"Mon","Tue","Wed","Thu","Fri","Sat","Sun"),"")</f>
        <v>Fri</v>
      </c>
      <c r="P284" s="24" t="str">
        <f>IF(ISNUMBER(tblClean[[#This Row],[Date]]),IF(WEEKDAY(tblClean[[#This Row],[Date]],2)&gt;=6,"Weekend","Weekday"),"")</f>
        <v>Weekday</v>
      </c>
      <c r="Q28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84" s="9" t="str">
        <f>IF(ISNUMBER(tblClean[[#This Row],[Duration Hours]]),IF(tblClean[[#This Row],[Duration Hours]]&lt;2,"Short (under 2h)",IF(tblClean[[#This Row],[Duration Hours]]&lt;3,"Standard (2h to under 3h)","Long (3h or more)")),"")</f>
        <v>Standard (2h to under 3h)</v>
      </c>
      <c r="S28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84" s="24">
        <f>IF(COUNTIF(tblClean[Session ID],tblClean[[#This Row],[Session ID]])&gt;1,1,0)</f>
        <v>0</v>
      </c>
      <c r="U284" s="24">
        <f>IF(OR(N(tblClean[[#This Row],[Attributed GMV PHP]])&lt;0,N(tblClean[[#This Row],[Items Sold]])&lt;0,N(tblClean[[#This Row],[Livestream Views]])&lt;0,N(tblClean[[#This Row],[New Followers]])&lt;0),1,0)</f>
        <v>0</v>
      </c>
      <c r="V284" s="24">
        <f>IF(ISNUMBER(tblClean[[#This Row],[Duration Hours]]),IF(OR(tblClean[[#This Row],[Duration Hours]]&lt;=0,tblClean[[#This Row],[Duration Hours]]&gt;12),1,0),1)</f>
        <v>0</v>
      </c>
      <c r="W284" s="24">
        <f>IF(COUNTIF(HostRoster,tblClean[[#This Row],[Host Name]])=0,1,0)</f>
        <v>0</v>
      </c>
      <c r="X284" s="24">
        <f>IF(tblClean[[#This Row],[Missing Flag]]+tblClean[[#This Row],[Duplicate Flag]]+tblClean[[#This Row],[Negative Flag]]+tblClean[[#This Row],[Duration Flag]]+tblClean[[#This Row],[Host Flag]]=0,1,0)</f>
        <v>1</v>
      </c>
    </row>
    <row r="285" spans="1:24" x14ac:dyDescent="0.3">
      <c r="A285" s="9" t="str">
        <f>TRIM('Raw Data'!A281)</f>
        <v>LS-0277</v>
      </c>
      <c r="B285" s="10">
        <f>IF(ISNUMBER('Raw Data'!B281),INT('Raw Data'!B281),IFERROR(DATEVALUE('Raw Data'!B281),""))</f>
        <v>45877</v>
      </c>
      <c r="C285" s="9" t="str">
        <f>PROPER(TRIM('Raw Data'!C281))</f>
        <v>Dani Villanueva</v>
      </c>
      <c r="D285" s="11">
        <f>IF(ISNUMBER('Raw Data'!D281),MOD('Raw Data'!D281,1),IFERROR(TIMEVALUE('Raw Data'!D281),""))</f>
        <v>0.66666666666666663</v>
      </c>
      <c r="E285" s="11">
        <f>IF(ISNUMBER('Raw Data'!E281),MOD('Raw Data'!E281,1),IFERROR(TIMEVALUE('Raw Data'!E281),""))</f>
        <v>0.79166666666666663</v>
      </c>
      <c r="F285" s="12">
        <f>IF(ISNUMBER('Raw Data'!F281),'Raw Data'!F281,IFERROR(VALUE(SUBSTITUTE('Raw Data'!F281,",","")),""))</f>
        <v>31649</v>
      </c>
      <c r="G285" s="13">
        <f>IF(ISNUMBER('Raw Data'!G281),'Raw Data'!G281,IFERROR(VALUE(SUBSTITUTE('Raw Data'!G281,",","")),""))</f>
        <v>82</v>
      </c>
      <c r="H285" s="13">
        <f>IF(ISNUMBER('Raw Data'!H281),'Raw Data'!H281,IFERROR(VALUE(SUBSTITUTE('Raw Data'!H281,",","")),""))</f>
        <v>105814</v>
      </c>
      <c r="I285" s="13">
        <f>IF(ISNUMBER('Raw Data'!I281),'Raw Data'!I281,IFERROR(VALUE(SUBSTITUTE('Raw Data'!I281,",","")),""))</f>
        <v>742</v>
      </c>
      <c r="J285" s="21">
        <f>IF(AND(ISNUMBER(tblClean[[#This Row],[Start Time]]),ISNUMBER(tblClean[[#This Row],[End Time]])),ROUND(MOD(tblClean[[#This Row],[End Time]]-tblClean[[#This Row],[Start Time]],1)*24,2),"")</f>
        <v>3</v>
      </c>
      <c r="K285" s="12">
        <f>IF(AND(ISNUMBER(tblClean[[#This Row],[Duration Hours]]),ISNUMBER(tblClean[[#This Row],[Attributed GMV PHP]])),IF(tblClean[[#This Row],[Duration Hours]]&gt;0,tblClean[[#This Row],[Attributed GMV PHP]]/tblClean[[#This Row],[Duration Hours]],""),"")</f>
        <v>10549.666666666666</v>
      </c>
      <c r="L285" s="22">
        <f>IF(ISNUMBER(tblClean[[#This Row],[Date]]),DATE(YEAR(tblClean[[#This Row],[Date]]),MONTH(tblClean[[#This Row],[Date]]),1),"")</f>
        <v>45870</v>
      </c>
      <c r="M285" s="10">
        <f>IF(ISNUMBER(tblClean[[#This Row],[Date]]),tblClean[[#This Row],[Date]]-WEEKDAY(tblClean[[#This Row],[Date]],2)+1,"")</f>
        <v>45873</v>
      </c>
      <c r="N285" s="23">
        <f>IF(ISNUMBER(tblClean[[#This Row],[Week Start]]),(tblClean[[#This Row],[Week Start]]-MIN(tblClean[Week Start]))/7+1,"")</f>
        <v>10</v>
      </c>
      <c r="O285" s="24" t="str">
        <f>IF(ISNUMBER(tblClean[[#This Row],[Date]]),CHOOSE(WEEKDAY(tblClean[[#This Row],[Date]],2),"Mon","Tue","Wed","Thu","Fri","Sat","Sun"),"")</f>
        <v>Fri</v>
      </c>
      <c r="P285" s="24" t="str">
        <f>IF(ISNUMBER(tblClean[[#This Row],[Date]]),IF(WEEKDAY(tblClean[[#This Row],[Date]],2)&gt;=6,"Weekend","Weekday"),"")</f>
        <v>Weekday</v>
      </c>
      <c r="Q28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85" s="9" t="str">
        <f>IF(ISNUMBER(tblClean[[#This Row],[Duration Hours]]),IF(tblClean[[#This Row],[Duration Hours]]&lt;2,"Short (under 2h)",IF(tblClean[[#This Row],[Duration Hours]]&lt;3,"Standard (2h to under 3h)","Long (3h or more)")),"")</f>
        <v>Long (3h or more)</v>
      </c>
      <c r="S28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85" s="24">
        <f>IF(COUNTIF(tblClean[Session ID],tblClean[[#This Row],[Session ID]])&gt;1,1,0)</f>
        <v>0</v>
      </c>
      <c r="U285" s="24">
        <f>IF(OR(N(tblClean[[#This Row],[Attributed GMV PHP]])&lt;0,N(tblClean[[#This Row],[Items Sold]])&lt;0,N(tblClean[[#This Row],[Livestream Views]])&lt;0,N(tblClean[[#This Row],[New Followers]])&lt;0),1,0)</f>
        <v>0</v>
      </c>
      <c r="V285" s="24">
        <f>IF(ISNUMBER(tblClean[[#This Row],[Duration Hours]]),IF(OR(tblClean[[#This Row],[Duration Hours]]&lt;=0,tblClean[[#This Row],[Duration Hours]]&gt;12),1,0),1)</f>
        <v>0</v>
      </c>
      <c r="W285" s="24">
        <f>IF(COUNTIF(HostRoster,tblClean[[#This Row],[Host Name]])=0,1,0)</f>
        <v>0</v>
      </c>
      <c r="X285" s="24">
        <f>IF(tblClean[[#This Row],[Missing Flag]]+tblClean[[#This Row],[Duplicate Flag]]+tblClean[[#This Row],[Negative Flag]]+tblClean[[#This Row],[Duration Flag]]+tblClean[[#This Row],[Host Flag]]=0,1,0)</f>
        <v>1</v>
      </c>
    </row>
    <row r="286" spans="1:24" x14ac:dyDescent="0.3">
      <c r="A286" s="9" t="str">
        <f>TRIM('Raw Data'!A282)</f>
        <v>LS-0278</v>
      </c>
      <c r="B286" s="10">
        <f>IF(ISNUMBER('Raw Data'!B282),INT('Raw Data'!B282),IFERROR(DATEVALUE('Raw Data'!B282),""))</f>
        <v>45877</v>
      </c>
      <c r="C286" s="9" t="str">
        <f>PROPER(TRIM('Raw Data'!C282))</f>
        <v>Bianca Reyes</v>
      </c>
      <c r="D286" s="11">
        <f>IF(ISNUMBER('Raw Data'!D282),MOD('Raw Data'!D282,1),IFERROR(TIMEVALUE('Raw Data'!D282),""))</f>
        <v>0.79166666666666663</v>
      </c>
      <c r="E286" s="11">
        <f>IF(ISNUMBER('Raw Data'!E282),MOD('Raw Data'!E282,1),IFERROR(TIMEVALUE('Raw Data'!E282),""))</f>
        <v>0.85416666666666663</v>
      </c>
      <c r="F286" s="12">
        <f>IF(ISNUMBER('Raw Data'!F282),'Raw Data'!F282,IFERROR(VALUE(SUBSTITUTE('Raw Data'!F282,",","")),""))</f>
        <v>44555</v>
      </c>
      <c r="G286" s="13">
        <f>IF(ISNUMBER('Raw Data'!G282),'Raw Data'!G282,IFERROR(VALUE(SUBSTITUTE('Raw Data'!G282,",","")),""))</f>
        <v>152</v>
      </c>
      <c r="H286" s="13">
        <f>IF(ISNUMBER('Raw Data'!H282),'Raw Data'!H282,IFERROR(VALUE(SUBSTITUTE('Raw Data'!H282,",","")),""))</f>
        <v>206612</v>
      </c>
      <c r="I286" s="13">
        <f>IF(ISNUMBER('Raw Data'!I282),'Raw Data'!I282,IFERROR(VALUE(SUBSTITUTE('Raw Data'!I282,",","")),""))</f>
        <v>999</v>
      </c>
      <c r="J286" s="21">
        <f>IF(AND(ISNUMBER(tblClean[[#This Row],[Start Time]]),ISNUMBER(tblClean[[#This Row],[End Time]])),ROUND(MOD(tblClean[[#This Row],[End Time]]-tblClean[[#This Row],[Start Time]],1)*24,2),"")</f>
        <v>1.5</v>
      </c>
      <c r="K286" s="12">
        <f>IF(AND(ISNUMBER(tblClean[[#This Row],[Duration Hours]]),ISNUMBER(tblClean[[#This Row],[Attributed GMV PHP]])),IF(tblClean[[#This Row],[Duration Hours]]&gt;0,tblClean[[#This Row],[Attributed GMV PHP]]/tblClean[[#This Row],[Duration Hours]],""),"")</f>
        <v>29703.333333333332</v>
      </c>
      <c r="L286" s="22">
        <f>IF(ISNUMBER(tblClean[[#This Row],[Date]]),DATE(YEAR(tblClean[[#This Row],[Date]]),MONTH(tblClean[[#This Row],[Date]]),1),"")</f>
        <v>45870</v>
      </c>
      <c r="M286" s="10">
        <f>IF(ISNUMBER(tblClean[[#This Row],[Date]]),tblClean[[#This Row],[Date]]-WEEKDAY(tblClean[[#This Row],[Date]],2)+1,"")</f>
        <v>45873</v>
      </c>
      <c r="N286" s="23">
        <f>IF(ISNUMBER(tblClean[[#This Row],[Week Start]]),(tblClean[[#This Row],[Week Start]]-MIN(tblClean[Week Start]))/7+1,"")</f>
        <v>10</v>
      </c>
      <c r="O286" s="24" t="str">
        <f>IF(ISNUMBER(tblClean[[#This Row],[Date]]),CHOOSE(WEEKDAY(tblClean[[#This Row],[Date]],2),"Mon","Tue","Wed","Thu","Fri","Sat","Sun"),"")</f>
        <v>Fri</v>
      </c>
      <c r="P286" s="24" t="str">
        <f>IF(ISNUMBER(tblClean[[#This Row],[Date]]),IF(WEEKDAY(tblClean[[#This Row],[Date]],2)&gt;=6,"Weekend","Weekday"),"")</f>
        <v>Weekday</v>
      </c>
      <c r="Q28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86" s="9" t="str">
        <f>IF(ISNUMBER(tblClean[[#This Row],[Duration Hours]]),IF(tblClean[[#This Row],[Duration Hours]]&lt;2,"Short (under 2h)",IF(tblClean[[#This Row],[Duration Hours]]&lt;3,"Standard (2h to under 3h)","Long (3h or more)")),"")</f>
        <v>Short (under 2h)</v>
      </c>
      <c r="S28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86" s="24">
        <f>IF(COUNTIF(tblClean[Session ID],tblClean[[#This Row],[Session ID]])&gt;1,1,0)</f>
        <v>0</v>
      </c>
      <c r="U286" s="24">
        <f>IF(OR(N(tblClean[[#This Row],[Attributed GMV PHP]])&lt;0,N(tblClean[[#This Row],[Items Sold]])&lt;0,N(tblClean[[#This Row],[Livestream Views]])&lt;0,N(tblClean[[#This Row],[New Followers]])&lt;0),1,0)</f>
        <v>0</v>
      </c>
      <c r="V286" s="24">
        <f>IF(ISNUMBER(tblClean[[#This Row],[Duration Hours]]),IF(OR(tblClean[[#This Row],[Duration Hours]]&lt;=0,tblClean[[#This Row],[Duration Hours]]&gt;12),1,0),1)</f>
        <v>0</v>
      </c>
      <c r="W286" s="24">
        <f>IF(COUNTIF(HostRoster,tblClean[[#This Row],[Host Name]])=0,1,0)</f>
        <v>0</v>
      </c>
      <c r="X286" s="24">
        <f>IF(tblClean[[#This Row],[Missing Flag]]+tblClean[[#This Row],[Duplicate Flag]]+tblClean[[#This Row],[Negative Flag]]+tblClean[[#This Row],[Duration Flag]]+tblClean[[#This Row],[Host Flag]]=0,1,0)</f>
        <v>1</v>
      </c>
    </row>
    <row r="287" spans="1:24" x14ac:dyDescent="0.3">
      <c r="A287" s="9" t="str">
        <f>TRIM('Raw Data'!A283)</f>
        <v>LS-0279</v>
      </c>
      <c r="B287" s="10">
        <f>IF(ISNUMBER('Raw Data'!B283),INT('Raw Data'!B283),IFERROR(DATEVALUE('Raw Data'!B283),""))</f>
        <v>45877</v>
      </c>
      <c r="C287" s="9" t="str">
        <f>PROPER(TRIM('Raw Data'!C283))</f>
        <v>Dani Villanueva</v>
      </c>
      <c r="D287" s="11">
        <f>IF(ISNUMBER('Raw Data'!D283),MOD('Raw Data'!D283,1),IFERROR(TIMEVALUE('Raw Data'!D283),""))</f>
        <v>0.91666666666666663</v>
      </c>
      <c r="E287" s="11">
        <f>IF(ISNUMBER('Raw Data'!E283),MOD('Raw Data'!E283,1),IFERROR(TIMEVALUE('Raw Data'!E283),""))</f>
        <v>4.1666666666666657E-2</v>
      </c>
      <c r="F287" s="12">
        <f>IF(ISNUMBER('Raw Data'!F283),'Raw Data'!F283,IFERROR(VALUE(SUBSTITUTE('Raw Data'!F283,",","")),""))</f>
        <v>92607</v>
      </c>
      <c r="G287" s="13">
        <f>IF(ISNUMBER('Raw Data'!G283),'Raw Data'!G283,IFERROR(VALUE(SUBSTITUTE('Raw Data'!G283,",","")),""))</f>
        <v>287</v>
      </c>
      <c r="H287" s="13">
        <f>IF(ISNUMBER('Raw Data'!H283),'Raw Data'!H283,IFERROR(VALUE(SUBSTITUTE('Raw Data'!H283,",","")),""))</f>
        <v>356190</v>
      </c>
      <c r="I287" s="13">
        <f>IF(ISNUMBER('Raw Data'!I283),'Raw Data'!I283,IFERROR(VALUE(SUBSTITUTE('Raw Data'!I283,",","")),""))</f>
        <v>2879</v>
      </c>
      <c r="J287" s="21">
        <f>IF(AND(ISNUMBER(tblClean[[#This Row],[Start Time]]),ISNUMBER(tblClean[[#This Row],[End Time]])),ROUND(MOD(tblClean[[#This Row],[End Time]]-tblClean[[#This Row],[Start Time]],1)*24,2),"")</f>
        <v>3</v>
      </c>
      <c r="K287" s="12">
        <f>IF(AND(ISNUMBER(tblClean[[#This Row],[Duration Hours]]),ISNUMBER(tblClean[[#This Row],[Attributed GMV PHP]])),IF(tblClean[[#This Row],[Duration Hours]]&gt;0,tblClean[[#This Row],[Attributed GMV PHP]]/tblClean[[#This Row],[Duration Hours]],""),"")</f>
        <v>30869</v>
      </c>
      <c r="L287" s="22">
        <f>IF(ISNUMBER(tblClean[[#This Row],[Date]]),DATE(YEAR(tblClean[[#This Row],[Date]]),MONTH(tblClean[[#This Row],[Date]]),1),"")</f>
        <v>45870</v>
      </c>
      <c r="M287" s="10">
        <f>IF(ISNUMBER(tblClean[[#This Row],[Date]]),tblClean[[#This Row],[Date]]-WEEKDAY(tblClean[[#This Row],[Date]],2)+1,"")</f>
        <v>45873</v>
      </c>
      <c r="N287" s="23">
        <f>IF(ISNUMBER(tblClean[[#This Row],[Week Start]]),(tblClean[[#This Row],[Week Start]]-MIN(tblClean[Week Start]))/7+1,"")</f>
        <v>10</v>
      </c>
      <c r="O287" s="24" t="str">
        <f>IF(ISNUMBER(tblClean[[#This Row],[Date]]),CHOOSE(WEEKDAY(tblClean[[#This Row],[Date]],2),"Mon","Tue","Wed","Thu","Fri","Sat","Sun"),"")</f>
        <v>Fri</v>
      </c>
      <c r="P287" s="24" t="str">
        <f>IF(ISNUMBER(tblClean[[#This Row],[Date]]),IF(WEEKDAY(tblClean[[#This Row],[Date]],2)&gt;=6,"Weekend","Weekday"),"")</f>
        <v>Weekday</v>
      </c>
      <c r="Q28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87" s="9" t="str">
        <f>IF(ISNUMBER(tblClean[[#This Row],[Duration Hours]]),IF(tblClean[[#This Row],[Duration Hours]]&lt;2,"Short (under 2h)",IF(tblClean[[#This Row],[Duration Hours]]&lt;3,"Standard (2h to under 3h)","Long (3h or more)")),"")</f>
        <v>Long (3h or more)</v>
      </c>
      <c r="S28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87" s="24">
        <f>IF(COUNTIF(tblClean[Session ID],tblClean[[#This Row],[Session ID]])&gt;1,1,0)</f>
        <v>0</v>
      </c>
      <c r="U287" s="24">
        <f>IF(OR(N(tblClean[[#This Row],[Attributed GMV PHP]])&lt;0,N(tblClean[[#This Row],[Items Sold]])&lt;0,N(tblClean[[#This Row],[Livestream Views]])&lt;0,N(tblClean[[#This Row],[New Followers]])&lt;0),1,0)</f>
        <v>0</v>
      </c>
      <c r="V287" s="24">
        <f>IF(ISNUMBER(tblClean[[#This Row],[Duration Hours]]),IF(OR(tblClean[[#This Row],[Duration Hours]]&lt;=0,tblClean[[#This Row],[Duration Hours]]&gt;12),1,0),1)</f>
        <v>0</v>
      </c>
      <c r="W287" s="24">
        <f>IF(COUNTIF(HostRoster,tblClean[[#This Row],[Host Name]])=0,1,0)</f>
        <v>0</v>
      </c>
      <c r="X287" s="24">
        <f>IF(tblClean[[#This Row],[Missing Flag]]+tblClean[[#This Row],[Duplicate Flag]]+tblClean[[#This Row],[Negative Flag]]+tblClean[[#This Row],[Duration Flag]]+tblClean[[#This Row],[Host Flag]]=0,1,0)</f>
        <v>1</v>
      </c>
    </row>
    <row r="288" spans="1:24" x14ac:dyDescent="0.3">
      <c r="A288" s="9" t="str">
        <f>TRIM('Raw Data'!A284)</f>
        <v>LS-0280</v>
      </c>
      <c r="B288" s="10">
        <f>IF(ISNUMBER('Raw Data'!B284),INT('Raw Data'!B284),IFERROR(DATEVALUE('Raw Data'!B284),""))</f>
        <v>45878</v>
      </c>
      <c r="C288" s="9" t="str">
        <f>PROPER(TRIM('Raw Data'!C284))</f>
        <v>Carlo Mendoza</v>
      </c>
      <c r="D288" s="11">
        <f>IF(ISNUMBER('Raw Data'!D284),MOD('Raw Data'!D284,1),IFERROR(TIMEVALUE('Raw Data'!D284),""))</f>
        <v>0.54166666666666663</v>
      </c>
      <c r="E288" s="11">
        <f>IF(ISNUMBER('Raw Data'!E284),MOD('Raw Data'!E284,1),IFERROR(TIMEVALUE('Raw Data'!E284),""))</f>
        <v>0.66666666666666663</v>
      </c>
      <c r="F288" s="12">
        <f>IF(ISNUMBER('Raw Data'!F284),'Raw Data'!F284,IFERROR(VALUE(SUBSTITUTE('Raw Data'!F284,",","")),""))</f>
        <v>62930</v>
      </c>
      <c r="G288" s="13">
        <f>IF(ISNUMBER('Raw Data'!G284),'Raw Data'!G284,IFERROR(VALUE(SUBSTITUTE('Raw Data'!G284,",","")),""))</f>
        <v>183</v>
      </c>
      <c r="H288" s="13">
        <f>IF(ISNUMBER('Raw Data'!H284),'Raw Data'!H284,IFERROR(VALUE(SUBSTITUTE('Raw Data'!H284,",","")),""))</f>
        <v>198323</v>
      </c>
      <c r="I288" s="13">
        <f>IF(ISNUMBER('Raw Data'!I284),'Raw Data'!I284,IFERROR(VALUE(SUBSTITUTE('Raw Data'!I284,",","")),""))</f>
        <v>1579</v>
      </c>
      <c r="J288" s="21">
        <f>IF(AND(ISNUMBER(tblClean[[#This Row],[Start Time]]),ISNUMBER(tblClean[[#This Row],[End Time]])),ROUND(MOD(tblClean[[#This Row],[End Time]]-tblClean[[#This Row],[Start Time]],1)*24,2),"")</f>
        <v>3</v>
      </c>
      <c r="K288" s="12">
        <f>IF(AND(ISNUMBER(tblClean[[#This Row],[Duration Hours]]),ISNUMBER(tblClean[[#This Row],[Attributed GMV PHP]])),IF(tblClean[[#This Row],[Duration Hours]]&gt;0,tblClean[[#This Row],[Attributed GMV PHP]]/tblClean[[#This Row],[Duration Hours]],""),"")</f>
        <v>20976.666666666668</v>
      </c>
      <c r="L288" s="22">
        <f>IF(ISNUMBER(tblClean[[#This Row],[Date]]),DATE(YEAR(tblClean[[#This Row],[Date]]),MONTH(tblClean[[#This Row],[Date]]),1),"")</f>
        <v>45870</v>
      </c>
      <c r="M288" s="10">
        <f>IF(ISNUMBER(tblClean[[#This Row],[Date]]),tblClean[[#This Row],[Date]]-WEEKDAY(tblClean[[#This Row],[Date]],2)+1,"")</f>
        <v>45873</v>
      </c>
      <c r="N288" s="23">
        <f>IF(ISNUMBER(tblClean[[#This Row],[Week Start]]),(tblClean[[#This Row],[Week Start]]-MIN(tblClean[Week Start]))/7+1,"")</f>
        <v>10</v>
      </c>
      <c r="O288" s="24" t="str">
        <f>IF(ISNUMBER(tblClean[[#This Row],[Date]]),CHOOSE(WEEKDAY(tblClean[[#This Row],[Date]],2),"Mon","Tue","Wed","Thu","Fri","Sat","Sun"),"")</f>
        <v>Sat</v>
      </c>
      <c r="P288" s="24" t="str">
        <f>IF(ISNUMBER(tblClean[[#This Row],[Date]]),IF(WEEKDAY(tblClean[[#This Row],[Date]],2)&gt;=6,"Weekend","Weekday"),"")</f>
        <v>Weekend</v>
      </c>
      <c r="Q28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88" s="9" t="str">
        <f>IF(ISNUMBER(tblClean[[#This Row],[Duration Hours]]),IF(tblClean[[#This Row],[Duration Hours]]&lt;2,"Short (under 2h)",IF(tblClean[[#This Row],[Duration Hours]]&lt;3,"Standard (2h to under 3h)","Long (3h or more)")),"")</f>
        <v>Long (3h or more)</v>
      </c>
      <c r="S28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88" s="24">
        <f>IF(COUNTIF(tblClean[Session ID],tblClean[[#This Row],[Session ID]])&gt;1,1,0)</f>
        <v>0</v>
      </c>
      <c r="U288" s="24">
        <f>IF(OR(N(tblClean[[#This Row],[Attributed GMV PHP]])&lt;0,N(tblClean[[#This Row],[Items Sold]])&lt;0,N(tblClean[[#This Row],[Livestream Views]])&lt;0,N(tblClean[[#This Row],[New Followers]])&lt;0),1,0)</f>
        <v>0</v>
      </c>
      <c r="V288" s="24">
        <f>IF(ISNUMBER(tblClean[[#This Row],[Duration Hours]]),IF(OR(tblClean[[#This Row],[Duration Hours]]&lt;=0,tblClean[[#This Row],[Duration Hours]]&gt;12),1,0),1)</f>
        <v>0</v>
      </c>
      <c r="W288" s="24">
        <f>IF(COUNTIF(HostRoster,tblClean[[#This Row],[Host Name]])=0,1,0)</f>
        <v>0</v>
      </c>
      <c r="X288" s="24">
        <f>IF(tblClean[[#This Row],[Missing Flag]]+tblClean[[#This Row],[Duplicate Flag]]+tblClean[[#This Row],[Negative Flag]]+tblClean[[#This Row],[Duration Flag]]+tblClean[[#This Row],[Host Flag]]=0,1,0)</f>
        <v>1</v>
      </c>
    </row>
    <row r="289" spans="1:24" x14ac:dyDescent="0.3">
      <c r="A289" s="9" t="str">
        <f>TRIM('Raw Data'!A285)</f>
        <v>LS-0281</v>
      </c>
      <c r="B289" s="10">
        <f>IF(ISNUMBER('Raw Data'!B285),INT('Raw Data'!B285),IFERROR(DATEVALUE('Raw Data'!B285),""))</f>
        <v>45878</v>
      </c>
      <c r="C289" s="9" t="str">
        <f>PROPER(TRIM('Raw Data'!C285))</f>
        <v>Dani Villanueva</v>
      </c>
      <c r="D289" s="11">
        <f>IF(ISNUMBER('Raw Data'!D285),MOD('Raw Data'!D285,1),IFERROR(TIMEVALUE('Raw Data'!D285),""))</f>
        <v>0.66666666666666663</v>
      </c>
      <c r="E289" s="11">
        <f>IF(ISNUMBER('Raw Data'!E285),MOD('Raw Data'!E285,1),IFERROR(TIMEVALUE('Raw Data'!E285),""))</f>
        <v>0.77083333333333337</v>
      </c>
      <c r="F289" s="12">
        <f>IF(ISNUMBER('Raw Data'!F285),'Raw Data'!F285,IFERROR(VALUE(SUBSTITUTE('Raw Data'!F285,",","")),""))</f>
        <v>31269</v>
      </c>
      <c r="G289" s="13">
        <f>IF(ISNUMBER('Raw Data'!G285),'Raw Data'!G285,IFERROR(VALUE(SUBSTITUTE('Raw Data'!G285,",","")),""))</f>
        <v>89</v>
      </c>
      <c r="H289" s="13">
        <f>IF(ISNUMBER('Raw Data'!H285),'Raw Data'!H285,IFERROR(VALUE(SUBSTITUTE('Raw Data'!H285,",","")),""))</f>
        <v>134745</v>
      </c>
      <c r="I289" s="13">
        <f>IF(ISNUMBER('Raw Data'!I285),'Raw Data'!I285,IFERROR(VALUE(SUBSTITUTE('Raw Data'!I285,",","")),""))</f>
        <v>1323</v>
      </c>
      <c r="J289" s="21">
        <f>IF(AND(ISNUMBER(tblClean[[#This Row],[Start Time]]),ISNUMBER(tblClean[[#This Row],[End Time]])),ROUND(MOD(tblClean[[#This Row],[End Time]]-tblClean[[#This Row],[Start Time]],1)*24,2),"")</f>
        <v>2.5</v>
      </c>
      <c r="K289" s="12">
        <f>IF(AND(ISNUMBER(tblClean[[#This Row],[Duration Hours]]),ISNUMBER(tblClean[[#This Row],[Attributed GMV PHP]])),IF(tblClean[[#This Row],[Duration Hours]]&gt;0,tblClean[[#This Row],[Attributed GMV PHP]]/tblClean[[#This Row],[Duration Hours]],""),"")</f>
        <v>12507.6</v>
      </c>
      <c r="L289" s="22">
        <f>IF(ISNUMBER(tblClean[[#This Row],[Date]]),DATE(YEAR(tblClean[[#This Row],[Date]]),MONTH(tblClean[[#This Row],[Date]]),1),"")</f>
        <v>45870</v>
      </c>
      <c r="M289" s="10">
        <f>IF(ISNUMBER(tblClean[[#This Row],[Date]]),tblClean[[#This Row],[Date]]-WEEKDAY(tblClean[[#This Row],[Date]],2)+1,"")</f>
        <v>45873</v>
      </c>
      <c r="N289" s="23">
        <f>IF(ISNUMBER(tblClean[[#This Row],[Week Start]]),(tblClean[[#This Row],[Week Start]]-MIN(tblClean[Week Start]))/7+1,"")</f>
        <v>10</v>
      </c>
      <c r="O289" s="24" t="str">
        <f>IF(ISNUMBER(tblClean[[#This Row],[Date]]),CHOOSE(WEEKDAY(tblClean[[#This Row],[Date]],2),"Mon","Tue","Wed","Thu","Fri","Sat","Sun"),"")</f>
        <v>Sat</v>
      </c>
      <c r="P289" s="24" t="str">
        <f>IF(ISNUMBER(tblClean[[#This Row],[Date]]),IF(WEEKDAY(tblClean[[#This Row],[Date]],2)&gt;=6,"Weekend","Weekday"),"")</f>
        <v>Weekend</v>
      </c>
      <c r="Q28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89" s="9" t="str">
        <f>IF(ISNUMBER(tblClean[[#This Row],[Duration Hours]]),IF(tblClean[[#This Row],[Duration Hours]]&lt;2,"Short (under 2h)",IF(tblClean[[#This Row],[Duration Hours]]&lt;3,"Standard (2h to under 3h)","Long (3h or more)")),"")</f>
        <v>Standard (2h to under 3h)</v>
      </c>
      <c r="S28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89" s="24">
        <f>IF(COUNTIF(tblClean[Session ID],tblClean[[#This Row],[Session ID]])&gt;1,1,0)</f>
        <v>0</v>
      </c>
      <c r="U289" s="24">
        <f>IF(OR(N(tblClean[[#This Row],[Attributed GMV PHP]])&lt;0,N(tblClean[[#This Row],[Items Sold]])&lt;0,N(tblClean[[#This Row],[Livestream Views]])&lt;0,N(tblClean[[#This Row],[New Followers]])&lt;0),1,0)</f>
        <v>0</v>
      </c>
      <c r="V289" s="24">
        <f>IF(ISNUMBER(tblClean[[#This Row],[Duration Hours]]),IF(OR(tblClean[[#This Row],[Duration Hours]]&lt;=0,tblClean[[#This Row],[Duration Hours]]&gt;12),1,0),1)</f>
        <v>0</v>
      </c>
      <c r="W289" s="24">
        <f>IF(COUNTIF(HostRoster,tblClean[[#This Row],[Host Name]])=0,1,0)</f>
        <v>0</v>
      </c>
      <c r="X289" s="24">
        <f>IF(tblClean[[#This Row],[Missing Flag]]+tblClean[[#This Row],[Duplicate Flag]]+tblClean[[#This Row],[Negative Flag]]+tblClean[[#This Row],[Duration Flag]]+tblClean[[#This Row],[Host Flag]]=0,1,0)</f>
        <v>1</v>
      </c>
    </row>
    <row r="290" spans="1:24" x14ac:dyDescent="0.3">
      <c r="A290" s="9" t="str">
        <f>TRIM('Raw Data'!A286)</f>
        <v>LS-0282</v>
      </c>
      <c r="B290" s="10">
        <f>IF(ISNUMBER('Raw Data'!B286),INT('Raw Data'!B286),IFERROR(DATEVALUE('Raw Data'!B286),""))</f>
        <v>45878</v>
      </c>
      <c r="C290" s="9" t="str">
        <f>PROPER(TRIM('Raw Data'!C286))</f>
        <v>Carlo Mendoza</v>
      </c>
      <c r="D290" s="11">
        <f>IF(ISNUMBER('Raw Data'!D286),MOD('Raw Data'!D286,1),IFERROR(TIMEVALUE('Raw Data'!D286),""))</f>
        <v>0.79166666666666663</v>
      </c>
      <c r="E290" s="11">
        <f>IF(ISNUMBER('Raw Data'!E286),MOD('Raw Data'!E286,1),IFERROR(TIMEVALUE('Raw Data'!E286),""))</f>
        <v>0.89583333333333337</v>
      </c>
      <c r="F290" s="12">
        <f>IF(ISNUMBER('Raw Data'!F286),'Raw Data'!F286,IFERROR(VALUE(SUBSTITUTE('Raw Data'!F286,",","")),""))</f>
        <v>38825</v>
      </c>
      <c r="G290" s="13">
        <f>IF(ISNUMBER('Raw Data'!G286),'Raw Data'!G286,IFERROR(VALUE(SUBSTITUTE('Raw Data'!G286,",","")),""))</f>
        <v>102</v>
      </c>
      <c r="H290" s="13">
        <f>IF(ISNUMBER('Raw Data'!H286),'Raw Data'!H286,IFERROR(VALUE(SUBSTITUTE('Raw Data'!H286,",","")),""))</f>
        <v>106341</v>
      </c>
      <c r="I290" s="13">
        <f>IF(ISNUMBER('Raw Data'!I286),'Raw Data'!I286,IFERROR(VALUE(SUBSTITUTE('Raw Data'!I286,",","")),""))</f>
        <v>1021</v>
      </c>
      <c r="J290" s="21">
        <f>IF(AND(ISNUMBER(tblClean[[#This Row],[Start Time]]),ISNUMBER(tblClean[[#This Row],[End Time]])),ROUND(MOD(tblClean[[#This Row],[End Time]]-tblClean[[#This Row],[Start Time]],1)*24,2),"")</f>
        <v>2.5</v>
      </c>
      <c r="K290" s="12">
        <f>IF(AND(ISNUMBER(tblClean[[#This Row],[Duration Hours]]),ISNUMBER(tblClean[[#This Row],[Attributed GMV PHP]])),IF(tblClean[[#This Row],[Duration Hours]]&gt;0,tblClean[[#This Row],[Attributed GMV PHP]]/tblClean[[#This Row],[Duration Hours]],""),"")</f>
        <v>15530</v>
      </c>
      <c r="L290" s="22">
        <f>IF(ISNUMBER(tblClean[[#This Row],[Date]]),DATE(YEAR(tblClean[[#This Row],[Date]]),MONTH(tblClean[[#This Row],[Date]]),1),"")</f>
        <v>45870</v>
      </c>
      <c r="M290" s="10">
        <f>IF(ISNUMBER(tblClean[[#This Row],[Date]]),tblClean[[#This Row],[Date]]-WEEKDAY(tblClean[[#This Row],[Date]],2)+1,"")</f>
        <v>45873</v>
      </c>
      <c r="N290" s="23">
        <f>IF(ISNUMBER(tblClean[[#This Row],[Week Start]]),(tblClean[[#This Row],[Week Start]]-MIN(tblClean[Week Start]))/7+1,"")</f>
        <v>10</v>
      </c>
      <c r="O290" s="24" t="str">
        <f>IF(ISNUMBER(tblClean[[#This Row],[Date]]),CHOOSE(WEEKDAY(tblClean[[#This Row],[Date]],2),"Mon","Tue","Wed","Thu","Fri","Sat","Sun"),"")</f>
        <v>Sat</v>
      </c>
      <c r="P290" s="24" t="str">
        <f>IF(ISNUMBER(tblClean[[#This Row],[Date]]),IF(WEEKDAY(tblClean[[#This Row],[Date]],2)&gt;=6,"Weekend","Weekday"),"")</f>
        <v>Weekend</v>
      </c>
      <c r="Q29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90" s="9" t="str">
        <f>IF(ISNUMBER(tblClean[[#This Row],[Duration Hours]]),IF(tblClean[[#This Row],[Duration Hours]]&lt;2,"Short (under 2h)",IF(tblClean[[#This Row],[Duration Hours]]&lt;3,"Standard (2h to under 3h)","Long (3h or more)")),"")</f>
        <v>Standard (2h to under 3h)</v>
      </c>
      <c r="S29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90" s="24">
        <f>IF(COUNTIF(tblClean[Session ID],tblClean[[#This Row],[Session ID]])&gt;1,1,0)</f>
        <v>0</v>
      </c>
      <c r="U290" s="24">
        <f>IF(OR(N(tblClean[[#This Row],[Attributed GMV PHP]])&lt;0,N(tblClean[[#This Row],[Items Sold]])&lt;0,N(tblClean[[#This Row],[Livestream Views]])&lt;0,N(tblClean[[#This Row],[New Followers]])&lt;0),1,0)</f>
        <v>0</v>
      </c>
      <c r="V290" s="24">
        <f>IF(ISNUMBER(tblClean[[#This Row],[Duration Hours]]),IF(OR(tblClean[[#This Row],[Duration Hours]]&lt;=0,tblClean[[#This Row],[Duration Hours]]&gt;12),1,0),1)</f>
        <v>0</v>
      </c>
      <c r="W290" s="24">
        <f>IF(COUNTIF(HostRoster,tblClean[[#This Row],[Host Name]])=0,1,0)</f>
        <v>0</v>
      </c>
      <c r="X290" s="24">
        <f>IF(tblClean[[#This Row],[Missing Flag]]+tblClean[[#This Row],[Duplicate Flag]]+tblClean[[#This Row],[Negative Flag]]+tblClean[[#This Row],[Duration Flag]]+tblClean[[#This Row],[Host Flag]]=0,1,0)</f>
        <v>1</v>
      </c>
    </row>
    <row r="291" spans="1:24" x14ac:dyDescent="0.3">
      <c r="A291" s="9" t="str">
        <f>TRIM('Raw Data'!A287)</f>
        <v>LS-0283</v>
      </c>
      <c r="B291" s="10">
        <f>IF(ISNUMBER('Raw Data'!B287),INT('Raw Data'!B287),IFERROR(DATEVALUE('Raw Data'!B287),""))</f>
        <v>45878</v>
      </c>
      <c r="C291" s="9" t="str">
        <f>PROPER(TRIM('Raw Data'!C287))</f>
        <v>Carlo Mendoza</v>
      </c>
      <c r="D291" s="11">
        <f>IF(ISNUMBER('Raw Data'!D287),MOD('Raw Data'!D287,1),IFERROR(TIMEVALUE('Raw Data'!D287),""))</f>
        <v>0.91666666666666663</v>
      </c>
      <c r="E291" s="11">
        <f>IF(ISNUMBER('Raw Data'!E287),MOD('Raw Data'!E287,1),IFERROR(TIMEVALUE('Raw Data'!E287),""))</f>
        <v>2.0833333333333329E-2</v>
      </c>
      <c r="F291" s="12">
        <f>IF(ISNUMBER('Raw Data'!F287),'Raw Data'!F287,IFERROR(VALUE(SUBSTITUTE('Raw Data'!F287,",","")),""))</f>
        <v>40987</v>
      </c>
      <c r="G291" s="13">
        <f>IF(ISNUMBER('Raw Data'!G287),'Raw Data'!G287,IFERROR(VALUE(SUBSTITUTE('Raw Data'!G287,",","")),""))</f>
        <v>114</v>
      </c>
      <c r="H291" s="13">
        <f>IF(ISNUMBER('Raw Data'!H287),'Raw Data'!H287,IFERROR(VALUE(SUBSTITUTE('Raw Data'!H287,",","")),""))</f>
        <v>135592</v>
      </c>
      <c r="I291" s="13">
        <f>IF(ISNUMBER('Raw Data'!I287),'Raw Data'!I287,IFERROR(VALUE(SUBSTITUTE('Raw Data'!I287,",","")),""))</f>
        <v>590</v>
      </c>
      <c r="J291" s="21">
        <f>IF(AND(ISNUMBER(tblClean[[#This Row],[Start Time]]),ISNUMBER(tblClean[[#This Row],[End Time]])),ROUND(MOD(tblClean[[#This Row],[End Time]]-tblClean[[#This Row],[Start Time]],1)*24,2),"")</f>
        <v>2.5</v>
      </c>
      <c r="K291" s="12">
        <f>IF(AND(ISNUMBER(tblClean[[#This Row],[Duration Hours]]),ISNUMBER(tblClean[[#This Row],[Attributed GMV PHP]])),IF(tblClean[[#This Row],[Duration Hours]]&gt;0,tblClean[[#This Row],[Attributed GMV PHP]]/tblClean[[#This Row],[Duration Hours]],""),"")</f>
        <v>16394.8</v>
      </c>
      <c r="L291" s="22">
        <f>IF(ISNUMBER(tblClean[[#This Row],[Date]]),DATE(YEAR(tblClean[[#This Row],[Date]]),MONTH(tblClean[[#This Row],[Date]]),1),"")</f>
        <v>45870</v>
      </c>
      <c r="M291" s="10">
        <f>IF(ISNUMBER(tblClean[[#This Row],[Date]]),tblClean[[#This Row],[Date]]-WEEKDAY(tblClean[[#This Row],[Date]],2)+1,"")</f>
        <v>45873</v>
      </c>
      <c r="N291" s="23">
        <f>IF(ISNUMBER(tblClean[[#This Row],[Week Start]]),(tblClean[[#This Row],[Week Start]]-MIN(tblClean[Week Start]))/7+1,"")</f>
        <v>10</v>
      </c>
      <c r="O291" s="24" t="str">
        <f>IF(ISNUMBER(tblClean[[#This Row],[Date]]),CHOOSE(WEEKDAY(tblClean[[#This Row],[Date]],2),"Mon","Tue","Wed","Thu","Fri","Sat","Sun"),"")</f>
        <v>Sat</v>
      </c>
      <c r="P291" s="24" t="str">
        <f>IF(ISNUMBER(tblClean[[#This Row],[Date]]),IF(WEEKDAY(tblClean[[#This Row],[Date]],2)&gt;=6,"Weekend","Weekday"),"")</f>
        <v>Weekend</v>
      </c>
      <c r="Q29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91" s="9" t="str">
        <f>IF(ISNUMBER(tblClean[[#This Row],[Duration Hours]]),IF(tblClean[[#This Row],[Duration Hours]]&lt;2,"Short (under 2h)",IF(tblClean[[#This Row],[Duration Hours]]&lt;3,"Standard (2h to under 3h)","Long (3h or more)")),"")</f>
        <v>Standard (2h to under 3h)</v>
      </c>
      <c r="S29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91" s="24">
        <f>IF(COUNTIF(tblClean[Session ID],tblClean[[#This Row],[Session ID]])&gt;1,1,0)</f>
        <v>0</v>
      </c>
      <c r="U291" s="24">
        <f>IF(OR(N(tblClean[[#This Row],[Attributed GMV PHP]])&lt;0,N(tblClean[[#This Row],[Items Sold]])&lt;0,N(tblClean[[#This Row],[Livestream Views]])&lt;0,N(tblClean[[#This Row],[New Followers]])&lt;0),1,0)</f>
        <v>0</v>
      </c>
      <c r="V291" s="24">
        <f>IF(ISNUMBER(tblClean[[#This Row],[Duration Hours]]),IF(OR(tblClean[[#This Row],[Duration Hours]]&lt;=0,tblClean[[#This Row],[Duration Hours]]&gt;12),1,0),1)</f>
        <v>0</v>
      </c>
      <c r="W291" s="24">
        <f>IF(COUNTIF(HostRoster,tblClean[[#This Row],[Host Name]])=0,1,0)</f>
        <v>0</v>
      </c>
      <c r="X291" s="24">
        <f>IF(tblClean[[#This Row],[Missing Flag]]+tblClean[[#This Row],[Duplicate Flag]]+tblClean[[#This Row],[Negative Flag]]+tblClean[[#This Row],[Duration Flag]]+tblClean[[#This Row],[Host Flag]]=0,1,0)</f>
        <v>1</v>
      </c>
    </row>
    <row r="292" spans="1:24" x14ac:dyDescent="0.3">
      <c r="A292" s="9" t="str">
        <f>TRIM('Raw Data'!A288)</f>
        <v>LS-0284</v>
      </c>
      <c r="B292" s="10">
        <f>IF(ISNUMBER('Raw Data'!B288),INT('Raw Data'!B288),IFERROR(DATEVALUE('Raw Data'!B288),""))</f>
        <v>45879</v>
      </c>
      <c r="C292" s="9" t="str">
        <f>PROPER(TRIM('Raw Data'!C288))</f>
        <v>Carlo Mendoza</v>
      </c>
      <c r="D292" s="11">
        <f>IF(ISNUMBER('Raw Data'!D288),MOD('Raw Data'!D288,1),IFERROR(TIMEVALUE('Raw Data'!D288),""))</f>
        <v>0.41666666666666669</v>
      </c>
      <c r="E292" s="11">
        <f>IF(ISNUMBER('Raw Data'!E288),MOD('Raw Data'!E288,1),IFERROR(TIMEVALUE('Raw Data'!E288),""))</f>
        <v>0.52083333333333337</v>
      </c>
      <c r="F292" s="12">
        <f>IF(ISNUMBER('Raw Data'!F288),'Raw Data'!F288,IFERROR(VALUE(SUBSTITUTE('Raw Data'!F288,",","")),""))</f>
        <v>25287</v>
      </c>
      <c r="G292" s="13">
        <f>IF(ISNUMBER('Raw Data'!G288),'Raw Data'!G288,IFERROR(VALUE(SUBSTITUTE('Raw Data'!G288,",","")),""))</f>
        <v>76</v>
      </c>
      <c r="H292" s="13">
        <f>IF(ISNUMBER('Raw Data'!H288),'Raw Data'!H288,IFERROR(VALUE(SUBSTITUTE('Raw Data'!H288,",","")),""))</f>
        <v>75910</v>
      </c>
      <c r="I292" s="13">
        <f>IF(ISNUMBER('Raw Data'!I288),'Raw Data'!I288,IFERROR(VALUE(SUBSTITUTE('Raw Data'!I288,",","")),""))</f>
        <v>318</v>
      </c>
      <c r="J292" s="21">
        <f>IF(AND(ISNUMBER(tblClean[[#This Row],[Start Time]]),ISNUMBER(tblClean[[#This Row],[End Time]])),ROUND(MOD(tblClean[[#This Row],[End Time]]-tblClean[[#This Row],[Start Time]],1)*24,2),"")</f>
        <v>2.5</v>
      </c>
      <c r="K292" s="12">
        <f>IF(AND(ISNUMBER(tblClean[[#This Row],[Duration Hours]]),ISNUMBER(tblClean[[#This Row],[Attributed GMV PHP]])),IF(tblClean[[#This Row],[Duration Hours]]&gt;0,tblClean[[#This Row],[Attributed GMV PHP]]/tblClean[[#This Row],[Duration Hours]],""),"")</f>
        <v>10114.799999999999</v>
      </c>
      <c r="L292" s="22">
        <f>IF(ISNUMBER(tblClean[[#This Row],[Date]]),DATE(YEAR(tblClean[[#This Row],[Date]]),MONTH(tblClean[[#This Row],[Date]]),1),"")</f>
        <v>45870</v>
      </c>
      <c r="M292" s="10">
        <f>IF(ISNUMBER(tblClean[[#This Row],[Date]]),tblClean[[#This Row],[Date]]-WEEKDAY(tblClean[[#This Row],[Date]],2)+1,"")</f>
        <v>45873</v>
      </c>
      <c r="N292" s="23">
        <f>IF(ISNUMBER(tblClean[[#This Row],[Week Start]]),(tblClean[[#This Row],[Week Start]]-MIN(tblClean[Week Start]))/7+1,"")</f>
        <v>10</v>
      </c>
      <c r="O292" s="24" t="str">
        <f>IF(ISNUMBER(tblClean[[#This Row],[Date]]),CHOOSE(WEEKDAY(tblClean[[#This Row],[Date]],2),"Mon","Tue","Wed","Thu","Fri","Sat","Sun"),"")</f>
        <v>Sun</v>
      </c>
      <c r="P292" s="24" t="str">
        <f>IF(ISNUMBER(tblClean[[#This Row],[Date]]),IF(WEEKDAY(tblClean[[#This Row],[Date]],2)&gt;=6,"Weekend","Weekday"),"")</f>
        <v>Weekend</v>
      </c>
      <c r="Q29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92" s="9" t="str">
        <f>IF(ISNUMBER(tblClean[[#This Row],[Duration Hours]]),IF(tblClean[[#This Row],[Duration Hours]]&lt;2,"Short (under 2h)",IF(tblClean[[#This Row],[Duration Hours]]&lt;3,"Standard (2h to under 3h)","Long (3h or more)")),"")</f>
        <v>Standard (2h to under 3h)</v>
      </c>
      <c r="S29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92" s="24">
        <f>IF(COUNTIF(tblClean[Session ID],tblClean[[#This Row],[Session ID]])&gt;1,1,0)</f>
        <v>0</v>
      </c>
      <c r="U292" s="24">
        <f>IF(OR(N(tblClean[[#This Row],[Attributed GMV PHP]])&lt;0,N(tblClean[[#This Row],[Items Sold]])&lt;0,N(tblClean[[#This Row],[Livestream Views]])&lt;0,N(tblClean[[#This Row],[New Followers]])&lt;0),1,0)</f>
        <v>0</v>
      </c>
      <c r="V292" s="24">
        <f>IF(ISNUMBER(tblClean[[#This Row],[Duration Hours]]),IF(OR(tblClean[[#This Row],[Duration Hours]]&lt;=0,tblClean[[#This Row],[Duration Hours]]&gt;12),1,0),1)</f>
        <v>0</v>
      </c>
      <c r="W292" s="24">
        <f>IF(COUNTIF(HostRoster,tblClean[[#This Row],[Host Name]])=0,1,0)</f>
        <v>0</v>
      </c>
      <c r="X292" s="24">
        <f>IF(tblClean[[#This Row],[Missing Flag]]+tblClean[[#This Row],[Duplicate Flag]]+tblClean[[#This Row],[Negative Flag]]+tblClean[[#This Row],[Duration Flag]]+tblClean[[#This Row],[Host Flag]]=0,1,0)</f>
        <v>1</v>
      </c>
    </row>
    <row r="293" spans="1:24" x14ac:dyDescent="0.3">
      <c r="A293" s="9" t="str">
        <f>TRIM('Raw Data'!A289)</f>
        <v>LS-0285</v>
      </c>
      <c r="B293" s="10">
        <f>IF(ISNUMBER('Raw Data'!B289),INT('Raw Data'!B289),IFERROR(DATEVALUE('Raw Data'!B289),""))</f>
        <v>45879</v>
      </c>
      <c r="C293" s="9" t="str">
        <f>PROPER(TRIM('Raw Data'!C289))</f>
        <v>Carlo Mendoza</v>
      </c>
      <c r="D293" s="11">
        <f>IF(ISNUMBER('Raw Data'!D289),MOD('Raw Data'!D289,1),IFERROR(TIMEVALUE('Raw Data'!D289),""))</f>
        <v>0.54166666666666663</v>
      </c>
      <c r="E293" s="11">
        <f>IF(ISNUMBER('Raw Data'!E289),MOD('Raw Data'!E289,1),IFERROR(TIMEVALUE('Raw Data'!E289),""))</f>
        <v>0.625</v>
      </c>
      <c r="F293" s="12">
        <f>IF(ISNUMBER('Raw Data'!F289),'Raw Data'!F289,IFERROR(VALUE(SUBSTITUTE('Raw Data'!F289,",","")),""))</f>
        <v>29986</v>
      </c>
      <c r="G293" s="13">
        <f>IF(ISNUMBER('Raw Data'!G289),'Raw Data'!G289,IFERROR(VALUE(SUBSTITUTE('Raw Data'!G289,",","")),""))</f>
        <v>91</v>
      </c>
      <c r="H293" s="13">
        <f>IF(ISNUMBER('Raw Data'!H289),'Raw Data'!H289,IFERROR(VALUE(SUBSTITUTE('Raw Data'!H289,",","")),""))</f>
        <v>120953</v>
      </c>
      <c r="I293" s="13">
        <f>IF(ISNUMBER('Raw Data'!I289),'Raw Data'!I289,IFERROR(VALUE(SUBSTITUTE('Raw Data'!I289,",","")),""))</f>
        <v>1496</v>
      </c>
      <c r="J293" s="21">
        <f>IF(AND(ISNUMBER(tblClean[[#This Row],[Start Time]]),ISNUMBER(tblClean[[#This Row],[End Time]])),ROUND(MOD(tblClean[[#This Row],[End Time]]-tblClean[[#This Row],[Start Time]],1)*24,2),"")</f>
        <v>2</v>
      </c>
      <c r="K293" s="12">
        <f>IF(AND(ISNUMBER(tblClean[[#This Row],[Duration Hours]]),ISNUMBER(tblClean[[#This Row],[Attributed GMV PHP]])),IF(tblClean[[#This Row],[Duration Hours]]&gt;0,tblClean[[#This Row],[Attributed GMV PHP]]/tblClean[[#This Row],[Duration Hours]],""),"")</f>
        <v>14993</v>
      </c>
      <c r="L293" s="22">
        <f>IF(ISNUMBER(tblClean[[#This Row],[Date]]),DATE(YEAR(tblClean[[#This Row],[Date]]),MONTH(tblClean[[#This Row],[Date]]),1),"")</f>
        <v>45870</v>
      </c>
      <c r="M293" s="10">
        <f>IF(ISNUMBER(tblClean[[#This Row],[Date]]),tblClean[[#This Row],[Date]]-WEEKDAY(tblClean[[#This Row],[Date]],2)+1,"")</f>
        <v>45873</v>
      </c>
      <c r="N293" s="23">
        <f>IF(ISNUMBER(tblClean[[#This Row],[Week Start]]),(tblClean[[#This Row],[Week Start]]-MIN(tblClean[Week Start]))/7+1,"")</f>
        <v>10</v>
      </c>
      <c r="O293" s="24" t="str">
        <f>IF(ISNUMBER(tblClean[[#This Row],[Date]]),CHOOSE(WEEKDAY(tblClean[[#This Row],[Date]],2),"Mon","Tue","Wed","Thu","Fri","Sat","Sun"),"")</f>
        <v>Sun</v>
      </c>
      <c r="P293" s="24" t="str">
        <f>IF(ISNUMBER(tblClean[[#This Row],[Date]]),IF(WEEKDAY(tblClean[[#This Row],[Date]],2)&gt;=6,"Weekend","Weekday"),"")</f>
        <v>Weekend</v>
      </c>
      <c r="Q29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93" s="9" t="str">
        <f>IF(ISNUMBER(tblClean[[#This Row],[Duration Hours]]),IF(tblClean[[#This Row],[Duration Hours]]&lt;2,"Short (under 2h)",IF(tblClean[[#This Row],[Duration Hours]]&lt;3,"Standard (2h to under 3h)","Long (3h or more)")),"")</f>
        <v>Standard (2h to under 3h)</v>
      </c>
      <c r="S29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93" s="24">
        <f>IF(COUNTIF(tblClean[Session ID],tblClean[[#This Row],[Session ID]])&gt;1,1,0)</f>
        <v>0</v>
      </c>
      <c r="U293" s="24">
        <f>IF(OR(N(tblClean[[#This Row],[Attributed GMV PHP]])&lt;0,N(tblClean[[#This Row],[Items Sold]])&lt;0,N(tblClean[[#This Row],[Livestream Views]])&lt;0,N(tblClean[[#This Row],[New Followers]])&lt;0),1,0)</f>
        <v>0</v>
      </c>
      <c r="V293" s="24">
        <f>IF(ISNUMBER(tblClean[[#This Row],[Duration Hours]]),IF(OR(tblClean[[#This Row],[Duration Hours]]&lt;=0,tblClean[[#This Row],[Duration Hours]]&gt;12),1,0),1)</f>
        <v>0</v>
      </c>
      <c r="W293" s="24">
        <f>IF(COUNTIF(HostRoster,tblClean[[#This Row],[Host Name]])=0,1,0)</f>
        <v>0</v>
      </c>
      <c r="X293" s="24">
        <f>IF(tblClean[[#This Row],[Missing Flag]]+tblClean[[#This Row],[Duplicate Flag]]+tblClean[[#This Row],[Negative Flag]]+tblClean[[#This Row],[Duration Flag]]+tblClean[[#This Row],[Host Flag]]=0,1,0)</f>
        <v>1</v>
      </c>
    </row>
    <row r="294" spans="1:24" x14ac:dyDescent="0.3">
      <c r="A294" s="9" t="str">
        <f>TRIM('Raw Data'!A290)</f>
        <v>LS-0286</v>
      </c>
      <c r="B294" s="10">
        <f>IF(ISNUMBER('Raw Data'!B290),INT('Raw Data'!B290),IFERROR(DATEVALUE('Raw Data'!B290),""))</f>
        <v>45879</v>
      </c>
      <c r="C294" s="9" t="str">
        <f>PROPER(TRIM('Raw Data'!C290))</f>
        <v>Dani Villanueva</v>
      </c>
      <c r="D294" s="11">
        <f>IF(ISNUMBER('Raw Data'!D290),MOD('Raw Data'!D290,1),IFERROR(TIMEVALUE('Raw Data'!D290),""))</f>
        <v>0.66666666666666663</v>
      </c>
      <c r="E294" s="11">
        <f>IF(ISNUMBER('Raw Data'!E290),MOD('Raw Data'!E290,1),IFERROR(TIMEVALUE('Raw Data'!E290),""))</f>
        <v>0.79166666666666663</v>
      </c>
      <c r="F294" s="12">
        <f>IF(ISNUMBER('Raw Data'!F290),'Raw Data'!F290,IFERROR(VALUE(SUBSTITUTE('Raw Data'!F290,",","")),""))</f>
        <v>42556</v>
      </c>
      <c r="G294" s="13">
        <f>IF(ISNUMBER('Raw Data'!G290),'Raw Data'!G290,IFERROR(VALUE(SUBSTITUTE('Raw Data'!G290,",","")),""))</f>
        <v>130</v>
      </c>
      <c r="H294" s="13">
        <f>IF(ISNUMBER('Raw Data'!H290),'Raw Data'!H290,IFERROR(VALUE(SUBSTITUTE('Raw Data'!H290,",","")),""))</f>
        <v>199276</v>
      </c>
      <c r="I294" s="13">
        <f>IF(ISNUMBER('Raw Data'!I290),'Raw Data'!I290,IFERROR(VALUE(SUBSTITUTE('Raw Data'!I290,",","")),""))</f>
        <v>1054</v>
      </c>
      <c r="J294" s="21">
        <f>IF(AND(ISNUMBER(tblClean[[#This Row],[Start Time]]),ISNUMBER(tblClean[[#This Row],[End Time]])),ROUND(MOD(tblClean[[#This Row],[End Time]]-tblClean[[#This Row],[Start Time]],1)*24,2),"")</f>
        <v>3</v>
      </c>
      <c r="K294" s="12">
        <f>IF(AND(ISNUMBER(tblClean[[#This Row],[Duration Hours]]),ISNUMBER(tblClean[[#This Row],[Attributed GMV PHP]])),IF(tblClean[[#This Row],[Duration Hours]]&gt;0,tblClean[[#This Row],[Attributed GMV PHP]]/tblClean[[#This Row],[Duration Hours]],""),"")</f>
        <v>14185.333333333334</v>
      </c>
      <c r="L294" s="22">
        <f>IF(ISNUMBER(tblClean[[#This Row],[Date]]),DATE(YEAR(tblClean[[#This Row],[Date]]),MONTH(tblClean[[#This Row],[Date]]),1),"")</f>
        <v>45870</v>
      </c>
      <c r="M294" s="10">
        <f>IF(ISNUMBER(tblClean[[#This Row],[Date]]),tblClean[[#This Row],[Date]]-WEEKDAY(tblClean[[#This Row],[Date]],2)+1,"")</f>
        <v>45873</v>
      </c>
      <c r="N294" s="23">
        <f>IF(ISNUMBER(tblClean[[#This Row],[Week Start]]),(tblClean[[#This Row],[Week Start]]-MIN(tblClean[Week Start]))/7+1,"")</f>
        <v>10</v>
      </c>
      <c r="O294" s="24" t="str">
        <f>IF(ISNUMBER(tblClean[[#This Row],[Date]]),CHOOSE(WEEKDAY(tblClean[[#This Row],[Date]],2),"Mon","Tue","Wed","Thu","Fri","Sat","Sun"),"")</f>
        <v>Sun</v>
      </c>
      <c r="P294" s="24" t="str">
        <f>IF(ISNUMBER(tblClean[[#This Row],[Date]]),IF(WEEKDAY(tblClean[[#This Row],[Date]],2)&gt;=6,"Weekend","Weekday"),"")</f>
        <v>Weekend</v>
      </c>
      <c r="Q29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294" s="9" t="str">
        <f>IF(ISNUMBER(tblClean[[#This Row],[Duration Hours]]),IF(tblClean[[#This Row],[Duration Hours]]&lt;2,"Short (under 2h)",IF(tblClean[[#This Row],[Duration Hours]]&lt;3,"Standard (2h to under 3h)","Long (3h or more)")),"")</f>
        <v>Long (3h or more)</v>
      </c>
      <c r="S29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94" s="24">
        <f>IF(COUNTIF(tblClean[Session ID],tblClean[[#This Row],[Session ID]])&gt;1,1,0)</f>
        <v>0</v>
      </c>
      <c r="U294" s="24">
        <f>IF(OR(N(tblClean[[#This Row],[Attributed GMV PHP]])&lt;0,N(tblClean[[#This Row],[Items Sold]])&lt;0,N(tblClean[[#This Row],[Livestream Views]])&lt;0,N(tblClean[[#This Row],[New Followers]])&lt;0),1,0)</f>
        <v>0</v>
      </c>
      <c r="V294" s="24">
        <f>IF(ISNUMBER(tblClean[[#This Row],[Duration Hours]]),IF(OR(tblClean[[#This Row],[Duration Hours]]&lt;=0,tblClean[[#This Row],[Duration Hours]]&gt;12),1,0),1)</f>
        <v>0</v>
      </c>
      <c r="W294" s="24">
        <f>IF(COUNTIF(HostRoster,tblClean[[#This Row],[Host Name]])=0,1,0)</f>
        <v>0</v>
      </c>
      <c r="X294" s="24">
        <f>IF(tblClean[[#This Row],[Missing Flag]]+tblClean[[#This Row],[Duplicate Flag]]+tblClean[[#This Row],[Negative Flag]]+tblClean[[#This Row],[Duration Flag]]+tblClean[[#This Row],[Host Flag]]=0,1,0)</f>
        <v>1</v>
      </c>
    </row>
    <row r="295" spans="1:24" x14ac:dyDescent="0.3">
      <c r="A295" s="9" t="str">
        <f>TRIM('Raw Data'!A291)</f>
        <v>LS-0287</v>
      </c>
      <c r="B295" s="10">
        <f>IF(ISNUMBER('Raw Data'!B291),INT('Raw Data'!B291),IFERROR(DATEVALUE('Raw Data'!B291),""))</f>
        <v>45879</v>
      </c>
      <c r="C295" s="9" t="str">
        <f>PROPER(TRIM('Raw Data'!C291))</f>
        <v>Bianca Reyes</v>
      </c>
      <c r="D295" s="11">
        <f>IF(ISNUMBER('Raw Data'!D291),MOD('Raw Data'!D291,1),IFERROR(TIMEVALUE('Raw Data'!D291),""))</f>
        <v>0.79166666666666663</v>
      </c>
      <c r="E295" s="11">
        <f>IF(ISNUMBER('Raw Data'!E291),MOD('Raw Data'!E291,1),IFERROR(TIMEVALUE('Raw Data'!E291),""))</f>
        <v>0.91666666666666663</v>
      </c>
      <c r="F295" s="12">
        <f>IF(ISNUMBER('Raw Data'!F291),'Raw Data'!F291,IFERROR(VALUE(SUBSTITUTE('Raw Data'!F291,",","")),""))</f>
        <v>67742</v>
      </c>
      <c r="G295" s="13">
        <f>IF(ISNUMBER('Raw Data'!G291),'Raw Data'!G291,IFERROR(VALUE(SUBSTITUTE('Raw Data'!G291,",","")),""))</f>
        <v>190</v>
      </c>
      <c r="H295" s="13">
        <f>IF(ISNUMBER('Raw Data'!H291),'Raw Data'!H291,IFERROR(VALUE(SUBSTITUTE('Raw Data'!H291,",","")),""))</f>
        <v>295145</v>
      </c>
      <c r="I295" s="13">
        <f>IF(ISNUMBER('Raw Data'!I291),'Raw Data'!I291,IFERROR(VALUE(SUBSTITUTE('Raw Data'!I291,",","")),""))</f>
        <v>3096</v>
      </c>
      <c r="J295" s="21">
        <f>IF(AND(ISNUMBER(tblClean[[#This Row],[Start Time]]),ISNUMBER(tblClean[[#This Row],[End Time]])),ROUND(MOD(tblClean[[#This Row],[End Time]]-tblClean[[#This Row],[Start Time]],1)*24,2),"")</f>
        <v>3</v>
      </c>
      <c r="K295" s="12">
        <f>IF(AND(ISNUMBER(tblClean[[#This Row],[Duration Hours]]),ISNUMBER(tblClean[[#This Row],[Attributed GMV PHP]])),IF(tblClean[[#This Row],[Duration Hours]]&gt;0,tblClean[[#This Row],[Attributed GMV PHP]]/tblClean[[#This Row],[Duration Hours]],""),"")</f>
        <v>22580.666666666668</v>
      </c>
      <c r="L295" s="22">
        <f>IF(ISNUMBER(tblClean[[#This Row],[Date]]),DATE(YEAR(tblClean[[#This Row],[Date]]),MONTH(tblClean[[#This Row],[Date]]),1),"")</f>
        <v>45870</v>
      </c>
      <c r="M295" s="10">
        <f>IF(ISNUMBER(tblClean[[#This Row],[Date]]),tblClean[[#This Row],[Date]]-WEEKDAY(tblClean[[#This Row],[Date]],2)+1,"")</f>
        <v>45873</v>
      </c>
      <c r="N295" s="23">
        <f>IF(ISNUMBER(tblClean[[#This Row],[Week Start]]),(tblClean[[#This Row],[Week Start]]-MIN(tblClean[Week Start]))/7+1,"")</f>
        <v>10</v>
      </c>
      <c r="O295" s="24" t="str">
        <f>IF(ISNUMBER(tblClean[[#This Row],[Date]]),CHOOSE(WEEKDAY(tblClean[[#This Row],[Date]],2),"Mon","Tue","Wed","Thu","Fri","Sat","Sun"),"")</f>
        <v>Sun</v>
      </c>
      <c r="P295" s="24" t="str">
        <f>IF(ISNUMBER(tblClean[[#This Row],[Date]]),IF(WEEKDAY(tblClean[[#This Row],[Date]],2)&gt;=6,"Weekend","Weekday"),"")</f>
        <v>Weekend</v>
      </c>
      <c r="Q29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95" s="9" t="str">
        <f>IF(ISNUMBER(tblClean[[#This Row],[Duration Hours]]),IF(tblClean[[#This Row],[Duration Hours]]&lt;2,"Short (under 2h)",IF(tblClean[[#This Row],[Duration Hours]]&lt;3,"Standard (2h to under 3h)","Long (3h or more)")),"")</f>
        <v>Long (3h or more)</v>
      </c>
      <c r="S29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95" s="24">
        <f>IF(COUNTIF(tblClean[Session ID],tblClean[[#This Row],[Session ID]])&gt;1,1,0)</f>
        <v>0</v>
      </c>
      <c r="U295" s="24">
        <f>IF(OR(N(tblClean[[#This Row],[Attributed GMV PHP]])&lt;0,N(tblClean[[#This Row],[Items Sold]])&lt;0,N(tblClean[[#This Row],[Livestream Views]])&lt;0,N(tblClean[[#This Row],[New Followers]])&lt;0),1,0)</f>
        <v>0</v>
      </c>
      <c r="V295" s="24">
        <f>IF(ISNUMBER(tblClean[[#This Row],[Duration Hours]]),IF(OR(tblClean[[#This Row],[Duration Hours]]&lt;=0,tblClean[[#This Row],[Duration Hours]]&gt;12),1,0),1)</f>
        <v>0</v>
      </c>
      <c r="W295" s="24">
        <f>IF(COUNTIF(HostRoster,tblClean[[#This Row],[Host Name]])=0,1,0)</f>
        <v>0</v>
      </c>
      <c r="X295" s="24">
        <f>IF(tblClean[[#This Row],[Missing Flag]]+tblClean[[#This Row],[Duplicate Flag]]+tblClean[[#This Row],[Negative Flag]]+tblClean[[#This Row],[Duration Flag]]+tblClean[[#This Row],[Host Flag]]=0,1,0)</f>
        <v>1</v>
      </c>
    </row>
    <row r="296" spans="1:24" x14ac:dyDescent="0.3">
      <c r="A296" s="9" t="str">
        <f>TRIM('Raw Data'!A292)</f>
        <v>LS-0288</v>
      </c>
      <c r="B296" s="10">
        <f>IF(ISNUMBER('Raw Data'!B292),INT('Raw Data'!B292),IFERROR(DATEVALUE('Raw Data'!B292),""))</f>
        <v>45879</v>
      </c>
      <c r="C296" s="9" t="str">
        <f>PROPER(TRIM('Raw Data'!C292))</f>
        <v>Carlo Mendoza</v>
      </c>
      <c r="D296" s="11">
        <f>IF(ISNUMBER('Raw Data'!D292),MOD('Raw Data'!D292,1),IFERROR(TIMEVALUE('Raw Data'!D292),""))</f>
        <v>0.91666666666666663</v>
      </c>
      <c r="E296" s="11">
        <f>IF(ISNUMBER('Raw Data'!E292),MOD('Raw Data'!E292,1),IFERROR(TIMEVALUE('Raw Data'!E292),""))</f>
        <v>2.0833333333333329E-2</v>
      </c>
      <c r="F296" s="12">
        <f>IF(ISNUMBER('Raw Data'!F292),'Raw Data'!F292,IFERROR(VALUE(SUBSTITUTE('Raw Data'!F292,",","")),""))</f>
        <v>40243</v>
      </c>
      <c r="G296" s="13">
        <f>IF(ISNUMBER('Raw Data'!G292),'Raw Data'!G292,IFERROR(VALUE(SUBSTITUTE('Raw Data'!G292,",","")),""))</f>
        <v>102</v>
      </c>
      <c r="H296" s="13">
        <f>IF(ISNUMBER('Raw Data'!H292),'Raw Data'!H292,IFERROR(VALUE(SUBSTITUTE('Raw Data'!H292,",","")),""))</f>
        <v>111771</v>
      </c>
      <c r="I296" s="13">
        <f>IF(ISNUMBER('Raw Data'!I292),'Raw Data'!I292,IFERROR(VALUE(SUBSTITUTE('Raw Data'!I292,",","")),""))</f>
        <v>1119</v>
      </c>
      <c r="J296" s="21">
        <f>IF(AND(ISNUMBER(tblClean[[#This Row],[Start Time]]),ISNUMBER(tblClean[[#This Row],[End Time]])),ROUND(MOD(tblClean[[#This Row],[End Time]]-tblClean[[#This Row],[Start Time]],1)*24,2),"")</f>
        <v>2.5</v>
      </c>
      <c r="K296" s="12">
        <f>IF(AND(ISNUMBER(tblClean[[#This Row],[Duration Hours]]),ISNUMBER(tblClean[[#This Row],[Attributed GMV PHP]])),IF(tblClean[[#This Row],[Duration Hours]]&gt;0,tblClean[[#This Row],[Attributed GMV PHP]]/tblClean[[#This Row],[Duration Hours]],""),"")</f>
        <v>16097.2</v>
      </c>
      <c r="L296" s="22">
        <f>IF(ISNUMBER(tblClean[[#This Row],[Date]]),DATE(YEAR(tblClean[[#This Row],[Date]]),MONTH(tblClean[[#This Row],[Date]]),1),"")</f>
        <v>45870</v>
      </c>
      <c r="M296" s="10">
        <f>IF(ISNUMBER(tblClean[[#This Row],[Date]]),tblClean[[#This Row],[Date]]-WEEKDAY(tblClean[[#This Row],[Date]],2)+1,"")</f>
        <v>45873</v>
      </c>
      <c r="N296" s="23">
        <f>IF(ISNUMBER(tblClean[[#This Row],[Week Start]]),(tblClean[[#This Row],[Week Start]]-MIN(tblClean[Week Start]))/7+1,"")</f>
        <v>10</v>
      </c>
      <c r="O296" s="24" t="str">
        <f>IF(ISNUMBER(tblClean[[#This Row],[Date]]),CHOOSE(WEEKDAY(tblClean[[#This Row],[Date]],2),"Mon","Tue","Wed","Thu","Fri","Sat","Sun"),"")</f>
        <v>Sun</v>
      </c>
      <c r="P296" s="24" t="str">
        <f>IF(ISNUMBER(tblClean[[#This Row],[Date]]),IF(WEEKDAY(tblClean[[#This Row],[Date]],2)&gt;=6,"Weekend","Weekday"),"")</f>
        <v>Weekend</v>
      </c>
      <c r="Q29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296" s="9" t="str">
        <f>IF(ISNUMBER(tblClean[[#This Row],[Duration Hours]]),IF(tblClean[[#This Row],[Duration Hours]]&lt;2,"Short (under 2h)",IF(tblClean[[#This Row],[Duration Hours]]&lt;3,"Standard (2h to under 3h)","Long (3h or more)")),"")</f>
        <v>Standard (2h to under 3h)</v>
      </c>
      <c r="S29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96" s="24">
        <f>IF(COUNTIF(tblClean[Session ID],tblClean[[#This Row],[Session ID]])&gt;1,1,0)</f>
        <v>0</v>
      </c>
      <c r="U296" s="24">
        <f>IF(OR(N(tblClean[[#This Row],[Attributed GMV PHP]])&lt;0,N(tblClean[[#This Row],[Items Sold]])&lt;0,N(tblClean[[#This Row],[Livestream Views]])&lt;0,N(tblClean[[#This Row],[New Followers]])&lt;0),1,0)</f>
        <v>0</v>
      </c>
      <c r="V296" s="24">
        <f>IF(ISNUMBER(tblClean[[#This Row],[Duration Hours]]),IF(OR(tblClean[[#This Row],[Duration Hours]]&lt;=0,tblClean[[#This Row],[Duration Hours]]&gt;12),1,0),1)</f>
        <v>0</v>
      </c>
      <c r="W296" s="24">
        <f>IF(COUNTIF(HostRoster,tblClean[[#This Row],[Host Name]])=0,1,0)</f>
        <v>0</v>
      </c>
      <c r="X296" s="24">
        <f>IF(tblClean[[#This Row],[Missing Flag]]+tblClean[[#This Row],[Duplicate Flag]]+tblClean[[#This Row],[Negative Flag]]+tblClean[[#This Row],[Duration Flag]]+tblClean[[#This Row],[Host Flag]]=0,1,0)</f>
        <v>1</v>
      </c>
    </row>
    <row r="297" spans="1:24" x14ac:dyDescent="0.3">
      <c r="A297" s="9" t="str">
        <f>TRIM('Raw Data'!A293)</f>
        <v>LS-0289</v>
      </c>
      <c r="B297" s="10">
        <f>IF(ISNUMBER('Raw Data'!B293),INT('Raw Data'!B293),IFERROR(DATEVALUE('Raw Data'!B293),""))</f>
        <v>45880</v>
      </c>
      <c r="C297" s="9" t="str">
        <f>PROPER(TRIM('Raw Data'!C293))</f>
        <v>Bianca Reyes</v>
      </c>
      <c r="D297" s="11">
        <f>IF(ISNUMBER('Raw Data'!D293),MOD('Raw Data'!D293,1),IFERROR(TIMEVALUE('Raw Data'!D293),""))</f>
        <v>0.41666666666666669</v>
      </c>
      <c r="E297" s="11">
        <f>IF(ISNUMBER('Raw Data'!E293),MOD('Raw Data'!E293,1),IFERROR(TIMEVALUE('Raw Data'!E293),""))</f>
        <v>0.5</v>
      </c>
      <c r="F297" s="12">
        <f>IF(ISNUMBER('Raw Data'!F293),'Raw Data'!F293,IFERROR(VALUE(SUBSTITUTE('Raw Data'!F293,",","")),""))</f>
        <v>16178</v>
      </c>
      <c r="G297" s="13">
        <f>IF(ISNUMBER('Raw Data'!G293),'Raw Data'!G293,IFERROR(VALUE(SUBSTITUTE('Raw Data'!G293,",","")),""))</f>
        <v>49</v>
      </c>
      <c r="H297" s="13">
        <f>IF(ISNUMBER('Raw Data'!H293),'Raw Data'!H293,IFERROR(VALUE(SUBSTITUTE('Raw Data'!H293,",","")),""))</f>
        <v>46228</v>
      </c>
      <c r="I297" s="13">
        <f>IF(ISNUMBER('Raw Data'!I293),'Raw Data'!I293,IFERROR(VALUE(SUBSTITUTE('Raw Data'!I293,",","")),""))</f>
        <v>597</v>
      </c>
      <c r="J297" s="21">
        <f>IF(AND(ISNUMBER(tblClean[[#This Row],[Start Time]]),ISNUMBER(tblClean[[#This Row],[End Time]])),ROUND(MOD(tblClean[[#This Row],[End Time]]-tblClean[[#This Row],[Start Time]],1)*24,2),"")</f>
        <v>2</v>
      </c>
      <c r="K297" s="12">
        <f>IF(AND(ISNUMBER(tblClean[[#This Row],[Duration Hours]]),ISNUMBER(tblClean[[#This Row],[Attributed GMV PHP]])),IF(tblClean[[#This Row],[Duration Hours]]&gt;0,tblClean[[#This Row],[Attributed GMV PHP]]/tblClean[[#This Row],[Duration Hours]],""),"")</f>
        <v>8089</v>
      </c>
      <c r="L297" s="22">
        <f>IF(ISNUMBER(tblClean[[#This Row],[Date]]),DATE(YEAR(tblClean[[#This Row],[Date]]),MONTH(tblClean[[#This Row],[Date]]),1),"")</f>
        <v>45870</v>
      </c>
      <c r="M297" s="10">
        <f>IF(ISNUMBER(tblClean[[#This Row],[Date]]),tblClean[[#This Row],[Date]]-WEEKDAY(tblClean[[#This Row],[Date]],2)+1,"")</f>
        <v>45880</v>
      </c>
      <c r="N297" s="23">
        <f>IF(ISNUMBER(tblClean[[#This Row],[Week Start]]),(tblClean[[#This Row],[Week Start]]-MIN(tblClean[Week Start]))/7+1,"")</f>
        <v>11</v>
      </c>
      <c r="O297" s="24" t="str">
        <f>IF(ISNUMBER(tblClean[[#This Row],[Date]]),CHOOSE(WEEKDAY(tblClean[[#This Row],[Date]],2),"Mon","Tue","Wed","Thu","Fri","Sat","Sun"),"")</f>
        <v>Mon</v>
      </c>
      <c r="P297" s="24" t="str">
        <f>IF(ISNUMBER(tblClean[[#This Row],[Date]]),IF(WEEKDAY(tblClean[[#This Row],[Date]],2)&gt;=6,"Weekend","Weekday"),"")</f>
        <v>Weekday</v>
      </c>
      <c r="Q29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297" s="9" t="str">
        <f>IF(ISNUMBER(tblClean[[#This Row],[Duration Hours]]),IF(tblClean[[#This Row],[Duration Hours]]&lt;2,"Short (under 2h)",IF(tblClean[[#This Row],[Duration Hours]]&lt;3,"Standard (2h to under 3h)","Long (3h or more)")),"")</f>
        <v>Standard (2h to under 3h)</v>
      </c>
      <c r="S29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97" s="24">
        <f>IF(COUNTIF(tblClean[Session ID],tblClean[[#This Row],[Session ID]])&gt;1,1,0)</f>
        <v>0</v>
      </c>
      <c r="U297" s="24">
        <f>IF(OR(N(tblClean[[#This Row],[Attributed GMV PHP]])&lt;0,N(tblClean[[#This Row],[Items Sold]])&lt;0,N(tblClean[[#This Row],[Livestream Views]])&lt;0,N(tblClean[[#This Row],[New Followers]])&lt;0),1,0)</f>
        <v>0</v>
      </c>
      <c r="V297" s="24">
        <f>IF(ISNUMBER(tblClean[[#This Row],[Duration Hours]]),IF(OR(tblClean[[#This Row],[Duration Hours]]&lt;=0,tblClean[[#This Row],[Duration Hours]]&gt;12),1,0),1)</f>
        <v>0</v>
      </c>
      <c r="W297" s="24">
        <f>IF(COUNTIF(HostRoster,tblClean[[#This Row],[Host Name]])=0,1,0)</f>
        <v>0</v>
      </c>
      <c r="X297" s="24">
        <f>IF(tblClean[[#This Row],[Missing Flag]]+tblClean[[#This Row],[Duplicate Flag]]+tblClean[[#This Row],[Negative Flag]]+tblClean[[#This Row],[Duration Flag]]+tblClean[[#This Row],[Host Flag]]=0,1,0)</f>
        <v>1</v>
      </c>
    </row>
    <row r="298" spans="1:24" x14ac:dyDescent="0.3">
      <c r="A298" s="9" t="str">
        <f>TRIM('Raw Data'!A294)</f>
        <v>LS-0290</v>
      </c>
      <c r="B298" s="10">
        <f>IF(ISNUMBER('Raw Data'!B294),INT('Raw Data'!B294),IFERROR(DATEVALUE('Raw Data'!B294),""))</f>
        <v>45880</v>
      </c>
      <c r="C298" s="9" t="str">
        <f>PROPER(TRIM('Raw Data'!C294))</f>
        <v>Elise Navarro</v>
      </c>
      <c r="D298" s="11">
        <f>IF(ISNUMBER('Raw Data'!D294),MOD('Raw Data'!D294,1),IFERROR(TIMEVALUE('Raw Data'!D294),""))</f>
        <v>0.54166666666666663</v>
      </c>
      <c r="E298" s="11">
        <f>IF(ISNUMBER('Raw Data'!E294),MOD('Raw Data'!E294,1),IFERROR(TIMEVALUE('Raw Data'!E294),""))</f>
        <v>0.625</v>
      </c>
      <c r="F298" s="12">
        <f>IF(ISNUMBER('Raw Data'!F294),'Raw Data'!F294,IFERROR(VALUE(SUBSTITUTE('Raw Data'!F294,",","")),""))</f>
        <v>38634</v>
      </c>
      <c r="G298" s="13">
        <f>IF(ISNUMBER('Raw Data'!G294),'Raw Data'!G294,IFERROR(VALUE(SUBSTITUTE('Raw Data'!G294,",","")),""))</f>
        <v>122</v>
      </c>
      <c r="H298" s="13">
        <f>IF(ISNUMBER('Raw Data'!H294),'Raw Data'!H294,IFERROR(VALUE(SUBSTITUTE('Raw Data'!H294,",","")),""))</f>
        <v>142886</v>
      </c>
      <c r="I298" s="13">
        <f>IF(ISNUMBER('Raw Data'!I294),'Raw Data'!I294,IFERROR(VALUE(SUBSTITUTE('Raw Data'!I294,",","")),""))</f>
        <v>1206</v>
      </c>
      <c r="J298" s="21">
        <f>IF(AND(ISNUMBER(tblClean[[#This Row],[Start Time]]),ISNUMBER(tblClean[[#This Row],[End Time]])),ROUND(MOD(tblClean[[#This Row],[End Time]]-tblClean[[#This Row],[Start Time]],1)*24,2),"")</f>
        <v>2</v>
      </c>
      <c r="K298" s="12">
        <f>IF(AND(ISNUMBER(tblClean[[#This Row],[Duration Hours]]),ISNUMBER(tblClean[[#This Row],[Attributed GMV PHP]])),IF(tblClean[[#This Row],[Duration Hours]]&gt;0,tblClean[[#This Row],[Attributed GMV PHP]]/tblClean[[#This Row],[Duration Hours]],""),"")</f>
        <v>19317</v>
      </c>
      <c r="L298" s="22">
        <f>IF(ISNUMBER(tblClean[[#This Row],[Date]]),DATE(YEAR(tblClean[[#This Row],[Date]]),MONTH(tblClean[[#This Row],[Date]]),1),"")</f>
        <v>45870</v>
      </c>
      <c r="M298" s="10">
        <f>IF(ISNUMBER(tblClean[[#This Row],[Date]]),tblClean[[#This Row],[Date]]-WEEKDAY(tblClean[[#This Row],[Date]],2)+1,"")</f>
        <v>45880</v>
      </c>
      <c r="N298" s="23">
        <f>IF(ISNUMBER(tblClean[[#This Row],[Week Start]]),(tblClean[[#This Row],[Week Start]]-MIN(tblClean[Week Start]))/7+1,"")</f>
        <v>11</v>
      </c>
      <c r="O298" s="24" t="str">
        <f>IF(ISNUMBER(tblClean[[#This Row],[Date]]),CHOOSE(WEEKDAY(tblClean[[#This Row],[Date]],2),"Mon","Tue","Wed","Thu","Fri","Sat","Sun"),"")</f>
        <v>Mon</v>
      </c>
      <c r="P298" s="24" t="str">
        <f>IF(ISNUMBER(tblClean[[#This Row],[Date]]),IF(WEEKDAY(tblClean[[#This Row],[Date]],2)&gt;=6,"Weekend","Weekday"),"")</f>
        <v>Weekday</v>
      </c>
      <c r="Q29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298" s="9" t="str">
        <f>IF(ISNUMBER(tblClean[[#This Row],[Duration Hours]]),IF(tblClean[[#This Row],[Duration Hours]]&lt;2,"Short (under 2h)",IF(tblClean[[#This Row],[Duration Hours]]&lt;3,"Standard (2h to under 3h)","Long (3h or more)")),"")</f>
        <v>Standard (2h to under 3h)</v>
      </c>
      <c r="S29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98" s="24">
        <f>IF(COUNTIF(tblClean[Session ID],tblClean[[#This Row],[Session ID]])&gt;1,1,0)</f>
        <v>0</v>
      </c>
      <c r="U298" s="24">
        <f>IF(OR(N(tblClean[[#This Row],[Attributed GMV PHP]])&lt;0,N(tblClean[[#This Row],[Items Sold]])&lt;0,N(tblClean[[#This Row],[Livestream Views]])&lt;0,N(tblClean[[#This Row],[New Followers]])&lt;0),1,0)</f>
        <v>0</v>
      </c>
      <c r="V298" s="24">
        <f>IF(ISNUMBER(tblClean[[#This Row],[Duration Hours]]),IF(OR(tblClean[[#This Row],[Duration Hours]]&lt;=0,tblClean[[#This Row],[Duration Hours]]&gt;12),1,0),1)</f>
        <v>0</v>
      </c>
      <c r="W298" s="24">
        <f>IF(COUNTIF(HostRoster,tblClean[[#This Row],[Host Name]])=0,1,0)</f>
        <v>0</v>
      </c>
      <c r="X298" s="24">
        <f>IF(tblClean[[#This Row],[Missing Flag]]+tblClean[[#This Row],[Duplicate Flag]]+tblClean[[#This Row],[Negative Flag]]+tblClean[[#This Row],[Duration Flag]]+tblClean[[#This Row],[Host Flag]]=0,1,0)</f>
        <v>1</v>
      </c>
    </row>
    <row r="299" spans="1:24" x14ac:dyDescent="0.3">
      <c r="A299" s="9" t="str">
        <f>TRIM('Raw Data'!A295)</f>
        <v>LS-0291</v>
      </c>
      <c r="B299" s="10">
        <f>IF(ISNUMBER('Raw Data'!B295),INT('Raw Data'!B295),IFERROR(DATEVALUE('Raw Data'!B295),""))</f>
        <v>45880</v>
      </c>
      <c r="C299" s="9" t="str">
        <f>PROPER(TRIM('Raw Data'!C295))</f>
        <v>Bianca Reyes</v>
      </c>
      <c r="D299" s="11">
        <f>IF(ISNUMBER('Raw Data'!D295),MOD('Raw Data'!D295,1),IFERROR(TIMEVALUE('Raw Data'!D295),""))</f>
        <v>0.79166666666666663</v>
      </c>
      <c r="E299" s="11">
        <f>IF(ISNUMBER('Raw Data'!E295),MOD('Raw Data'!E295,1),IFERROR(TIMEVALUE('Raw Data'!E295),""))</f>
        <v>0.875</v>
      </c>
      <c r="F299" s="12">
        <f>IF(ISNUMBER('Raw Data'!F295),'Raw Data'!F295,IFERROR(VALUE(SUBSTITUTE('Raw Data'!F295,",","")),""))</f>
        <v>33676</v>
      </c>
      <c r="G299" s="13">
        <f>IF(ISNUMBER('Raw Data'!G295),'Raw Data'!G295,IFERROR(VALUE(SUBSTITUTE('Raw Data'!G295,",","")),""))</f>
        <v>85</v>
      </c>
      <c r="H299" s="13">
        <f>IF(ISNUMBER('Raw Data'!H295),'Raw Data'!H295,IFERROR(VALUE(SUBSTITUTE('Raw Data'!H295,",","")),""))</f>
        <v>92442</v>
      </c>
      <c r="I299" s="13">
        <f>IF(ISNUMBER('Raw Data'!I295),'Raw Data'!I295,IFERROR(VALUE(SUBSTITUTE('Raw Data'!I295,",","")),""))</f>
        <v>503</v>
      </c>
      <c r="J299" s="21">
        <f>IF(AND(ISNUMBER(tblClean[[#This Row],[Start Time]]),ISNUMBER(tblClean[[#This Row],[End Time]])),ROUND(MOD(tblClean[[#This Row],[End Time]]-tblClean[[#This Row],[Start Time]],1)*24,2),"")</f>
        <v>2</v>
      </c>
      <c r="K299" s="12">
        <f>IF(AND(ISNUMBER(tblClean[[#This Row],[Duration Hours]]),ISNUMBER(tblClean[[#This Row],[Attributed GMV PHP]])),IF(tblClean[[#This Row],[Duration Hours]]&gt;0,tblClean[[#This Row],[Attributed GMV PHP]]/tblClean[[#This Row],[Duration Hours]],""),"")</f>
        <v>16838</v>
      </c>
      <c r="L299" s="22">
        <f>IF(ISNUMBER(tblClean[[#This Row],[Date]]),DATE(YEAR(tblClean[[#This Row],[Date]]),MONTH(tblClean[[#This Row],[Date]]),1),"")</f>
        <v>45870</v>
      </c>
      <c r="M299" s="10">
        <f>IF(ISNUMBER(tblClean[[#This Row],[Date]]),tblClean[[#This Row],[Date]]-WEEKDAY(tblClean[[#This Row],[Date]],2)+1,"")</f>
        <v>45880</v>
      </c>
      <c r="N299" s="23">
        <f>IF(ISNUMBER(tblClean[[#This Row],[Week Start]]),(tblClean[[#This Row],[Week Start]]-MIN(tblClean[Week Start]))/7+1,"")</f>
        <v>11</v>
      </c>
      <c r="O299" s="24" t="str">
        <f>IF(ISNUMBER(tblClean[[#This Row],[Date]]),CHOOSE(WEEKDAY(tblClean[[#This Row],[Date]],2),"Mon","Tue","Wed","Thu","Fri","Sat","Sun"),"")</f>
        <v>Mon</v>
      </c>
      <c r="P299" s="24" t="str">
        <f>IF(ISNUMBER(tblClean[[#This Row],[Date]]),IF(WEEKDAY(tblClean[[#This Row],[Date]],2)&gt;=6,"Weekend","Weekday"),"")</f>
        <v>Weekday</v>
      </c>
      <c r="Q29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299" s="9" t="str">
        <f>IF(ISNUMBER(tblClean[[#This Row],[Duration Hours]]),IF(tblClean[[#This Row],[Duration Hours]]&lt;2,"Short (under 2h)",IF(tblClean[[#This Row],[Duration Hours]]&lt;3,"Standard (2h to under 3h)","Long (3h or more)")),"")</f>
        <v>Standard (2h to under 3h)</v>
      </c>
      <c r="S29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299" s="24">
        <f>IF(COUNTIF(tblClean[Session ID],tblClean[[#This Row],[Session ID]])&gt;1,1,0)</f>
        <v>0</v>
      </c>
      <c r="U299" s="24">
        <f>IF(OR(N(tblClean[[#This Row],[Attributed GMV PHP]])&lt;0,N(tblClean[[#This Row],[Items Sold]])&lt;0,N(tblClean[[#This Row],[Livestream Views]])&lt;0,N(tblClean[[#This Row],[New Followers]])&lt;0),1,0)</f>
        <v>0</v>
      </c>
      <c r="V299" s="24">
        <f>IF(ISNUMBER(tblClean[[#This Row],[Duration Hours]]),IF(OR(tblClean[[#This Row],[Duration Hours]]&lt;=0,tblClean[[#This Row],[Duration Hours]]&gt;12),1,0),1)</f>
        <v>0</v>
      </c>
      <c r="W299" s="24">
        <f>IF(COUNTIF(HostRoster,tblClean[[#This Row],[Host Name]])=0,1,0)</f>
        <v>0</v>
      </c>
      <c r="X299" s="24">
        <f>IF(tblClean[[#This Row],[Missing Flag]]+tblClean[[#This Row],[Duplicate Flag]]+tblClean[[#This Row],[Negative Flag]]+tblClean[[#This Row],[Duration Flag]]+tblClean[[#This Row],[Host Flag]]=0,1,0)</f>
        <v>1</v>
      </c>
    </row>
    <row r="300" spans="1:24" x14ac:dyDescent="0.3">
      <c r="A300" s="9" t="str">
        <f>TRIM('Raw Data'!A296)</f>
        <v>LS-0292</v>
      </c>
      <c r="B300" s="10">
        <f>IF(ISNUMBER('Raw Data'!B296),INT('Raw Data'!B296),IFERROR(DATEVALUE('Raw Data'!B296),""))</f>
        <v>45880</v>
      </c>
      <c r="C300" s="9" t="str">
        <f>PROPER(TRIM('Raw Data'!C296))</f>
        <v>Bianca Reyes</v>
      </c>
      <c r="D300" s="11">
        <f>IF(ISNUMBER('Raw Data'!D296),MOD('Raw Data'!D296,1),IFERROR(TIMEVALUE('Raw Data'!D296),""))</f>
        <v>0.91666666666666663</v>
      </c>
      <c r="E300" s="11">
        <f>IF(ISNUMBER('Raw Data'!E296),MOD('Raw Data'!E296,1),IFERROR(TIMEVALUE('Raw Data'!E296),""))</f>
        <v>0</v>
      </c>
      <c r="F300" s="12">
        <f>IF(ISNUMBER('Raw Data'!F296),'Raw Data'!F296,IFERROR(VALUE(SUBSTITUTE('Raw Data'!F296,",","")),""))</f>
        <v>39699</v>
      </c>
      <c r="G300" s="13">
        <f>IF(ISNUMBER('Raw Data'!G296),'Raw Data'!G296,IFERROR(VALUE(SUBSTITUTE('Raw Data'!G296,",","")),""))</f>
        <v>105</v>
      </c>
      <c r="H300" s="13">
        <f>IF(ISNUMBER('Raw Data'!H296),'Raw Data'!H296,IFERROR(VALUE(SUBSTITUTE('Raw Data'!H296,",","")),""))</f>
        <v>230863</v>
      </c>
      <c r="I300" s="13">
        <f>IF(ISNUMBER('Raw Data'!I296),'Raw Data'!I296,IFERROR(VALUE(SUBSTITUTE('Raw Data'!I296,",","")),""))</f>
        <v>2736</v>
      </c>
      <c r="J300" s="21">
        <f>IF(AND(ISNUMBER(tblClean[[#This Row],[Start Time]]),ISNUMBER(tblClean[[#This Row],[End Time]])),ROUND(MOD(tblClean[[#This Row],[End Time]]-tblClean[[#This Row],[Start Time]],1)*24,2),"")</f>
        <v>2</v>
      </c>
      <c r="K300" s="12">
        <f>IF(AND(ISNUMBER(tblClean[[#This Row],[Duration Hours]]),ISNUMBER(tblClean[[#This Row],[Attributed GMV PHP]])),IF(tblClean[[#This Row],[Duration Hours]]&gt;0,tblClean[[#This Row],[Attributed GMV PHP]]/tblClean[[#This Row],[Duration Hours]],""),"")</f>
        <v>19849.5</v>
      </c>
      <c r="L300" s="22">
        <f>IF(ISNUMBER(tblClean[[#This Row],[Date]]),DATE(YEAR(tblClean[[#This Row],[Date]]),MONTH(tblClean[[#This Row],[Date]]),1),"")</f>
        <v>45870</v>
      </c>
      <c r="M300" s="10">
        <f>IF(ISNUMBER(tblClean[[#This Row],[Date]]),tblClean[[#This Row],[Date]]-WEEKDAY(tblClean[[#This Row],[Date]],2)+1,"")</f>
        <v>45880</v>
      </c>
      <c r="N300" s="23">
        <f>IF(ISNUMBER(tblClean[[#This Row],[Week Start]]),(tblClean[[#This Row],[Week Start]]-MIN(tblClean[Week Start]))/7+1,"")</f>
        <v>11</v>
      </c>
      <c r="O300" s="24" t="str">
        <f>IF(ISNUMBER(tblClean[[#This Row],[Date]]),CHOOSE(WEEKDAY(tblClean[[#This Row],[Date]],2),"Mon","Tue","Wed","Thu","Fri","Sat","Sun"),"")</f>
        <v>Mon</v>
      </c>
      <c r="P300" s="24" t="str">
        <f>IF(ISNUMBER(tblClean[[#This Row],[Date]]),IF(WEEKDAY(tblClean[[#This Row],[Date]],2)&gt;=6,"Weekend","Weekday"),"")</f>
        <v>Weekday</v>
      </c>
      <c r="Q30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00" s="9" t="str">
        <f>IF(ISNUMBER(tblClean[[#This Row],[Duration Hours]]),IF(tblClean[[#This Row],[Duration Hours]]&lt;2,"Short (under 2h)",IF(tblClean[[#This Row],[Duration Hours]]&lt;3,"Standard (2h to under 3h)","Long (3h or more)")),"")</f>
        <v>Standard (2h to under 3h)</v>
      </c>
      <c r="S30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00" s="24">
        <f>IF(COUNTIF(tblClean[Session ID],tblClean[[#This Row],[Session ID]])&gt;1,1,0)</f>
        <v>0</v>
      </c>
      <c r="U300" s="24">
        <f>IF(OR(N(tblClean[[#This Row],[Attributed GMV PHP]])&lt;0,N(tblClean[[#This Row],[Items Sold]])&lt;0,N(tblClean[[#This Row],[Livestream Views]])&lt;0,N(tblClean[[#This Row],[New Followers]])&lt;0),1,0)</f>
        <v>0</v>
      </c>
      <c r="V300" s="24">
        <f>IF(ISNUMBER(tblClean[[#This Row],[Duration Hours]]),IF(OR(tblClean[[#This Row],[Duration Hours]]&lt;=0,tblClean[[#This Row],[Duration Hours]]&gt;12),1,0),1)</f>
        <v>0</v>
      </c>
      <c r="W300" s="24">
        <f>IF(COUNTIF(HostRoster,tblClean[[#This Row],[Host Name]])=0,1,0)</f>
        <v>0</v>
      </c>
      <c r="X300" s="24">
        <f>IF(tblClean[[#This Row],[Missing Flag]]+tblClean[[#This Row],[Duplicate Flag]]+tblClean[[#This Row],[Negative Flag]]+tblClean[[#This Row],[Duration Flag]]+tblClean[[#This Row],[Host Flag]]=0,1,0)</f>
        <v>1</v>
      </c>
    </row>
    <row r="301" spans="1:24" x14ac:dyDescent="0.3">
      <c r="A301" s="9" t="str">
        <f>TRIM('Raw Data'!A297)</f>
        <v>LS-0293</v>
      </c>
      <c r="B301" s="10">
        <f>IF(ISNUMBER('Raw Data'!B297),INT('Raw Data'!B297),IFERROR(DATEVALUE('Raw Data'!B297),""))</f>
        <v>45881</v>
      </c>
      <c r="C301" s="9" t="str">
        <f>PROPER(TRIM('Raw Data'!C297))</f>
        <v>Aira Valdez</v>
      </c>
      <c r="D301" s="11">
        <f>IF(ISNUMBER('Raw Data'!D297),MOD('Raw Data'!D297,1),IFERROR(TIMEVALUE('Raw Data'!D297),""))</f>
        <v>0.66666666666666663</v>
      </c>
      <c r="E301" s="11">
        <f>IF(ISNUMBER('Raw Data'!E297),MOD('Raw Data'!E297,1),IFERROR(TIMEVALUE('Raw Data'!E297),""))</f>
        <v>0.77083333333333337</v>
      </c>
      <c r="F301" s="12">
        <f>IF(ISNUMBER('Raw Data'!F297),'Raw Data'!F297,IFERROR(VALUE(SUBSTITUTE('Raw Data'!F297,",","")),""))</f>
        <v>35711</v>
      </c>
      <c r="G301" s="13">
        <f>IF(ISNUMBER('Raw Data'!G297),'Raw Data'!G297,IFERROR(VALUE(SUBSTITUTE('Raw Data'!G297,",","")),""))</f>
        <v>84</v>
      </c>
      <c r="H301" s="13">
        <f>IF(ISNUMBER('Raw Data'!H297),'Raw Data'!H297,IFERROR(VALUE(SUBSTITUTE('Raw Data'!H297,",","")),""))</f>
        <v>65012</v>
      </c>
      <c r="I301" s="13">
        <f>IF(ISNUMBER('Raw Data'!I297),'Raw Data'!I297,IFERROR(VALUE(SUBSTITUTE('Raw Data'!I297,",","")),""))</f>
        <v>368</v>
      </c>
      <c r="J301" s="21">
        <f>IF(AND(ISNUMBER(tblClean[[#This Row],[Start Time]]),ISNUMBER(tblClean[[#This Row],[End Time]])),ROUND(MOD(tblClean[[#This Row],[End Time]]-tblClean[[#This Row],[Start Time]],1)*24,2),"")</f>
        <v>2.5</v>
      </c>
      <c r="K301" s="12">
        <f>IF(AND(ISNUMBER(tblClean[[#This Row],[Duration Hours]]),ISNUMBER(tblClean[[#This Row],[Attributed GMV PHP]])),IF(tblClean[[#This Row],[Duration Hours]]&gt;0,tblClean[[#This Row],[Attributed GMV PHP]]/tblClean[[#This Row],[Duration Hours]],""),"")</f>
        <v>14284.4</v>
      </c>
      <c r="L301" s="22">
        <f>IF(ISNUMBER(tblClean[[#This Row],[Date]]),DATE(YEAR(tblClean[[#This Row],[Date]]),MONTH(tblClean[[#This Row],[Date]]),1),"")</f>
        <v>45870</v>
      </c>
      <c r="M301" s="10">
        <f>IF(ISNUMBER(tblClean[[#This Row],[Date]]),tblClean[[#This Row],[Date]]-WEEKDAY(tblClean[[#This Row],[Date]],2)+1,"")</f>
        <v>45880</v>
      </c>
      <c r="N301" s="23">
        <f>IF(ISNUMBER(tblClean[[#This Row],[Week Start]]),(tblClean[[#This Row],[Week Start]]-MIN(tblClean[Week Start]))/7+1,"")</f>
        <v>11</v>
      </c>
      <c r="O301" s="24" t="str">
        <f>IF(ISNUMBER(tblClean[[#This Row],[Date]]),CHOOSE(WEEKDAY(tblClean[[#This Row],[Date]],2),"Mon","Tue","Wed","Thu","Fri","Sat","Sun"),"")</f>
        <v>Tue</v>
      </c>
      <c r="P301" s="24" t="str">
        <f>IF(ISNUMBER(tblClean[[#This Row],[Date]]),IF(WEEKDAY(tblClean[[#This Row],[Date]],2)&gt;=6,"Weekend","Weekday"),"")</f>
        <v>Weekday</v>
      </c>
      <c r="Q30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01" s="9" t="str">
        <f>IF(ISNUMBER(tblClean[[#This Row],[Duration Hours]]),IF(tblClean[[#This Row],[Duration Hours]]&lt;2,"Short (under 2h)",IF(tblClean[[#This Row],[Duration Hours]]&lt;3,"Standard (2h to under 3h)","Long (3h or more)")),"")</f>
        <v>Standard (2h to under 3h)</v>
      </c>
      <c r="S30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01" s="24">
        <f>IF(COUNTIF(tblClean[Session ID],tblClean[[#This Row],[Session ID]])&gt;1,1,0)</f>
        <v>0</v>
      </c>
      <c r="U301" s="24">
        <f>IF(OR(N(tblClean[[#This Row],[Attributed GMV PHP]])&lt;0,N(tblClean[[#This Row],[Items Sold]])&lt;0,N(tblClean[[#This Row],[Livestream Views]])&lt;0,N(tblClean[[#This Row],[New Followers]])&lt;0),1,0)</f>
        <v>0</v>
      </c>
      <c r="V301" s="24">
        <f>IF(ISNUMBER(tblClean[[#This Row],[Duration Hours]]),IF(OR(tblClean[[#This Row],[Duration Hours]]&lt;=0,tblClean[[#This Row],[Duration Hours]]&gt;12),1,0),1)</f>
        <v>0</v>
      </c>
      <c r="W301" s="24">
        <f>IF(COUNTIF(HostRoster,tblClean[[#This Row],[Host Name]])=0,1,0)</f>
        <v>0</v>
      </c>
      <c r="X301" s="24">
        <f>IF(tblClean[[#This Row],[Missing Flag]]+tblClean[[#This Row],[Duplicate Flag]]+tblClean[[#This Row],[Negative Flag]]+tblClean[[#This Row],[Duration Flag]]+tblClean[[#This Row],[Host Flag]]=0,1,0)</f>
        <v>1</v>
      </c>
    </row>
    <row r="302" spans="1:24" x14ac:dyDescent="0.3">
      <c r="A302" s="9" t="str">
        <f>TRIM('Raw Data'!A298)</f>
        <v>LS-0294</v>
      </c>
      <c r="B302" s="10">
        <f>IF(ISNUMBER('Raw Data'!B298),INT('Raw Data'!B298),IFERROR(DATEVALUE('Raw Data'!B298),""))</f>
        <v>45881</v>
      </c>
      <c r="C302" s="9" t="str">
        <f>PROPER(TRIM('Raw Data'!C298))</f>
        <v>Bianca Reyes</v>
      </c>
      <c r="D302" s="11">
        <f>IF(ISNUMBER('Raw Data'!D298),MOD('Raw Data'!D298,1),IFERROR(TIMEVALUE('Raw Data'!D298),""))</f>
        <v>0.79166666666666663</v>
      </c>
      <c r="E302" s="11">
        <f>IF(ISNUMBER('Raw Data'!E298),MOD('Raw Data'!E298,1),IFERROR(TIMEVALUE('Raw Data'!E298),""))</f>
        <v>0.91666666666666663</v>
      </c>
      <c r="F302" s="12">
        <f>IF(ISNUMBER('Raw Data'!F298),'Raw Data'!F298,IFERROR(VALUE(SUBSTITUTE('Raw Data'!F298,",","")),""))</f>
        <v>24699</v>
      </c>
      <c r="G302" s="13">
        <f>IF(ISNUMBER('Raw Data'!G298),'Raw Data'!G298,IFERROR(VALUE(SUBSTITUTE('Raw Data'!G298,",","")),""))</f>
        <v>63</v>
      </c>
      <c r="H302" s="13">
        <f>IF(ISNUMBER('Raw Data'!H298),'Raw Data'!H298,IFERROR(VALUE(SUBSTITUTE('Raw Data'!H298,",","")),""))</f>
        <v>54108</v>
      </c>
      <c r="I302" s="13">
        <f>IF(ISNUMBER('Raw Data'!I298),'Raw Data'!I298,IFERROR(VALUE(SUBSTITUTE('Raw Data'!I298,",","")),""))</f>
        <v>642</v>
      </c>
      <c r="J302" s="21">
        <f>IF(AND(ISNUMBER(tblClean[[#This Row],[Start Time]]),ISNUMBER(tblClean[[#This Row],[End Time]])),ROUND(MOD(tblClean[[#This Row],[End Time]]-tblClean[[#This Row],[Start Time]],1)*24,2),"")</f>
        <v>3</v>
      </c>
      <c r="K302" s="12">
        <f>IF(AND(ISNUMBER(tblClean[[#This Row],[Duration Hours]]),ISNUMBER(tblClean[[#This Row],[Attributed GMV PHP]])),IF(tblClean[[#This Row],[Duration Hours]]&gt;0,tblClean[[#This Row],[Attributed GMV PHP]]/tblClean[[#This Row],[Duration Hours]],""),"")</f>
        <v>8233</v>
      </c>
      <c r="L302" s="22">
        <f>IF(ISNUMBER(tblClean[[#This Row],[Date]]),DATE(YEAR(tblClean[[#This Row],[Date]]),MONTH(tblClean[[#This Row],[Date]]),1),"")</f>
        <v>45870</v>
      </c>
      <c r="M302" s="10">
        <f>IF(ISNUMBER(tblClean[[#This Row],[Date]]),tblClean[[#This Row],[Date]]-WEEKDAY(tblClean[[#This Row],[Date]],2)+1,"")</f>
        <v>45880</v>
      </c>
      <c r="N302" s="23">
        <f>IF(ISNUMBER(tblClean[[#This Row],[Week Start]]),(tblClean[[#This Row],[Week Start]]-MIN(tblClean[Week Start]))/7+1,"")</f>
        <v>11</v>
      </c>
      <c r="O302" s="24" t="str">
        <f>IF(ISNUMBER(tblClean[[#This Row],[Date]]),CHOOSE(WEEKDAY(tblClean[[#This Row],[Date]],2),"Mon","Tue","Wed","Thu","Fri","Sat","Sun"),"")</f>
        <v>Tue</v>
      </c>
      <c r="P302" s="24" t="str">
        <f>IF(ISNUMBER(tblClean[[#This Row],[Date]]),IF(WEEKDAY(tblClean[[#This Row],[Date]],2)&gt;=6,"Weekend","Weekday"),"")</f>
        <v>Weekday</v>
      </c>
      <c r="Q30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02" s="9" t="str">
        <f>IF(ISNUMBER(tblClean[[#This Row],[Duration Hours]]),IF(tblClean[[#This Row],[Duration Hours]]&lt;2,"Short (under 2h)",IF(tblClean[[#This Row],[Duration Hours]]&lt;3,"Standard (2h to under 3h)","Long (3h or more)")),"")</f>
        <v>Long (3h or more)</v>
      </c>
      <c r="S30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02" s="24">
        <f>IF(COUNTIF(tblClean[Session ID],tblClean[[#This Row],[Session ID]])&gt;1,1,0)</f>
        <v>0</v>
      </c>
      <c r="U302" s="24">
        <f>IF(OR(N(tblClean[[#This Row],[Attributed GMV PHP]])&lt;0,N(tblClean[[#This Row],[Items Sold]])&lt;0,N(tblClean[[#This Row],[Livestream Views]])&lt;0,N(tblClean[[#This Row],[New Followers]])&lt;0),1,0)</f>
        <v>0</v>
      </c>
      <c r="V302" s="24">
        <f>IF(ISNUMBER(tblClean[[#This Row],[Duration Hours]]),IF(OR(tblClean[[#This Row],[Duration Hours]]&lt;=0,tblClean[[#This Row],[Duration Hours]]&gt;12),1,0),1)</f>
        <v>0</v>
      </c>
      <c r="W302" s="24">
        <f>IF(COUNTIF(HostRoster,tblClean[[#This Row],[Host Name]])=0,1,0)</f>
        <v>0</v>
      </c>
      <c r="X302" s="24">
        <f>IF(tblClean[[#This Row],[Missing Flag]]+tblClean[[#This Row],[Duplicate Flag]]+tblClean[[#This Row],[Negative Flag]]+tblClean[[#This Row],[Duration Flag]]+tblClean[[#This Row],[Host Flag]]=0,1,0)</f>
        <v>1</v>
      </c>
    </row>
    <row r="303" spans="1:24" x14ac:dyDescent="0.3">
      <c r="A303" s="9" t="str">
        <f>TRIM('Raw Data'!A299)</f>
        <v>LS-0295</v>
      </c>
      <c r="B303" s="10">
        <f>IF(ISNUMBER('Raw Data'!B299),INT('Raw Data'!B299),IFERROR(DATEVALUE('Raw Data'!B299),""))</f>
        <v>45881</v>
      </c>
      <c r="C303" s="9" t="str">
        <f>PROPER(TRIM('Raw Data'!C299))</f>
        <v>Bianca Reyes</v>
      </c>
      <c r="D303" s="11">
        <f>IF(ISNUMBER('Raw Data'!D299),MOD('Raw Data'!D299,1),IFERROR(TIMEVALUE('Raw Data'!D299),""))</f>
        <v>0.91666666666666663</v>
      </c>
      <c r="E303" s="11">
        <f>IF(ISNUMBER('Raw Data'!E299),MOD('Raw Data'!E299,1),IFERROR(TIMEVALUE('Raw Data'!E299),""))</f>
        <v>4.1666666666666657E-2</v>
      </c>
      <c r="F303" s="12">
        <f>IF(ISNUMBER('Raw Data'!F299),'Raw Data'!F299,IFERROR(VALUE(SUBSTITUTE('Raw Data'!F299,",","")),""))</f>
        <v>25620</v>
      </c>
      <c r="G303" s="13">
        <f>IF(ISNUMBER('Raw Data'!G299),'Raw Data'!G299,IFERROR(VALUE(SUBSTITUTE('Raw Data'!G299,",","")),""))</f>
        <v>79</v>
      </c>
      <c r="H303" s="13">
        <f>IF(ISNUMBER('Raw Data'!H299),'Raw Data'!H299,IFERROR(VALUE(SUBSTITUTE('Raw Data'!H299,",","")),""))</f>
        <v>61517</v>
      </c>
      <c r="I303" s="13">
        <f>IF(ISNUMBER('Raw Data'!I299),'Raw Data'!I299,IFERROR(VALUE(SUBSTITUTE('Raw Data'!I299,",","")),""))</f>
        <v>620</v>
      </c>
      <c r="J303" s="21">
        <f>IF(AND(ISNUMBER(tblClean[[#This Row],[Start Time]]),ISNUMBER(tblClean[[#This Row],[End Time]])),ROUND(MOD(tblClean[[#This Row],[End Time]]-tblClean[[#This Row],[Start Time]],1)*24,2),"")</f>
        <v>3</v>
      </c>
      <c r="K303" s="12">
        <f>IF(AND(ISNUMBER(tblClean[[#This Row],[Duration Hours]]),ISNUMBER(tblClean[[#This Row],[Attributed GMV PHP]])),IF(tblClean[[#This Row],[Duration Hours]]&gt;0,tblClean[[#This Row],[Attributed GMV PHP]]/tblClean[[#This Row],[Duration Hours]],""),"")</f>
        <v>8540</v>
      </c>
      <c r="L303" s="22">
        <f>IF(ISNUMBER(tblClean[[#This Row],[Date]]),DATE(YEAR(tblClean[[#This Row],[Date]]),MONTH(tblClean[[#This Row],[Date]]),1),"")</f>
        <v>45870</v>
      </c>
      <c r="M303" s="10">
        <f>IF(ISNUMBER(tblClean[[#This Row],[Date]]),tblClean[[#This Row],[Date]]-WEEKDAY(tblClean[[#This Row],[Date]],2)+1,"")</f>
        <v>45880</v>
      </c>
      <c r="N303" s="23">
        <f>IF(ISNUMBER(tblClean[[#This Row],[Week Start]]),(tblClean[[#This Row],[Week Start]]-MIN(tblClean[Week Start]))/7+1,"")</f>
        <v>11</v>
      </c>
      <c r="O303" s="24" t="str">
        <f>IF(ISNUMBER(tblClean[[#This Row],[Date]]),CHOOSE(WEEKDAY(tblClean[[#This Row],[Date]],2),"Mon","Tue","Wed","Thu","Fri","Sat","Sun"),"")</f>
        <v>Tue</v>
      </c>
      <c r="P303" s="24" t="str">
        <f>IF(ISNUMBER(tblClean[[#This Row],[Date]]),IF(WEEKDAY(tblClean[[#This Row],[Date]],2)&gt;=6,"Weekend","Weekday"),"")</f>
        <v>Weekday</v>
      </c>
      <c r="Q30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03" s="9" t="str">
        <f>IF(ISNUMBER(tblClean[[#This Row],[Duration Hours]]),IF(tblClean[[#This Row],[Duration Hours]]&lt;2,"Short (under 2h)",IF(tblClean[[#This Row],[Duration Hours]]&lt;3,"Standard (2h to under 3h)","Long (3h or more)")),"")</f>
        <v>Long (3h or more)</v>
      </c>
      <c r="S30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03" s="24">
        <f>IF(COUNTIF(tblClean[Session ID],tblClean[[#This Row],[Session ID]])&gt;1,1,0)</f>
        <v>0</v>
      </c>
      <c r="U303" s="24">
        <f>IF(OR(N(tblClean[[#This Row],[Attributed GMV PHP]])&lt;0,N(tblClean[[#This Row],[Items Sold]])&lt;0,N(tblClean[[#This Row],[Livestream Views]])&lt;0,N(tblClean[[#This Row],[New Followers]])&lt;0),1,0)</f>
        <v>0</v>
      </c>
      <c r="V303" s="24">
        <f>IF(ISNUMBER(tblClean[[#This Row],[Duration Hours]]),IF(OR(tblClean[[#This Row],[Duration Hours]]&lt;=0,tblClean[[#This Row],[Duration Hours]]&gt;12),1,0),1)</f>
        <v>0</v>
      </c>
      <c r="W303" s="24">
        <f>IF(COUNTIF(HostRoster,tblClean[[#This Row],[Host Name]])=0,1,0)</f>
        <v>0</v>
      </c>
      <c r="X303" s="24">
        <f>IF(tblClean[[#This Row],[Missing Flag]]+tblClean[[#This Row],[Duplicate Flag]]+tblClean[[#This Row],[Negative Flag]]+tblClean[[#This Row],[Duration Flag]]+tblClean[[#This Row],[Host Flag]]=0,1,0)</f>
        <v>1</v>
      </c>
    </row>
    <row r="304" spans="1:24" x14ac:dyDescent="0.3">
      <c r="A304" s="9" t="str">
        <f>TRIM('Raw Data'!A300)</f>
        <v>LS-0296</v>
      </c>
      <c r="B304" s="10">
        <f>IF(ISNUMBER('Raw Data'!B300),INT('Raw Data'!B300),IFERROR(DATEVALUE('Raw Data'!B300),""))</f>
        <v>45882</v>
      </c>
      <c r="C304" s="9" t="str">
        <f>PROPER(TRIM('Raw Data'!C300))</f>
        <v>Bianca Reyes</v>
      </c>
      <c r="D304" s="11">
        <f>IF(ISNUMBER('Raw Data'!D300),MOD('Raw Data'!D300,1),IFERROR(TIMEVALUE('Raw Data'!D300),""))</f>
        <v>0.54166666666666663</v>
      </c>
      <c r="E304" s="11">
        <f>IF(ISNUMBER('Raw Data'!E300),MOD('Raw Data'!E300,1),IFERROR(TIMEVALUE('Raw Data'!E300),""))</f>
        <v>0.625</v>
      </c>
      <c r="F304" s="12">
        <f>IF(ISNUMBER('Raw Data'!F300),'Raw Data'!F300,IFERROR(VALUE(SUBSTITUTE('Raw Data'!F300,",","")),""))</f>
        <v>20973</v>
      </c>
      <c r="G304" s="13">
        <f>IF(ISNUMBER('Raw Data'!G300),'Raw Data'!G300,IFERROR(VALUE(SUBSTITUTE('Raw Data'!G300,",","")),""))</f>
        <v>61</v>
      </c>
      <c r="H304" s="13">
        <f>IF(ISNUMBER('Raw Data'!H300),'Raw Data'!H300,IFERROR(VALUE(SUBSTITUTE('Raw Data'!H300,",","")),""))</f>
        <v>67507</v>
      </c>
      <c r="I304" s="13">
        <f>IF(ISNUMBER('Raw Data'!I300),'Raw Data'!I300,IFERROR(VALUE(SUBSTITUTE('Raw Data'!I300,",","")),""))</f>
        <v>450</v>
      </c>
      <c r="J304" s="21">
        <f>IF(AND(ISNUMBER(tblClean[[#This Row],[Start Time]]),ISNUMBER(tblClean[[#This Row],[End Time]])),ROUND(MOD(tblClean[[#This Row],[End Time]]-tblClean[[#This Row],[Start Time]],1)*24,2),"")</f>
        <v>2</v>
      </c>
      <c r="K304" s="12">
        <f>IF(AND(ISNUMBER(tblClean[[#This Row],[Duration Hours]]),ISNUMBER(tblClean[[#This Row],[Attributed GMV PHP]])),IF(tblClean[[#This Row],[Duration Hours]]&gt;0,tblClean[[#This Row],[Attributed GMV PHP]]/tblClean[[#This Row],[Duration Hours]],""),"")</f>
        <v>10486.5</v>
      </c>
      <c r="L304" s="22">
        <f>IF(ISNUMBER(tblClean[[#This Row],[Date]]),DATE(YEAR(tblClean[[#This Row],[Date]]),MONTH(tblClean[[#This Row],[Date]]),1),"")</f>
        <v>45870</v>
      </c>
      <c r="M304" s="10">
        <f>IF(ISNUMBER(tblClean[[#This Row],[Date]]),tblClean[[#This Row],[Date]]-WEEKDAY(tblClean[[#This Row],[Date]],2)+1,"")</f>
        <v>45880</v>
      </c>
      <c r="N304" s="23">
        <f>IF(ISNUMBER(tblClean[[#This Row],[Week Start]]),(tblClean[[#This Row],[Week Start]]-MIN(tblClean[Week Start]))/7+1,"")</f>
        <v>11</v>
      </c>
      <c r="O304" s="24" t="str">
        <f>IF(ISNUMBER(tblClean[[#This Row],[Date]]),CHOOSE(WEEKDAY(tblClean[[#This Row],[Date]],2),"Mon","Tue","Wed","Thu","Fri","Sat","Sun"),"")</f>
        <v>Wed</v>
      </c>
      <c r="P304" s="24" t="str">
        <f>IF(ISNUMBER(tblClean[[#This Row],[Date]]),IF(WEEKDAY(tblClean[[#This Row],[Date]],2)&gt;=6,"Weekend","Weekday"),"")</f>
        <v>Weekday</v>
      </c>
      <c r="Q30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04" s="9" t="str">
        <f>IF(ISNUMBER(tblClean[[#This Row],[Duration Hours]]),IF(tblClean[[#This Row],[Duration Hours]]&lt;2,"Short (under 2h)",IF(tblClean[[#This Row],[Duration Hours]]&lt;3,"Standard (2h to under 3h)","Long (3h or more)")),"")</f>
        <v>Standard (2h to under 3h)</v>
      </c>
      <c r="S30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04" s="24">
        <f>IF(COUNTIF(tblClean[Session ID],tblClean[[#This Row],[Session ID]])&gt;1,1,0)</f>
        <v>0</v>
      </c>
      <c r="U304" s="24">
        <f>IF(OR(N(tblClean[[#This Row],[Attributed GMV PHP]])&lt;0,N(tblClean[[#This Row],[Items Sold]])&lt;0,N(tblClean[[#This Row],[Livestream Views]])&lt;0,N(tblClean[[#This Row],[New Followers]])&lt;0),1,0)</f>
        <v>0</v>
      </c>
      <c r="V304" s="24">
        <f>IF(ISNUMBER(tblClean[[#This Row],[Duration Hours]]),IF(OR(tblClean[[#This Row],[Duration Hours]]&lt;=0,tblClean[[#This Row],[Duration Hours]]&gt;12),1,0),1)</f>
        <v>0</v>
      </c>
      <c r="W304" s="24">
        <f>IF(COUNTIF(HostRoster,tblClean[[#This Row],[Host Name]])=0,1,0)</f>
        <v>0</v>
      </c>
      <c r="X304" s="24">
        <f>IF(tblClean[[#This Row],[Missing Flag]]+tblClean[[#This Row],[Duplicate Flag]]+tblClean[[#This Row],[Negative Flag]]+tblClean[[#This Row],[Duration Flag]]+tblClean[[#This Row],[Host Flag]]=0,1,0)</f>
        <v>1</v>
      </c>
    </row>
    <row r="305" spans="1:24" x14ac:dyDescent="0.3">
      <c r="A305" s="9" t="str">
        <f>TRIM('Raw Data'!A301)</f>
        <v>LS-0297</v>
      </c>
      <c r="B305" s="10">
        <f>IF(ISNUMBER('Raw Data'!B301),INT('Raw Data'!B301),IFERROR(DATEVALUE('Raw Data'!B301),""))</f>
        <v>45882</v>
      </c>
      <c r="C305" s="9" t="str">
        <f>PROPER(TRIM('Raw Data'!C301))</f>
        <v>Bianca Reyes</v>
      </c>
      <c r="D305" s="11">
        <f>IF(ISNUMBER('Raw Data'!D301),MOD('Raw Data'!D301,1),IFERROR(TIMEVALUE('Raw Data'!D301),""))</f>
        <v>0.66666666666666663</v>
      </c>
      <c r="E305" s="11">
        <f>IF(ISNUMBER('Raw Data'!E301),MOD('Raw Data'!E301,1),IFERROR(TIMEVALUE('Raw Data'!E301),""))</f>
        <v>0.77083333333333337</v>
      </c>
      <c r="F305" s="12">
        <f>IF(ISNUMBER('Raw Data'!F301),'Raw Data'!F301,IFERROR(VALUE(SUBSTITUTE('Raw Data'!F301,",","")),""))</f>
        <v>20945</v>
      </c>
      <c r="G305" s="13">
        <f>IF(ISNUMBER('Raw Data'!G301),'Raw Data'!G301,IFERROR(VALUE(SUBSTITUTE('Raw Data'!G301,",","")),""))</f>
        <v>75</v>
      </c>
      <c r="H305" s="13">
        <f>IF(ISNUMBER('Raw Data'!H301),'Raw Data'!H301,IFERROR(VALUE(SUBSTITUTE('Raw Data'!H301,",","")),""))</f>
        <v>32069</v>
      </c>
      <c r="I305" s="13">
        <f>IF(ISNUMBER('Raw Data'!I301),'Raw Data'!I301,IFERROR(VALUE(SUBSTITUTE('Raw Data'!I301,",","")),""))</f>
        <v>332</v>
      </c>
      <c r="J305" s="21">
        <f>IF(AND(ISNUMBER(tblClean[[#This Row],[Start Time]]),ISNUMBER(tblClean[[#This Row],[End Time]])),ROUND(MOD(tblClean[[#This Row],[End Time]]-tblClean[[#This Row],[Start Time]],1)*24,2),"")</f>
        <v>2.5</v>
      </c>
      <c r="K305" s="12">
        <f>IF(AND(ISNUMBER(tblClean[[#This Row],[Duration Hours]]),ISNUMBER(tblClean[[#This Row],[Attributed GMV PHP]])),IF(tblClean[[#This Row],[Duration Hours]]&gt;0,tblClean[[#This Row],[Attributed GMV PHP]]/tblClean[[#This Row],[Duration Hours]],""),"")</f>
        <v>8378</v>
      </c>
      <c r="L305" s="22">
        <f>IF(ISNUMBER(tblClean[[#This Row],[Date]]),DATE(YEAR(tblClean[[#This Row],[Date]]),MONTH(tblClean[[#This Row],[Date]]),1),"")</f>
        <v>45870</v>
      </c>
      <c r="M305" s="10">
        <f>IF(ISNUMBER(tblClean[[#This Row],[Date]]),tblClean[[#This Row],[Date]]-WEEKDAY(tblClean[[#This Row],[Date]],2)+1,"")</f>
        <v>45880</v>
      </c>
      <c r="N305" s="23">
        <f>IF(ISNUMBER(tblClean[[#This Row],[Week Start]]),(tblClean[[#This Row],[Week Start]]-MIN(tblClean[Week Start]))/7+1,"")</f>
        <v>11</v>
      </c>
      <c r="O305" s="24" t="str">
        <f>IF(ISNUMBER(tblClean[[#This Row],[Date]]),CHOOSE(WEEKDAY(tblClean[[#This Row],[Date]],2),"Mon","Tue","Wed","Thu","Fri","Sat","Sun"),"")</f>
        <v>Wed</v>
      </c>
      <c r="P305" s="24" t="str">
        <f>IF(ISNUMBER(tblClean[[#This Row],[Date]]),IF(WEEKDAY(tblClean[[#This Row],[Date]],2)&gt;=6,"Weekend","Weekday"),"")</f>
        <v>Weekday</v>
      </c>
      <c r="Q30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05" s="9" t="str">
        <f>IF(ISNUMBER(tblClean[[#This Row],[Duration Hours]]),IF(tblClean[[#This Row],[Duration Hours]]&lt;2,"Short (under 2h)",IF(tblClean[[#This Row],[Duration Hours]]&lt;3,"Standard (2h to under 3h)","Long (3h or more)")),"")</f>
        <v>Standard (2h to under 3h)</v>
      </c>
      <c r="S30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05" s="24">
        <f>IF(COUNTIF(tblClean[Session ID],tblClean[[#This Row],[Session ID]])&gt;1,1,0)</f>
        <v>0</v>
      </c>
      <c r="U305" s="24">
        <f>IF(OR(N(tblClean[[#This Row],[Attributed GMV PHP]])&lt;0,N(tblClean[[#This Row],[Items Sold]])&lt;0,N(tblClean[[#This Row],[Livestream Views]])&lt;0,N(tblClean[[#This Row],[New Followers]])&lt;0),1,0)</f>
        <v>0</v>
      </c>
      <c r="V305" s="24">
        <f>IF(ISNUMBER(tblClean[[#This Row],[Duration Hours]]),IF(OR(tblClean[[#This Row],[Duration Hours]]&lt;=0,tblClean[[#This Row],[Duration Hours]]&gt;12),1,0),1)</f>
        <v>0</v>
      </c>
      <c r="W305" s="24">
        <f>IF(COUNTIF(HostRoster,tblClean[[#This Row],[Host Name]])=0,1,0)</f>
        <v>0</v>
      </c>
      <c r="X305" s="24">
        <f>IF(tblClean[[#This Row],[Missing Flag]]+tblClean[[#This Row],[Duplicate Flag]]+tblClean[[#This Row],[Negative Flag]]+tblClean[[#This Row],[Duration Flag]]+tblClean[[#This Row],[Host Flag]]=0,1,0)</f>
        <v>1</v>
      </c>
    </row>
    <row r="306" spans="1:24" x14ac:dyDescent="0.3">
      <c r="A306" s="9" t="str">
        <f>TRIM('Raw Data'!A302)</f>
        <v>LS-0298</v>
      </c>
      <c r="B306" s="10">
        <f>IF(ISNUMBER('Raw Data'!B302),INT('Raw Data'!B302),IFERROR(DATEVALUE('Raw Data'!B302),""))</f>
        <v>45882</v>
      </c>
      <c r="C306" s="9" t="str">
        <f>PROPER(TRIM('Raw Data'!C302))</f>
        <v>Bianca Reyes</v>
      </c>
      <c r="D306" s="11">
        <f>IF(ISNUMBER('Raw Data'!D302),MOD('Raw Data'!D302,1),IFERROR(TIMEVALUE('Raw Data'!D302),""))</f>
        <v>0.79166666666666663</v>
      </c>
      <c r="E306" s="11">
        <f>IF(ISNUMBER('Raw Data'!E302),MOD('Raw Data'!E302,1),IFERROR(TIMEVALUE('Raw Data'!E302),""))</f>
        <v>0.85416666666666663</v>
      </c>
      <c r="F306" s="12">
        <f>IF(ISNUMBER('Raw Data'!F302),'Raw Data'!F302,IFERROR(VALUE(SUBSTITUTE('Raw Data'!F302,",","")),""))</f>
        <v>35988</v>
      </c>
      <c r="G306" s="13">
        <f>IF(ISNUMBER('Raw Data'!G302),'Raw Data'!G302,IFERROR(VALUE(SUBSTITUTE('Raw Data'!G302,",","")),""))</f>
        <v>115</v>
      </c>
      <c r="H306" s="13">
        <f>IF(ISNUMBER('Raw Data'!H302),'Raw Data'!H302,IFERROR(VALUE(SUBSTITUTE('Raw Data'!H302,",","")),""))</f>
        <v>110197</v>
      </c>
      <c r="I306" s="13">
        <f>IF(ISNUMBER('Raw Data'!I302),'Raw Data'!I302,IFERROR(VALUE(SUBSTITUTE('Raw Data'!I302,",","")),""))</f>
        <v>1022</v>
      </c>
      <c r="J306" s="21">
        <f>IF(AND(ISNUMBER(tblClean[[#This Row],[Start Time]]),ISNUMBER(tblClean[[#This Row],[End Time]])),ROUND(MOD(tblClean[[#This Row],[End Time]]-tblClean[[#This Row],[Start Time]],1)*24,2),"")</f>
        <v>1.5</v>
      </c>
      <c r="K306" s="12">
        <f>IF(AND(ISNUMBER(tblClean[[#This Row],[Duration Hours]]),ISNUMBER(tblClean[[#This Row],[Attributed GMV PHP]])),IF(tblClean[[#This Row],[Duration Hours]]&gt;0,tblClean[[#This Row],[Attributed GMV PHP]]/tblClean[[#This Row],[Duration Hours]],""),"")</f>
        <v>23992</v>
      </c>
      <c r="L306" s="22">
        <f>IF(ISNUMBER(tblClean[[#This Row],[Date]]),DATE(YEAR(tblClean[[#This Row],[Date]]),MONTH(tblClean[[#This Row],[Date]]),1),"")</f>
        <v>45870</v>
      </c>
      <c r="M306" s="10">
        <f>IF(ISNUMBER(tblClean[[#This Row],[Date]]),tblClean[[#This Row],[Date]]-WEEKDAY(tblClean[[#This Row],[Date]],2)+1,"")</f>
        <v>45880</v>
      </c>
      <c r="N306" s="23">
        <f>IF(ISNUMBER(tblClean[[#This Row],[Week Start]]),(tblClean[[#This Row],[Week Start]]-MIN(tblClean[Week Start]))/7+1,"")</f>
        <v>11</v>
      </c>
      <c r="O306" s="24" t="str">
        <f>IF(ISNUMBER(tblClean[[#This Row],[Date]]),CHOOSE(WEEKDAY(tblClean[[#This Row],[Date]],2),"Mon","Tue","Wed","Thu","Fri","Sat","Sun"),"")</f>
        <v>Wed</v>
      </c>
      <c r="P306" s="24" t="str">
        <f>IF(ISNUMBER(tblClean[[#This Row],[Date]]),IF(WEEKDAY(tblClean[[#This Row],[Date]],2)&gt;=6,"Weekend","Weekday"),"")</f>
        <v>Weekday</v>
      </c>
      <c r="Q30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06" s="9" t="str">
        <f>IF(ISNUMBER(tblClean[[#This Row],[Duration Hours]]),IF(tblClean[[#This Row],[Duration Hours]]&lt;2,"Short (under 2h)",IF(tblClean[[#This Row],[Duration Hours]]&lt;3,"Standard (2h to under 3h)","Long (3h or more)")),"")</f>
        <v>Short (under 2h)</v>
      </c>
      <c r="S30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06" s="24">
        <f>IF(COUNTIF(tblClean[Session ID],tblClean[[#This Row],[Session ID]])&gt;1,1,0)</f>
        <v>0</v>
      </c>
      <c r="U306" s="24">
        <f>IF(OR(N(tblClean[[#This Row],[Attributed GMV PHP]])&lt;0,N(tblClean[[#This Row],[Items Sold]])&lt;0,N(tblClean[[#This Row],[Livestream Views]])&lt;0,N(tblClean[[#This Row],[New Followers]])&lt;0),1,0)</f>
        <v>0</v>
      </c>
      <c r="V306" s="24">
        <f>IF(ISNUMBER(tblClean[[#This Row],[Duration Hours]]),IF(OR(tblClean[[#This Row],[Duration Hours]]&lt;=0,tblClean[[#This Row],[Duration Hours]]&gt;12),1,0),1)</f>
        <v>0</v>
      </c>
      <c r="W306" s="24">
        <f>IF(COUNTIF(HostRoster,tblClean[[#This Row],[Host Name]])=0,1,0)</f>
        <v>0</v>
      </c>
      <c r="X306" s="24">
        <f>IF(tblClean[[#This Row],[Missing Flag]]+tblClean[[#This Row],[Duplicate Flag]]+tblClean[[#This Row],[Negative Flag]]+tblClean[[#This Row],[Duration Flag]]+tblClean[[#This Row],[Host Flag]]=0,1,0)</f>
        <v>1</v>
      </c>
    </row>
    <row r="307" spans="1:24" x14ac:dyDescent="0.3">
      <c r="A307" s="9" t="str">
        <f>TRIM('Raw Data'!A303)</f>
        <v>LS-0299</v>
      </c>
      <c r="B307" s="10">
        <f>IF(ISNUMBER('Raw Data'!B303),INT('Raw Data'!B303),IFERROR(DATEVALUE('Raw Data'!B303),""))</f>
        <v>45883</v>
      </c>
      <c r="C307" s="9" t="str">
        <f>PROPER(TRIM('Raw Data'!C303))</f>
        <v>Dani Villanueva</v>
      </c>
      <c r="D307" s="11">
        <f>IF(ISNUMBER('Raw Data'!D303),MOD('Raw Data'!D303,1),IFERROR(TIMEVALUE('Raw Data'!D303),""))</f>
        <v>0.41666666666666669</v>
      </c>
      <c r="E307" s="11">
        <f>IF(ISNUMBER('Raw Data'!E303),MOD('Raw Data'!E303,1),IFERROR(TIMEVALUE('Raw Data'!E303),""))</f>
        <v>0.5</v>
      </c>
      <c r="F307" s="12">
        <f>IF(ISNUMBER('Raw Data'!F303),'Raw Data'!F303,IFERROR(VALUE(SUBSTITUTE('Raw Data'!F303,",","")),""))</f>
        <v>10556</v>
      </c>
      <c r="G307" s="13">
        <f>IF(ISNUMBER('Raw Data'!G303),'Raw Data'!G303,IFERROR(VALUE(SUBSTITUTE('Raw Data'!G303,",","")),""))</f>
        <v>29</v>
      </c>
      <c r="H307" s="13">
        <f>IF(ISNUMBER('Raw Data'!H303),'Raw Data'!H303,IFERROR(VALUE(SUBSTITUTE('Raw Data'!H303,",","")),""))</f>
        <v>45818</v>
      </c>
      <c r="I307" s="13">
        <f>IF(ISNUMBER('Raw Data'!I303),'Raw Data'!I303,IFERROR(VALUE(SUBSTITUTE('Raw Data'!I303,",","")),""))</f>
        <v>364</v>
      </c>
      <c r="J307" s="21">
        <f>IF(AND(ISNUMBER(tblClean[[#This Row],[Start Time]]),ISNUMBER(tblClean[[#This Row],[End Time]])),ROUND(MOD(tblClean[[#This Row],[End Time]]-tblClean[[#This Row],[Start Time]],1)*24,2),"")</f>
        <v>2</v>
      </c>
      <c r="K307" s="12">
        <f>IF(AND(ISNUMBER(tblClean[[#This Row],[Duration Hours]]),ISNUMBER(tblClean[[#This Row],[Attributed GMV PHP]])),IF(tblClean[[#This Row],[Duration Hours]]&gt;0,tblClean[[#This Row],[Attributed GMV PHP]]/tblClean[[#This Row],[Duration Hours]],""),"")</f>
        <v>5278</v>
      </c>
      <c r="L307" s="22">
        <f>IF(ISNUMBER(tblClean[[#This Row],[Date]]),DATE(YEAR(tblClean[[#This Row],[Date]]),MONTH(tblClean[[#This Row],[Date]]),1),"")</f>
        <v>45870</v>
      </c>
      <c r="M307" s="10">
        <f>IF(ISNUMBER(tblClean[[#This Row],[Date]]),tblClean[[#This Row],[Date]]-WEEKDAY(tblClean[[#This Row],[Date]],2)+1,"")</f>
        <v>45880</v>
      </c>
      <c r="N307" s="23">
        <f>IF(ISNUMBER(tblClean[[#This Row],[Week Start]]),(tblClean[[#This Row],[Week Start]]-MIN(tblClean[Week Start]))/7+1,"")</f>
        <v>11</v>
      </c>
      <c r="O307" s="24" t="str">
        <f>IF(ISNUMBER(tblClean[[#This Row],[Date]]),CHOOSE(WEEKDAY(tblClean[[#This Row],[Date]],2),"Mon","Tue","Wed","Thu","Fri","Sat","Sun"),"")</f>
        <v>Thu</v>
      </c>
      <c r="P307" s="24" t="str">
        <f>IF(ISNUMBER(tblClean[[#This Row],[Date]]),IF(WEEKDAY(tblClean[[#This Row],[Date]],2)&gt;=6,"Weekend","Weekday"),"")</f>
        <v>Weekday</v>
      </c>
      <c r="Q30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07" s="9" t="str">
        <f>IF(ISNUMBER(tblClean[[#This Row],[Duration Hours]]),IF(tblClean[[#This Row],[Duration Hours]]&lt;2,"Short (under 2h)",IF(tblClean[[#This Row],[Duration Hours]]&lt;3,"Standard (2h to under 3h)","Long (3h or more)")),"")</f>
        <v>Standard (2h to under 3h)</v>
      </c>
      <c r="S30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07" s="24">
        <f>IF(COUNTIF(tblClean[Session ID],tblClean[[#This Row],[Session ID]])&gt;1,1,0)</f>
        <v>0</v>
      </c>
      <c r="U307" s="24">
        <f>IF(OR(N(tblClean[[#This Row],[Attributed GMV PHP]])&lt;0,N(tblClean[[#This Row],[Items Sold]])&lt;0,N(tblClean[[#This Row],[Livestream Views]])&lt;0,N(tblClean[[#This Row],[New Followers]])&lt;0),1,0)</f>
        <v>0</v>
      </c>
      <c r="V307" s="24">
        <f>IF(ISNUMBER(tblClean[[#This Row],[Duration Hours]]),IF(OR(tblClean[[#This Row],[Duration Hours]]&lt;=0,tblClean[[#This Row],[Duration Hours]]&gt;12),1,0),1)</f>
        <v>0</v>
      </c>
      <c r="W307" s="24">
        <f>IF(COUNTIF(HostRoster,tblClean[[#This Row],[Host Name]])=0,1,0)</f>
        <v>0</v>
      </c>
      <c r="X307" s="24">
        <f>IF(tblClean[[#This Row],[Missing Flag]]+tblClean[[#This Row],[Duplicate Flag]]+tblClean[[#This Row],[Negative Flag]]+tblClean[[#This Row],[Duration Flag]]+tblClean[[#This Row],[Host Flag]]=0,1,0)</f>
        <v>1</v>
      </c>
    </row>
    <row r="308" spans="1:24" x14ac:dyDescent="0.3">
      <c r="A308" s="9" t="str">
        <f>TRIM('Raw Data'!A304)</f>
        <v>LS-0300</v>
      </c>
      <c r="B308" s="10">
        <f>IF(ISNUMBER('Raw Data'!B304),INT('Raw Data'!B304),IFERROR(DATEVALUE('Raw Data'!B304),""))</f>
        <v>45883</v>
      </c>
      <c r="C308" s="9" t="str">
        <f>PROPER(TRIM('Raw Data'!C304))</f>
        <v>Elise Navarro</v>
      </c>
      <c r="D308" s="11">
        <f>IF(ISNUMBER('Raw Data'!D304),MOD('Raw Data'!D304,1),IFERROR(TIMEVALUE('Raw Data'!D304),""))</f>
        <v>0.54166666666666663</v>
      </c>
      <c r="E308" s="11">
        <f>IF(ISNUMBER('Raw Data'!E304),MOD('Raw Data'!E304,1),IFERROR(TIMEVALUE('Raw Data'!E304),""))</f>
        <v>0.625</v>
      </c>
      <c r="F308" s="12">
        <f>IF(ISNUMBER('Raw Data'!F304),'Raw Data'!F304,IFERROR(VALUE(SUBSTITUTE('Raw Data'!F304,",","")),""))</f>
        <v>16738</v>
      </c>
      <c r="G308" s="13">
        <f>IF(ISNUMBER('Raw Data'!G304),'Raw Data'!G304,IFERROR(VALUE(SUBSTITUTE('Raw Data'!G304,",","")),""))</f>
        <v>46</v>
      </c>
      <c r="H308" s="13">
        <f>IF(ISNUMBER('Raw Data'!H304),'Raw Data'!H304,IFERROR(VALUE(SUBSTITUTE('Raw Data'!H304,",","")),""))</f>
        <v>43549</v>
      </c>
      <c r="I308" s="13">
        <f>IF(ISNUMBER('Raw Data'!I304),'Raw Data'!I304,IFERROR(VALUE(SUBSTITUTE('Raw Data'!I304,",","")),""))</f>
        <v>362</v>
      </c>
      <c r="J308" s="21">
        <f>IF(AND(ISNUMBER(tblClean[[#This Row],[Start Time]]),ISNUMBER(tblClean[[#This Row],[End Time]])),ROUND(MOD(tblClean[[#This Row],[End Time]]-tblClean[[#This Row],[Start Time]],1)*24,2),"")</f>
        <v>2</v>
      </c>
      <c r="K308" s="12">
        <f>IF(AND(ISNUMBER(tblClean[[#This Row],[Duration Hours]]),ISNUMBER(tblClean[[#This Row],[Attributed GMV PHP]])),IF(tblClean[[#This Row],[Duration Hours]]&gt;0,tblClean[[#This Row],[Attributed GMV PHP]]/tblClean[[#This Row],[Duration Hours]],""),"")</f>
        <v>8369</v>
      </c>
      <c r="L308" s="22">
        <f>IF(ISNUMBER(tblClean[[#This Row],[Date]]),DATE(YEAR(tblClean[[#This Row],[Date]]),MONTH(tblClean[[#This Row],[Date]]),1),"")</f>
        <v>45870</v>
      </c>
      <c r="M308" s="10">
        <f>IF(ISNUMBER(tblClean[[#This Row],[Date]]),tblClean[[#This Row],[Date]]-WEEKDAY(tblClean[[#This Row],[Date]],2)+1,"")</f>
        <v>45880</v>
      </c>
      <c r="N308" s="23">
        <f>IF(ISNUMBER(tblClean[[#This Row],[Week Start]]),(tblClean[[#This Row],[Week Start]]-MIN(tblClean[Week Start]))/7+1,"")</f>
        <v>11</v>
      </c>
      <c r="O308" s="24" t="str">
        <f>IF(ISNUMBER(tblClean[[#This Row],[Date]]),CHOOSE(WEEKDAY(tblClean[[#This Row],[Date]],2),"Mon","Tue","Wed","Thu","Fri","Sat","Sun"),"")</f>
        <v>Thu</v>
      </c>
      <c r="P308" s="24" t="str">
        <f>IF(ISNUMBER(tblClean[[#This Row],[Date]]),IF(WEEKDAY(tblClean[[#This Row],[Date]],2)&gt;=6,"Weekend","Weekday"),"")</f>
        <v>Weekday</v>
      </c>
      <c r="Q30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08" s="9" t="str">
        <f>IF(ISNUMBER(tblClean[[#This Row],[Duration Hours]]),IF(tblClean[[#This Row],[Duration Hours]]&lt;2,"Short (under 2h)",IF(tblClean[[#This Row],[Duration Hours]]&lt;3,"Standard (2h to under 3h)","Long (3h or more)")),"")</f>
        <v>Standard (2h to under 3h)</v>
      </c>
      <c r="S30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08" s="24">
        <f>IF(COUNTIF(tblClean[Session ID],tblClean[[#This Row],[Session ID]])&gt;1,1,0)</f>
        <v>0</v>
      </c>
      <c r="U308" s="24">
        <f>IF(OR(N(tblClean[[#This Row],[Attributed GMV PHP]])&lt;0,N(tblClean[[#This Row],[Items Sold]])&lt;0,N(tblClean[[#This Row],[Livestream Views]])&lt;0,N(tblClean[[#This Row],[New Followers]])&lt;0),1,0)</f>
        <v>0</v>
      </c>
      <c r="V308" s="24">
        <f>IF(ISNUMBER(tblClean[[#This Row],[Duration Hours]]),IF(OR(tblClean[[#This Row],[Duration Hours]]&lt;=0,tblClean[[#This Row],[Duration Hours]]&gt;12),1,0),1)</f>
        <v>0</v>
      </c>
      <c r="W308" s="24">
        <f>IF(COUNTIF(HostRoster,tblClean[[#This Row],[Host Name]])=0,1,0)</f>
        <v>0</v>
      </c>
      <c r="X308" s="24">
        <f>IF(tblClean[[#This Row],[Missing Flag]]+tblClean[[#This Row],[Duplicate Flag]]+tblClean[[#This Row],[Negative Flag]]+tblClean[[#This Row],[Duration Flag]]+tblClean[[#This Row],[Host Flag]]=0,1,0)</f>
        <v>1</v>
      </c>
    </row>
    <row r="309" spans="1:24" x14ac:dyDescent="0.3">
      <c r="A309" s="9" t="str">
        <f>TRIM('Raw Data'!A305)</f>
        <v>LS-0301</v>
      </c>
      <c r="B309" s="10">
        <f>IF(ISNUMBER('Raw Data'!B305),INT('Raw Data'!B305),IFERROR(DATEVALUE('Raw Data'!B305),""))</f>
        <v>45883</v>
      </c>
      <c r="C309" s="9" t="str">
        <f>PROPER(TRIM('Raw Data'!C305))</f>
        <v>Dani Villanueva</v>
      </c>
      <c r="D309" s="11">
        <f>IF(ISNUMBER('Raw Data'!D305),MOD('Raw Data'!D305,1),IFERROR(TIMEVALUE('Raw Data'!D305),""))</f>
        <v>0.66666666666666663</v>
      </c>
      <c r="E309" s="11">
        <f>IF(ISNUMBER('Raw Data'!E305),MOD('Raw Data'!E305,1),IFERROR(TIMEVALUE('Raw Data'!E305),""))</f>
        <v>0.77083333333333337</v>
      </c>
      <c r="F309" s="12">
        <f>IF(ISNUMBER('Raw Data'!F305),'Raw Data'!F305,IFERROR(VALUE(SUBSTITUTE('Raw Data'!F305,",","")),""))</f>
        <v>36001</v>
      </c>
      <c r="G309" s="13">
        <f>IF(ISNUMBER('Raw Data'!G305),'Raw Data'!G305,IFERROR(VALUE(SUBSTITUTE('Raw Data'!G305,",","")),""))</f>
        <v>115</v>
      </c>
      <c r="H309" s="13">
        <f>IF(ISNUMBER('Raw Data'!H305),'Raw Data'!H305,IFERROR(VALUE(SUBSTITUTE('Raw Data'!H305,",","")),""))</f>
        <v>91090</v>
      </c>
      <c r="I309" s="13">
        <f>IF(ISNUMBER('Raw Data'!I305),'Raw Data'!I305,IFERROR(VALUE(SUBSTITUTE('Raw Data'!I305,",","")),""))</f>
        <v>854</v>
      </c>
      <c r="J309" s="21">
        <f>IF(AND(ISNUMBER(tblClean[[#This Row],[Start Time]]),ISNUMBER(tblClean[[#This Row],[End Time]])),ROUND(MOD(tblClean[[#This Row],[End Time]]-tblClean[[#This Row],[Start Time]],1)*24,2),"")</f>
        <v>2.5</v>
      </c>
      <c r="K309" s="12">
        <f>IF(AND(ISNUMBER(tblClean[[#This Row],[Duration Hours]]),ISNUMBER(tblClean[[#This Row],[Attributed GMV PHP]])),IF(tblClean[[#This Row],[Duration Hours]]&gt;0,tblClean[[#This Row],[Attributed GMV PHP]]/tblClean[[#This Row],[Duration Hours]],""),"")</f>
        <v>14400.4</v>
      </c>
      <c r="L309" s="22">
        <f>IF(ISNUMBER(tblClean[[#This Row],[Date]]),DATE(YEAR(tblClean[[#This Row],[Date]]),MONTH(tblClean[[#This Row],[Date]]),1),"")</f>
        <v>45870</v>
      </c>
      <c r="M309" s="10">
        <f>IF(ISNUMBER(tblClean[[#This Row],[Date]]),tblClean[[#This Row],[Date]]-WEEKDAY(tblClean[[#This Row],[Date]],2)+1,"")</f>
        <v>45880</v>
      </c>
      <c r="N309" s="23">
        <f>IF(ISNUMBER(tblClean[[#This Row],[Week Start]]),(tblClean[[#This Row],[Week Start]]-MIN(tblClean[Week Start]))/7+1,"")</f>
        <v>11</v>
      </c>
      <c r="O309" s="24" t="str">
        <f>IF(ISNUMBER(tblClean[[#This Row],[Date]]),CHOOSE(WEEKDAY(tblClean[[#This Row],[Date]],2),"Mon","Tue","Wed","Thu","Fri","Sat","Sun"),"")</f>
        <v>Thu</v>
      </c>
      <c r="P309" s="24" t="str">
        <f>IF(ISNUMBER(tblClean[[#This Row],[Date]]),IF(WEEKDAY(tblClean[[#This Row],[Date]],2)&gt;=6,"Weekend","Weekday"),"")</f>
        <v>Weekday</v>
      </c>
      <c r="Q30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09" s="9" t="str">
        <f>IF(ISNUMBER(tblClean[[#This Row],[Duration Hours]]),IF(tblClean[[#This Row],[Duration Hours]]&lt;2,"Short (under 2h)",IF(tblClean[[#This Row],[Duration Hours]]&lt;3,"Standard (2h to under 3h)","Long (3h or more)")),"")</f>
        <v>Standard (2h to under 3h)</v>
      </c>
      <c r="S30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09" s="24">
        <f>IF(COUNTIF(tblClean[Session ID],tblClean[[#This Row],[Session ID]])&gt;1,1,0)</f>
        <v>0</v>
      </c>
      <c r="U309" s="24">
        <f>IF(OR(N(tblClean[[#This Row],[Attributed GMV PHP]])&lt;0,N(tblClean[[#This Row],[Items Sold]])&lt;0,N(tblClean[[#This Row],[Livestream Views]])&lt;0,N(tblClean[[#This Row],[New Followers]])&lt;0),1,0)</f>
        <v>0</v>
      </c>
      <c r="V309" s="24">
        <f>IF(ISNUMBER(tblClean[[#This Row],[Duration Hours]]),IF(OR(tblClean[[#This Row],[Duration Hours]]&lt;=0,tblClean[[#This Row],[Duration Hours]]&gt;12),1,0),1)</f>
        <v>0</v>
      </c>
      <c r="W309" s="24">
        <f>IF(COUNTIF(HostRoster,tblClean[[#This Row],[Host Name]])=0,1,0)</f>
        <v>0</v>
      </c>
      <c r="X309" s="24">
        <f>IF(tblClean[[#This Row],[Missing Flag]]+tblClean[[#This Row],[Duplicate Flag]]+tblClean[[#This Row],[Negative Flag]]+tblClean[[#This Row],[Duration Flag]]+tblClean[[#This Row],[Host Flag]]=0,1,0)</f>
        <v>1</v>
      </c>
    </row>
    <row r="310" spans="1:24" x14ac:dyDescent="0.3">
      <c r="A310" s="9" t="str">
        <f>TRIM('Raw Data'!A306)</f>
        <v>LS-0302</v>
      </c>
      <c r="B310" s="10">
        <f>IF(ISNUMBER('Raw Data'!B306),INT('Raw Data'!B306),IFERROR(DATEVALUE('Raw Data'!B306),""))</f>
        <v>45883</v>
      </c>
      <c r="C310" s="9" t="str">
        <f>PROPER(TRIM('Raw Data'!C306))</f>
        <v>Elise Navarro</v>
      </c>
      <c r="D310" s="11">
        <f>IF(ISNUMBER('Raw Data'!D306),MOD('Raw Data'!D306,1),IFERROR(TIMEVALUE('Raw Data'!D306),""))</f>
        <v>0.79166666666666663</v>
      </c>
      <c r="E310" s="11">
        <f>IF(ISNUMBER('Raw Data'!E306),MOD('Raw Data'!E306,1),IFERROR(TIMEVALUE('Raw Data'!E306),""))</f>
        <v>0.85416666666666663</v>
      </c>
      <c r="F310" s="12">
        <f>IF(ISNUMBER('Raw Data'!F306),'Raw Data'!F306,IFERROR(VALUE(SUBSTITUTE('Raw Data'!F306,",","")),""))</f>
        <v>27446</v>
      </c>
      <c r="G310" s="13">
        <f>IF(ISNUMBER('Raw Data'!G306),'Raw Data'!G306,IFERROR(VALUE(SUBSTITUTE('Raw Data'!G306,",","")),""))</f>
        <v>79</v>
      </c>
      <c r="H310" s="13">
        <f>IF(ISNUMBER('Raw Data'!H306),'Raw Data'!H306,IFERROR(VALUE(SUBSTITUTE('Raw Data'!H306,",","")),""))</f>
        <v>103558</v>
      </c>
      <c r="I310" s="13">
        <f>IF(ISNUMBER('Raw Data'!I306),'Raw Data'!I306,IFERROR(VALUE(SUBSTITUTE('Raw Data'!I306,",","")),""))</f>
        <v>448</v>
      </c>
      <c r="J310" s="21">
        <f>IF(AND(ISNUMBER(tblClean[[#This Row],[Start Time]]),ISNUMBER(tblClean[[#This Row],[End Time]])),ROUND(MOD(tblClean[[#This Row],[End Time]]-tblClean[[#This Row],[Start Time]],1)*24,2),"")</f>
        <v>1.5</v>
      </c>
      <c r="K310" s="12">
        <f>IF(AND(ISNUMBER(tblClean[[#This Row],[Duration Hours]]),ISNUMBER(tblClean[[#This Row],[Attributed GMV PHP]])),IF(tblClean[[#This Row],[Duration Hours]]&gt;0,tblClean[[#This Row],[Attributed GMV PHP]]/tblClean[[#This Row],[Duration Hours]],""),"")</f>
        <v>18297.333333333332</v>
      </c>
      <c r="L310" s="22">
        <f>IF(ISNUMBER(tblClean[[#This Row],[Date]]),DATE(YEAR(tblClean[[#This Row],[Date]]),MONTH(tblClean[[#This Row],[Date]]),1),"")</f>
        <v>45870</v>
      </c>
      <c r="M310" s="10">
        <f>IF(ISNUMBER(tblClean[[#This Row],[Date]]),tblClean[[#This Row],[Date]]-WEEKDAY(tblClean[[#This Row],[Date]],2)+1,"")</f>
        <v>45880</v>
      </c>
      <c r="N310" s="23">
        <f>IF(ISNUMBER(tblClean[[#This Row],[Week Start]]),(tblClean[[#This Row],[Week Start]]-MIN(tblClean[Week Start]))/7+1,"")</f>
        <v>11</v>
      </c>
      <c r="O310" s="24" t="str">
        <f>IF(ISNUMBER(tblClean[[#This Row],[Date]]),CHOOSE(WEEKDAY(tblClean[[#This Row],[Date]],2),"Mon","Tue","Wed","Thu","Fri","Sat","Sun"),"")</f>
        <v>Thu</v>
      </c>
      <c r="P310" s="24" t="str">
        <f>IF(ISNUMBER(tblClean[[#This Row],[Date]]),IF(WEEKDAY(tblClean[[#This Row],[Date]],2)&gt;=6,"Weekend","Weekday"),"")</f>
        <v>Weekday</v>
      </c>
      <c r="Q31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10" s="9" t="str">
        <f>IF(ISNUMBER(tblClean[[#This Row],[Duration Hours]]),IF(tblClean[[#This Row],[Duration Hours]]&lt;2,"Short (under 2h)",IF(tblClean[[#This Row],[Duration Hours]]&lt;3,"Standard (2h to under 3h)","Long (3h or more)")),"")</f>
        <v>Short (under 2h)</v>
      </c>
      <c r="S31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10" s="24">
        <f>IF(COUNTIF(tblClean[Session ID],tblClean[[#This Row],[Session ID]])&gt;1,1,0)</f>
        <v>0</v>
      </c>
      <c r="U310" s="24">
        <f>IF(OR(N(tblClean[[#This Row],[Attributed GMV PHP]])&lt;0,N(tblClean[[#This Row],[Items Sold]])&lt;0,N(tblClean[[#This Row],[Livestream Views]])&lt;0,N(tblClean[[#This Row],[New Followers]])&lt;0),1,0)</f>
        <v>0</v>
      </c>
      <c r="V310" s="24">
        <f>IF(ISNUMBER(tblClean[[#This Row],[Duration Hours]]),IF(OR(tblClean[[#This Row],[Duration Hours]]&lt;=0,tblClean[[#This Row],[Duration Hours]]&gt;12),1,0),1)</f>
        <v>0</v>
      </c>
      <c r="W310" s="24">
        <f>IF(COUNTIF(HostRoster,tblClean[[#This Row],[Host Name]])=0,1,0)</f>
        <v>0</v>
      </c>
      <c r="X310" s="24">
        <f>IF(tblClean[[#This Row],[Missing Flag]]+tblClean[[#This Row],[Duplicate Flag]]+tblClean[[#This Row],[Negative Flag]]+tblClean[[#This Row],[Duration Flag]]+tblClean[[#This Row],[Host Flag]]=0,1,0)</f>
        <v>1</v>
      </c>
    </row>
    <row r="311" spans="1:24" x14ac:dyDescent="0.3">
      <c r="A311" s="9" t="str">
        <f>TRIM('Raw Data'!A307)</f>
        <v>LS-0303</v>
      </c>
      <c r="B311" s="10">
        <f>IF(ISNUMBER('Raw Data'!B307),INT('Raw Data'!B307),IFERROR(DATEVALUE('Raw Data'!B307),""))</f>
        <v>45883</v>
      </c>
      <c r="C311" s="9" t="str">
        <f>PROPER(TRIM('Raw Data'!C307))</f>
        <v>Bianca Reyes</v>
      </c>
      <c r="D311" s="11">
        <f>IF(ISNUMBER('Raw Data'!D307),MOD('Raw Data'!D307,1),IFERROR(TIMEVALUE('Raw Data'!D307),""))</f>
        <v>0.91666666666666663</v>
      </c>
      <c r="E311" s="11">
        <f>IF(ISNUMBER('Raw Data'!E307),MOD('Raw Data'!E307,1),IFERROR(TIMEVALUE('Raw Data'!E307),""))</f>
        <v>0</v>
      </c>
      <c r="F311" s="12">
        <f>IF(ISNUMBER('Raw Data'!F307),'Raw Data'!F307,IFERROR(VALUE(SUBSTITUTE('Raw Data'!F307,",","")),""))</f>
        <v>31783</v>
      </c>
      <c r="G311" s="13">
        <f>IF(ISNUMBER('Raw Data'!G307),'Raw Data'!G307,IFERROR(VALUE(SUBSTITUTE('Raw Data'!G307,",","")),""))</f>
        <v>89</v>
      </c>
      <c r="H311" s="13">
        <f>IF(ISNUMBER('Raw Data'!H307),'Raw Data'!H307,IFERROR(VALUE(SUBSTITUTE('Raw Data'!H307,",","")),""))</f>
        <v>100744</v>
      </c>
      <c r="I311" s="13">
        <f>IF(ISNUMBER('Raw Data'!I307),'Raw Data'!I307,IFERROR(VALUE(SUBSTITUTE('Raw Data'!I307,",","")),""))</f>
        <v>1009</v>
      </c>
      <c r="J311" s="21">
        <f>IF(AND(ISNUMBER(tblClean[[#This Row],[Start Time]]),ISNUMBER(tblClean[[#This Row],[End Time]])),ROUND(MOD(tblClean[[#This Row],[End Time]]-tblClean[[#This Row],[Start Time]],1)*24,2),"")</f>
        <v>2</v>
      </c>
      <c r="K311" s="12">
        <f>IF(AND(ISNUMBER(tblClean[[#This Row],[Duration Hours]]),ISNUMBER(tblClean[[#This Row],[Attributed GMV PHP]])),IF(tblClean[[#This Row],[Duration Hours]]&gt;0,tblClean[[#This Row],[Attributed GMV PHP]]/tblClean[[#This Row],[Duration Hours]],""),"")</f>
        <v>15891.5</v>
      </c>
      <c r="L311" s="22">
        <f>IF(ISNUMBER(tblClean[[#This Row],[Date]]),DATE(YEAR(tblClean[[#This Row],[Date]]),MONTH(tblClean[[#This Row],[Date]]),1),"")</f>
        <v>45870</v>
      </c>
      <c r="M311" s="10">
        <f>IF(ISNUMBER(tblClean[[#This Row],[Date]]),tblClean[[#This Row],[Date]]-WEEKDAY(tblClean[[#This Row],[Date]],2)+1,"")</f>
        <v>45880</v>
      </c>
      <c r="N311" s="23">
        <f>IF(ISNUMBER(tblClean[[#This Row],[Week Start]]),(tblClean[[#This Row],[Week Start]]-MIN(tblClean[Week Start]))/7+1,"")</f>
        <v>11</v>
      </c>
      <c r="O311" s="24" t="str">
        <f>IF(ISNUMBER(tblClean[[#This Row],[Date]]),CHOOSE(WEEKDAY(tblClean[[#This Row],[Date]],2),"Mon","Tue","Wed","Thu","Fri","Sat","Sun"),"")</f>
        <v>Thu</v>
      </c>
      <c r="P311" s="24" t="str">
        <f>IF(ISNUMBER(tblClean[[#This Row],[Date]]),IF(WEEKDAY(tblClean[[#This Row],[Date]],2)&gt;=6,"Weekend","Weekday"),"")</f>
        <v>Weekday</v>
      </c>
      <c r="Q31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11" s="9" t="str">
        <f>IF(ISNUMBER(tblClean[[#This Row],[Duration Hours]]),IF(tblClean[[#This Row],[Duration Hours]]&lt;2,"Short (under 2h)",IF(tblClean[[#This Row],[Duration Hours]]&lt;3,"Standard (2h to under 3h)","Long (3h or more)")),"")</f>
        <v>Standard (2h to under 3h)</v>
      </c>
      <c r="S31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11" s="24">
        <f>IF(COUNTIF(tblClean[Session ID],tblClean[[#This Row],[Session ID]])&gt;1,1,0)</f>
        <v>0</v>
      </c>
      <c r="U311" s="24">
        <f>IF(OR(N(tblClean[[#This Row],[Attributed GMV PHP]])&lt;0,N(tblClean[[#This Row],[Items Sold]])&lt;0,N(tblClean[[#This Row],[Livestream Views]])&lt;0,N(tblClean[[#This Row],[New Followers]])&lt;0),1,0)</f>
        <v>0</v>
      </c>
      <c r="V311" s="24">
        <f>IF(ISNUMBER(tblClean[[#This Row],[Duration Hours]]),IF(OR(tblClean[[#This Row],[Duration Hours]]&lt;=0,tblClean[[#This Row],[Duration Hours]]&gt;12),1,0),1)</f>
        <v>0</v>
      </c>
      <c r="W311" s="24">
        <f>IF(COUNTIF(HostRoster,tblClean[[#This Row],[Host Name]])=0,1,0)</f>
        <v>0</v>
      </c>
      <c r="X311" s="24">
        <f>IF(tblClean[[#This Row],[Missing Flag]]+tblClean[[#This Row],[Duplicate Flag]]+tblClean[[#This Row],[Negative Flag]]+tblClean[[#This Row],[Duration Flag]]+tblClean[[#This Row],[Host Flag]]=0,1,0)</f>
        <v>1</v>
      </c>
    </row>
    <row r="312" spans="1:24" x14ac:dyDescent="0.3">
      <c r="A312" s="9" t="str">
        <f>TRIM('Raw Data'!A308)</f>
        <v>LS-0304</v>
      </c>
      <c r="B312" s="10">
        <f>IF(ISNUMBER('Raw Data'!B308),INT('Raw Data'!B308),IFERROR(DATEVALUE('Raw Data'!B308),""))</f>
        <v>45884</v>
      </c>
      <c r="C312" s="9" t="str">
        <f>PROPER(TRIM('Raw Data'!C308))</f>
        <v>Bianca Reyes</v>
      </c>
      <c r="D312" s="11">
        <f>IF(ISNUMBER('Raw Data'!D308),MOD('Raw Data'!D308,1),IFERROR(TIMEVALUE('Raw Data'!D308),""))</f>
        <v>0.41666666666666669</v>
      </c>
      <c r="E312" s="11">
        <f>IF(ISNUMBER('Raw Data'!E308),MOD('Raw Data'!E308,1),IFERROR(TIMEVALUE('Raw Data'!E308),""))</f>
        <v>0.52083333333333337</v>
      </c>
      <c r="F312" s="12">
        <f>IF(ISNUMBER('Raw Data'!F308),'Raw Data'!F308,IFERROR(VALUE(SUBSTITUTE('Raw Data'!F308,",","")),""))</f>
        <v>13668</v>
      </c>
      <c r="G312" s="13">
        <f>IF(ISNUMBER('Raw Data'!G308),'Raw Data'!G308,IFERROR(VALUE(SUBSTITUTE('Raw Data'!G308,",","")),""))</f>
        <v>36</v>
      </c>
      <c r="H312" s="13">
        <f>IF(ISNUMBER('Raw Data'!H308),'Raw Data'!H308,IFERROR(VALUE(SUBSTITUTE('Raw Data'!H308,",","")),""))</f>
        <v>38352</v>
      </c>
      <c r="I312" s="13">
        <f>IF(ISNUMBER('Raw Data'!I308),'Raw Data'!I308,IFERROR(VALUE(SUBSTITUTE('Raw Data'!I308,",","")),""))</f>
        <v>251</v>
      </c>
      <c r="J312" s="21">
        <f>IF(AND(ISNUMBER(tblClean[[#This Row],[Start Time]]),ISNUMBER(tblClean[[#This Row],[End Time]])),ROUND(MOD(tblClean[[#This Row],[End Time]]-tblClean[[#This Row],[Start Time]],1)*24,2),"")</f>
        <v>2.5</v>
      </c>
      <c r="K312" s="12">
        <f>IF(AND(ISNUMBER(tblClean[[#This Row],[Duration Hours]]),ISNUMBER(tblClean[[#This Row],[Attributed GMV PHP]])),IF(tblClean[[#This Row],[Duration Hours]]&gt;0,tblClean[[#This Row],[Attributed GMV PHP]]/tblClean[[#This Row],[Duration Hours]],""),"")</f>
        <v>5467.2</v>
      </c>
      <c r="L312" s="22">
        <f>IF(ISNUMBER(tblClean[[#This Row],[Date]]),DATE(YEAR(tblClean[[#This Row],[Date]]),MONTH(tblClean[[#This Row],[Date]]),1),"")</f>
        <v>45870</v>
      </c>
      <c r="M312" s="10">
        <f>IF(ISNUMBER(tblClean[[#This Row],[Date]]),tblClean[[#This Row],[Date]]-WEEKDAY(tblClean[[#This Row],[Date]],2)+1,"")</f>
        <v>45880</v>
      </c>
      <c r="N312" s="23">
        <f>IF(ISNUMBER(tblClean[[#This Row],[Week Start]]),(tblClean[[#This Row],[Week Start]]-MIN(tblClean[Week Start]))/7+1,"")</f>
        <v>11</v>
      </c>
      <c r="O312" s="24" t="str">
        <f>IF(ISNUMBER(tblClean[[#This Row],[Date]]),CHOOSE(WEEKDAY(tblClean[[#This Row],[Date]],2),"Mon","Tue","Wed","Thu","Fri","Sat","Sun"),"")</f>
        <v>Fri</v>
      </c>
      <c r="P312" s="24" t="str">
        <f>IF(ISNUMBER(tblClean[[#This Row],[Date]]),IF(WEEKDAY(tblClean[[#This Row],[Date]],2)&gt;=6,"Weekend","Weekday"),"")</f>
        <v>Weekday</v>
      </c>
      <c r="Q31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12" s="9" t="str">
        <f>IF(ISNUMBER(tblClean[[#This Row],[Duration Hours]]),IF(tblClean[[#This Row],[Duration Hours]]&lt;2,"Short (under 2h)",IF(tblClean[[#This Row],[Duration Hours]]&lt;3,"Standard (2h to under 3h)","Long (3h or more)")),"")</f>
        <v>Standard (2h to under 3h)</v>
      </c>
      <c r="S31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12" s="24">
        <f>IF(COUNTIF(tblClean[Session ID],tblClean[[#This Row],[Session ID]])&gt;1,1,0)</f>
        <v>0</v>
      </c>
      <c r="U312" s="24">
        <f>IF(OR(N(tblClean[[#This Row],[Attributed GMV PHP]])&lt;0,N(tblClean[[#This Row],[Items Sold]])&lt;0,N(tblClean[[#This Row],[Livestream Views]])&lt;0,N(tblClean[[#This Row],[New Followers]])&lt;0),1,0)</f>
        <v>0</v>
      </c>
      <c r="V312" s="24">
        <f>IF(ISNUMBER(tblClean[[#This Row],[Duration Hours]]),IF(OR(tblClean[[#This Row],[Duration Hours]]&lt;=0,tblClean[[#This Row],[Duration Hours]]&gt;12),1,0),1)</f>
        <v>0</v>
      </c>
      <c r="W312" s="24">
        <f>IF(COUNTIF(HostRoster,tblClean[[#This Row],[Host Name]])=0,1,0)</f>
        <v>0</v>
      </c>
      <c r="X312" s="24">
        <f>IF(tblClean[[#This Row],[Missing Flag]]+tblClean[[#This Row],[Duplicate Flag]]+tblClean[[#This Row],[Negative Flag]]+tblClean[[#This Row],[Duration Flag]]+tblClean[[#This Row],[Host Flag]]=0,1,0)</f>
        <v>1</v>
      </c>
    </row>
    <row r="313" spans="1:24" x14ac:dyDescent="0.3">
      <c r="A313" s="9" t="str">
        <f>TRIM('Raw Data'!A309)</f>
        <v>LS-0305</v>
      </c>
      <c r="B313" s="10">
        <f>IF(ISNUMBER('Raw Data'!B309),INT('Raw Data'!B309),IFERROR(DATEVALUE('Raw Data'!B309),""))</f>
        <v>45884</v>
      </c>
      <c r="C313" s="9" t="str">
        <f>PROPER(TRIM('Raw Data'!C309))</f>
        <v>Bianca Reyes</v>
      </c>
      <c r="D313" s="11">
        <f>IF(ISNUMBER('Raw Data'!D309),MOD('Raw Data'!D309,1),IFERROR(TIMEVALUE('Raw Data'!D309),""))</f>
        <v>0.66666666666666663</v>
      </c>
      <c r="E313" s="11">
        <f>IF(ISNUMBER('Raw Data'!E309),MOD('Raw Data'!E309,1),IFERROR(TIMEVALUE('Raw Data'!E309),""))</f>
        <v>0.79166666666666663</v>
      </c>
      <c r="F313" s="12">
        <f>IF(ISNUMBER('Raw Data'!F309),'Raw Data'!F309,IFERROR(VALUE(SUBSTITUTE('Raw Data'!F309,",","")),""))</f>
        <v>50526</v>
      </c>
      <c r="G313" s="13">
        <f>IF(ISNUMBER('Raw Data'!G309),'Raw Data'!G309,IFERROR(VALUE(SUBSTITUTE('Raw Data'!G309,",","")),""))</f>
        <v>163</v>
      </c>
      <c r="H313" s="13">
        <f>IF(ISNUMBER('Raw Data'!H309),'Raw Data'!H309,IFERROR(VALUE(SUBSTITUTE('Raw Data'!H309,",","")),""))</f>
        <v>209524</v>
      </c>
      <c r="I313" s="13">
        <f>IF(ISNUMBER('Raw Data'!I309),'Raw Data'!I309,IFERROR(VALUE(SUBSTITUTE('Raw Data'!I309,",","")),""))</f>
        <v>875</v>
      </c>
      <c r="J313" s="21">
        <f>IF(AND(ISNUMBER(tblClean[[#This Row],[Start Time]]),ISNUMBER(tblClean[[#This Row],[End Time]])),ROUND(MOD(tblClean[[#This Row],[End Time]]-tblClean[[#This Row],[Start Time]],1)*24,2),"")</f>
        <v>3</v>
      </c>
      <c r="K313" s="12">
        <f>IF(AND(ISNUMBER(tblClean[[#This Row],[Duration Hours]]),ISNUMBER(tblClean[[#This Row],[Attributed GMV PHP]])),IF(tblClean[[#This Row],[Duration Hours]]&gt;0,tblClean[[#This Row],[Attributed GMV PHP]]/tblClean[[#This Row],[Duration Hours]],""),"")</f>
        <v>16842</v>
      </c>
      <c r="L313" s="22">
        <f>IF(ISNUMBER(tblClean[[#This Row],[Date]]),DATE(YEAR(tblClean[[#This Row],[Date]]),MONTH(tblClean[[#This Row],[Date]]),1),"")</f>
        <v>45870</v>
      </c>
      <c r="M313" s="10">
        <f>IF(ISNUMBER(tblClean[[#This Row],[Date]]),tblClean[[#This Row],[Date]]-WEEKDAY(tblClean[[#This Row],[Date]],2)+1,"")</f>
        <v>45880</v>
      </c>
      <c r="N313" s="23">
        <f>IF(ISNUMBER(tblClean[[#This Row],[Week Start]]),(tblClean[[#This Row],[Week Start]]-MIN(tblClean[Week Start]))/7+1,"")</f>
        <v>11</v>
      </c>
      <c r="O313" s="24" t="str">
        <f>IF(ISNUMBER(tblClean[[#This Row],[Date]]),CHOOSE(WEEKDAY(tblClean[[#This Row],[Date]],2),"Mon","Tue","Wed","Thu","Fri","Sat","Sun"),"")</f>
        <v>Fri</v>
      </c>
      <c r="P313" s="24" t="str">
        <f>IF(ISNUMBER(tblClean[[#This Row],[Date]]),IF(WEEKDAY(tblClean[[#This Row],[Date]],2)&gt;=6,"Weekend","Weekday"),"")</f>
        <v>Weekday</v>
      </c>
      <c r="Q31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13" s="9" t="str">
        <f>IF(ISNUMBER(tblClean[[#This Row],[Duration Hours]]),IF(tblClean[[#This Row],[Duration Hours]]&lt;2,"Short (under 2h)",IF(tblClean[[#This Row],[Duration Hours]]&lt;3,"Standard (2h to under 3h)","Long (3h or more)")),"")</f>
        <v>Long (3h or more)</v>
      </c>
      <c r="S31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13" s="24">
        <f>IF(COUNTIF(tblClean[Session ID],tblClean[[#This Row],[Session ID]])&gt;1,1,0)</f>
        <v>0</v>
      </c>
      <c r="U313" s="24">
        <f>IF(OR(N(tblClean[[#This Row],[Attributed GMV PHP]])&lt;0,N(tblClean[[#This Row],[Items Sold]])&lt;0,N(tblClean[[#This Row],[Livestream Views]])&lt;0,N(tblClean[[#This Row],[New Followers]])&lt;0),1,0)</f>
        <v>0</v>
      </c>
      <c r="V313" s="24">
        <f>IF(ISNUMBER(tblClean[[#This Row],[Duration Hours]]),IF(OR(tblClean[[#This Row],[Duration Hours]]&lt;=0,tblClean[[#This Row],[Duration Hours]]&gt;12),1,0),1)</f>
        <v>0</v>
      </c>
      <c r="W313" s="24">
        <f>IF(COUNTIF(HostRoster,tblClean[[#This Row],[Host Name]])=0,1,0)</f>
        <v>0</v>
      </c>
      <c r="X313" s="24">
        <f>IF(tblClean[[#This Row],[Missing Flag]]+tblClean[[#This Row],[Duplicate Flag]]+tblClean[[#This Row],[Negative Flag]]+tblClean[[#This Row],[Duration Flag]]+tblClean[[#This Row],[Host Flag]]=0,1,0)</f>
        <v>1</v>
      </c>
    </row>
    <row r="314" spans="1:24" x14ac:dyDescent="0.3">
      <c r="A314" s="9" t="str">
        <f>TRIM('Raw Data'!A310)</f>
        <v>LS-0306</v>
      </c>
      <c r="B314" s="10">
        <f>IF(ISNUMBER('Raw Data'!B310),INT('Raw Data'!B310),IFERROR(DATEVALUE('Raw Data'!B310),""))</f>
        <v>45884</v>
      </c>
      <c r="C314" s="9" t="str">
        <f>PROPER(TRIM('Raw Data'!C310))</f>
        <v>Bianca Reyes</v>
      </c>
      <c r="D314" s="11">
        <f>IF(ISNUMBER('Raw Data'!D310),MOD('Raw Data'!D310,1),IFERROR(TIMEVALUE('Raw Data'!D310),""))</f>
        <v>0.79166666666666663</v>
      </c>
      <c r="E314" s="11">
        <f>IF(ISNUMBER('Raw Data'!E310),MOD('Raw Data'!E310,1),IFERROR(TIMEVALUE('Raw Data'!E310),""))</f>
        <v>0.85416666666666663</v>
      </c>
      <c r="F314" s="12">
        <f>IF(ISNUMBER('Raw Data'!F310),'Raw Data'!F310,IFERROR(VALUE(SUBSTITUTE('Raw Data'!F310,",","")),""))</f>
        <v>37128</v>
      </c>
      <c r="G314" s="13">
        <f>IF(ISNUMBER('Raw Data'!G310),'Raw Data'!G310,IFERROR(VALUE(SUBSTITUTE('Raw Data'!G310,",","")),""))</f>
        <v>96</v>
      </c>
      <c r="H314" s="13">
        <f>IF(ISNUMBER('Raw Data'!H310),'Raw Data'!H310,IFERROR(VALUE(SUBSTITUTE('Raw Data'!H310,",","")),""))</f>
        <v>108383</v>
      </c>
      <c r="I314" s="13">
        <f>IF(ISNUMBER('Raw Data'!I310),'Raw Data'!I310,IFERROR(VALUE(SUBSTITUTE('Raw Data'!I310,",","")),""))</f>
        <v>841</v>
      </c>
      <c r="J314" s="21">
        <f>IF(AND(ISNUMBER(tblClean[[#This Row],[Start Time]]),ISNUMBER(tblClean[[#This Row],[End Time]])),ROUND(MOD(tblClean[[#This Row],[End Time]]-tblClean[[#This Row],[Start Time]],1)*24,2),"")</f>
        <v>1.5</v>
      </c>
      <c r="K314" s="12">
        <f>IF(AND(ISNUMBER(tblClean[[#This Row],[Duration Hours]]),ISNUMBER(tblClean[[#This Row],[Attributed GMV PHP]])),IF(tblClean[[#This Row],[Duration Hours]]&gt;0,tblClean[[#This Row],[Attributed GMV PHP]]/tblClean[[#This Row],[Duration Hours]],""),"")</f>
        <v>24752</v>
      </c>
      <c r="L314" s="22">
        <f>IF(ISNUMBER(tblClean[[#This Row],[Date]]),DATE(YEAR(tblClean[[#This Row],[Date]]),MONTH(tblClean[[#This Row],[Date]]),1),"")</f>
        <v>45870</v>
      </c>
      <c r="M314" s="10">
        <f>IF(ISNUMBER(tblClean[[#This Row],[Date]]),tblClean[[#This Row],[Date]]-WEEKDAY(tblClean[[#This Row],[Date]],2)+1,"")</f>
        <v>45880</v>
      </c>
      <c r="N314" s="23">
        <f>IF(ISNUMBER(tblClean[[#This Row],[Week Start]]),(tblClean[[#This Row],[Week Start]]-MIN(tblClean[Week Start]))/7+1,"")</f>
        <v>11</v>
      </c>
      <c r="O314" s="24" t="str">
        <f>IF(ISNUMBER(tblClean[[#This Row],[Date]]),CHOOSE(WEEKDAY(tblClean[[#This Row],[Date]],2),"Mon","Tue","Wed","Thu","Fri","Sat","Sun"),"")</f>
        <v>Fri</v>
      </c>
      <c r="P314" s="24" t="str">
        <f>IF(ISNUMBER(tblClean[[#This Row],[Date]]),IF(WEEKDAY(tblClean[[#This Row],[Date]],2)&gt;=6,"Weekend","Weekday"),"")</f>
        <v>Weekday</v>
      </c>
      <c r="Q31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14" s="9" t="str">
        <f>IF(ISNUMBER(tblClean[[#This Row],[Duration Hours]]),IF(tblClean[[#This Row],[Duration Hours]]&lt;2,"Short (under 2h)",IF(tblClean[[#This Row],[Duration Hours]]&lt;3,"Standard (2h to under 3h)","Long (3h or more)")),"")</f>
        <v>Short (under 2h)</v>
      </c>
      <c r="S31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14" s="24">
        <f>IF(COUNTIF(tblClean[Session ID],tblClean[[#This Row],[Session ID]])&gt;1,1,0)</f>
        <v>0</v>
      </c>
      <c r="U314" s="24">
        <f>IF(OR(N(tblClean[[#This Row],[Attributed GMV PHP]])&lt;0,N(tblClean[[#This Row],[Items Sold]])&lt;0,N(tblClean[[#This Row],[Livestream Views]])&lt;0,N(tblClean[[#This Row],[New Followers]])&lt;0),1,0)</f>
        <v>0</v>
      </c>
      <c r="V314" s="24">
        <f>IF(ISNUMBER(tblClean[[#This Row],[Duration Hours]]),IF(OR(tblClean[[#This Row],[Duration Hours]]&lt;=0,tblClean[[#This Row],[Duration Hours]]&gt;12),1,0),1)</f>
        <v>0</v>
      </c>
      <c r="W314" s="24">
        <f>IF(COUNTIF(HostRoster,tblClean[[#This Row],[Host Name]])=0,1,0)</f>
        <v>0</v>
      </c>
      <c r="X314" s="24">
        <f>IF(tblClean[[#This Row],[Missing Flag]]+tblClean[[#This Row],[Duplicate Flag]]+tblClean[[#This Row],[Negative Flag]]+tblClean[[#This Row],[Duration Flag]]+tblClean[[#This Row],[Host Flag]]=0,1,0)</f>
        <v>1</v>
      </c>
    </row>
    <row r="315" spans="1:24" x14ac:dyDescent="0.3">
      <c r="A315" s="9" t="str">
        <f>TRIM('Raw Data'!A311)</f>
        <v>LS-0307</v>
      </c>
      <c r="B315" s="10">
        <f>IF(ISNUMBER('Raw Data'!B311),INT('Raw Data'!B311),IFERROR(DATEVALUE('Raw Data'!B311),""))</f>
        <v>45884</v>
      </c>
      <c r="C315" s="9" t="str">
        <f>PROPER(TRIM('Raw Data'!C311))</f>
        <v>Carlo Mendoza</v>
      </c>
      <c r="D315" s="11">
        <f>IF(ISNUMBER('Raw Data'!D311),MOD('Raw Data'!D311,1),IFERROR(TIMEVALUE('Raw Data'!D311),""))</f>
        <v>0.91666666666666663</v>
      </c>
      <c r="E315" s="11">
        <f>IF(ISNUMBER('Raw Data'!E311),MOD('Raw Data'!E311,1),IFERROR(TIMEVALUE('Raw Data'!E311),""))</f>
        <v>2.0833333333333329E-2</v>
      </c>
      <c r="F315" s="12">
        <f>IF(ISNUMBER('Raw Data'!F311),'Raw Data'!F311,IFERROR(VALUE(SUBSTITUTE('Raw Data'!F311,",","")),""))</f>
        <v>25224</v>
      </c>
      <c r="G315" s="13">
        <f>IF(ISNUMBER('Raw Data'!G311),'Raw Data'!G311,IFERROR(VALUE(SUBSTITUTE('Raw Data'!G311,",","")),""))</f>
        <v>84</v>
      </c>
      <c r="H315" s="13">
        <f>IF(ISNUMBER('Raw Data'!H311),'Raw Data'!H311,IFERROR(VALUE(SUBSTITUTE('Raw Data'!H311,",","")),""))</f>
        <v>115095</v>
      </c>
      <c r="I315" s="13">
        <f>IF(ISNUMBER('Raw Data'!I311),'Raw Data'!I311,IFERROR(VALUE(SUBSTITUTE('Raw Data'!I311,",","")),""))</f>
        <v>848</v>
      </c>
      <c r="J315" s="21">
        <f>IF(AND(ISNUMBER(tblClean[[#This Row],[Start Time]]),ISNUMBER(tblClean[[#This Row],[End Time]])),ROUND(MOD(tblClean[[#This Row],[End Time]]-tblClean[[#This Row],[Start Time]],1)*24,2),"")</f>
        <v>2.5</v>
      </c>
      <c r="K315" s="12">
        <f>IF(AND(ISNUMBER(tblClean[[#This Row],[Duration Hours]]),ISNUMBER(tblClean[[#This Row],[Attributed GMV PHP]])),IF(tblClean[[#This Row],[Duration Hours]]&gt;0,tblClean[[#This Row],[Attributed GMV PHP]]/tblClean[[#This Row],[Duration Hours]],""),"")</f>
        <v>10089.6</v>
      </c>
      <c r="L315" s="22">
        <f>IF(ISNUMBER(tblClean[[#This Row],[Date]]),DATE(YEAR(tblClean[[#This Row],[Date]]),MONTH(tblClean[[#This Row],[Date]]),1),"")</f>
        <v>45870</v>
      </c>
      <c r="M315" s="10">
        <f>IF(ISNUMBER(tblClean[[#This Row],[Date]]),tblClean[[#This Row],[Date]]-WEEKDAY(tblClean[[#This Row],[Date]],2)+1,"")</f>
        <v>45880</v>
      </c>
      <c r="N315" s="23">
        <f>IF(ISNUMBER(tblClean[[#This Row],[Week Start]]),(tblClean[[#This Row],[Week Start]]-MIN(tblClean[Week Start]))/7+1,"")</f>
        <v>11</v>
      </c>
      <c r="O315" s="24" t="str">
        <f>IF(ISNUMBER(tblClean[[#This Row],[Date]]),CHOOSE(WEEKDAY(tblClean[[#This Row],[Date]],2),"Mon","Tue","Wed","Thu","Fri","Sat","Sun"),"")</f>
        <v>Fri</v>
      </c>
      <c r="P315" s="24" t="str">
        <f>IF(ISNUMBER(tblClean[[#This Row],[Date]]),IF(WEEKDAY(tblClean[[#This Row],[Date]],2)&gt;=6,"Weekend","Weekday"),"")</f>
        <v>Weekday</v>
      </c>
      <c r="Q31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15" s="9" t="str">
        <f>IF(ISNUMBER(tblClean[[#This Row],[Duration Hours]]),IF(tblClean[[#This Row],[Duration Hours]]&lt;2,"Short (under 2h)",IF(tblClean[[#This Row],[Duration Hours]]&lt;3,"Standard (2h to under 3h)","Long (3h or more)")),"")</f>
        <v>Standard (2h to under 3h)</v>
      </c>
      <c r="S31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15" s="24">
        <f>IF(COUNTIF(tblClean[Session ID],tblClean[[#This Row],[Session ID]])&gt;1,1,0)</f>
        <v>0</v>
      </c>
      <c r="U315" s="24">
        <f>IF(OR(N(tblClean[[#This Row],[Attributed GMV PHP]])&lt;0,N(tblClean[[#This Row],[Items Sold]])&lt;0,N(tblClean[[#This Row],[Livestream Views]])&lt;0,N(tblClean[[#This Row],[New Followers]])&lt;0),1,0)</f>
        <v>0</v>
      </c>
      <c r="V315" s="24">
        <f>IF(ISNUMBER(tblClean[[#This Row],[Duration Hours]]),IF(OR(tblClean[[#This Row],[Duration Hours]]&lt;=0,tblClean[[#This Row],[Duration Hours]]&gt;12),1,0),1)</f>
        <v>0</v>
      </c>
      <c r="W315" s="24">
        <f>IF(COUNTIF(HostRoster,tblClean[[#This Row],[Host Name]])=0,1,0)</f>
        <v>0</v>
      </c>
      <c r="X315" s="24">
        <f>IF(tblClean[[#This Row],[Missing Flag]]+tblClean[[#This Row],[Duplicate Flag]]+tblClean[[#This Row],[Negative Flag]]+tblClean[[#This Row],[Duration Flag]]+tblClean[[#This Row],[Host Flag]]=0,1,0)</f>
        <v>1</v>
      </c>
    </row>
    <row r="316" spans="1:24" x14ac:dyDescent="0.3">
      <c r="A316" s="9" t="str">
        <f>TRIM('Raw Data'!A312)</f>
        <v>LS-0308</v>
      </c>
      <c r="B316" s="10">
        <f>IF(ISNUMBER('Raw Data'!B312),INT('Raw Data'!B312),IFERROR(DATEVALUE('Raw Data'!B312),""))</f>
        <v>45885</v>
      </c>
      <c r="C316" s="9" t="str">
        <f>PROPER(TRIM('Raw Data'!C312))</f>
        <v>Bianca Reyes</v>
      </c>
      <c r="D316" s="11">
        <f>IF(ISNUMBER('Raw Data'!D312),MOD('Raw Data'!D312,1),IFERROR(TIMEVALUE('Raw Data'!D312),""))</f>
        <v>0.41666666666666669</v>
      </c>
      <c r="E316" s="11">
        <f>IF(ISNUMBER('Raw Data'!E312),MOD('Raw Data'!E312,1),IFERROR(TIMEVALUE('Raw Data'!E312),""))</f>
        <v>0.54166666666666663</v>
      </c>
      <c r="F316" s="12">
        <f>IF(ISNUMBER('Raw Data'!F312),'Raw Data'!F312,IFERROR(VALUE(SUBSTITUTE('Raw Data'!F312,",","")),""))</f>
        <v>33471</v>
      </c>
      <c r="G316" s="13">
        <f>IF(ISNUMBER('Raw Data'!G312),'Raw Data'!G312,IFERROR(VALUE(SUBSTITUTE('Raw Data'!G312,",","")),""))</f>
        <v>112</v>
      </c>
      <c r="H316" s="13">
        <f>IF(ISNUMBER('Raw Data'!H312),'Raw Data'!H312,IFERROR(VALUE(SUBSTITUTE('Raw Data'!H312,",","")),""))</f>
        <v>66517</v>
      </c>
      <c r="I316" s="13">
        <f>IF(ISNUMBER('Raw Data'!I312),'Raw Data'!I312,IFERROR(VALUE(SUBSTITUTE('Raw Data'!I312,",","")),""))</f>
        <v>505</v>
      </c>
      <c r="J316" s="21">
        <f>IF(AND(ISNUMBER(tblClean[[#This Row],[Start Time]]),ISNUMBER(tblClean[[#This Row],[End Time]])),ROUND(MOD(tblClean[[#This Row],[End Time]]-tblClean[[#This Row],[Start Time]],1)*24,2),"")</f>
        <v>3</v>
      </c>
      <c r="K316" s="12">
        <f>IF(AND(ISNUMBER(tblClean[[#This Row],[Duration Hours]]),ISNUMBER(tblClean[[#This Row],[Attributed GMV PHP]])),IF(tblClean[[#This Row],[Duration Hours]]&gt;0,tblClean[[#This Row],[Attributed GMV PHP]]/tblClean[[#This Row],[Duration Hours]],""),"")</f>
        <v>11157</v>
      </c>
      <c r="L316" s="22">
        <f>IF(ISNUMBER(tblClean[[#This Row],[Date]]),DATE(YEAR(tblClean[[#This Row],[Date]]),MONTH(tblClean[[#This Row],[Date]]),1),"")</f>
        <v>45870</v>
      </c>
      <c r="M316" s="10">
        <f>IF(ISNUMBER(tblClean[[#This Row],[Date]]),tblClean[[#This Row],[Date]]-WEEKDAY(tblClean[[#This Row],[Date]],2)+1,"")</f>
        <v>45880</v>
      </c>
      <c r="N316" s="23">
        <f>IF(ISNUMBER(tblClean[[#This Row],[Week Start]]),(tblClean[[#This Row],[Week Start]]-MIN(tblClean[Week Start]))/7+1,"")</f>
        <v>11</v>
      </c>
      <c r="O316" s="24" t="str">
        <f>IF(ISNUMBER(tblClean[[#This Row],[Date]]),CHOOSE(WEEKDAY(tblClean[[#This Row],[Date]],2),"Mon","Tue","Wed","Thu","Fri","Sat","Sun"),"")</f>
        <v>Sat</v>
      </c>
      <c r="P316" s="24" t="str">
        <f>IF(ISNUMBER(tblClean[[#This Row],[Date]]),IF(WEEKDAY(tblClean[[#This Row],[Date]],2)&gt;=6,"Weekend","Weekday"),"")</f>
        <v>Weekend</v>
      </c>
      <c r="Q31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16" s="9" t="str">
        <f>IF(ISNUMBER(tblClean[[#This Row],[Duration Hours]]),IF(tblClean[[#This Row],[Duration Hours]]&lt;2,"Short (under 2h)",IF(tblClean[[#This Row],[Duration Hours]]&lt;3,"Standard (2h to under 3h)","Long (3h or more)")),"")</f>
        <v>Long (3h or more)</v>
      </c>
      <c r="S31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16" s="24">
        <f>IF(COUNTIF(tblClean[Session ID],tblClean[[#This Row],[Session ID]])&gt;1,1,0)</f>
        <v>0</v>
      </c>
      <c r="U316" s="24">
        <f>IF(OR(N(tblClean[[#This Row],[Attributed GMV PHP]])&lt;0,N(tblClean[[#This Row],[Items Sold]])&lt;0,N(tblClean[[#This Row],[Livestream Views]])&lt;0,N(tblClean[[#This Row],[New Followers]])&lt;0),1,0)</f>
        <v>0</v>
      </c>
      <c r="V316" s="24">
        <f>IF(ISNUMBER(tblClean[[#This Row],[Duration Hours]]),IF(OR(tblClean[[#This Row],[Duration Hours]]&lt;=0,tblClean[[#This Row],[Duration Hours]]&gt;12),1,0),1)</f>
        <v>0</v>
      </c>
      <c r="W316" s="24">
        <f>IF(COUNTIF(HostRoster,tblClean[[#This Row],[Host Name]])=0,1,0)</f>
        <v>0</v>
      </c>
      <c r="X316" s="24">
        <f>IF(tblClean[[#This Row],[Missing Flag]]+tblClean[[#This Row],[Duplicate Flag]]+tblClean[[#This Row],[Negative Flag]]+tblClean[[#This Row],[Duration Flag]]+tblClean[[#This Row],[Host Flag]]=0,1,0)</f>
        <v>1</v>
      </c>
    </row>
    <row r="317" spans="1:24" x14ac:dyDescent="0.3">
      <c r="A317" s="9" t="str">
        <f>TRIM('Raw Data'!A313)</f>
        <v>LS-0309</v>
      </c>
      <c r="B317" s="10">
        <f>IF(ISNUMBER('Raw Data'!B313),INT('Raw Data'!B313),IFERROR(DATEVALUE('Raw Data'!B313),""))</f>
        <v>45885</v>
      </c>
      <c r="C317" s="9" t="str">
        <f>PROPER(TRIM('Raw Data'!C313))</f>
        <v>Carlo Mendoza</v>
      </c>
      <c r="D317" s="11">
        <f>IF(ISNUMBER('Raw Data'!D313),MOD('Raw Data'!D313,1),IFERROR(TIMEVALUE('Raw Data'!D313),""))</f>
        <v>0.54166666666666663</v>
      </c>
      <c r="E317" s="11">
        <f>IF(ISNUMBER('Raw Data'!E313),MOD('Raw Data'!E313,1),IFERROR(TIMEVALUE('Raw Data'!E313),""))</f>
        <v>0.625</v>
      </c>
      <c r="F317" s="12">
        <f>IF(ISNUMBER('Raw Data'!F313),'Raw Data'!F313,IFERROR(VALUE(SUBSTITUTE('Raw Data'!F313,",","")),""))</f>
        <v>38520</v>
      </c>
      <c r="G317" s="13">
        <f>IF(ISNUMBER('Raw Data'!G313),'Raw Data'!G313,IFERROR(VALUE(SUBSTITUTE('Raw Data'!G313,",","")),""))</f>
        <v>108</v>
      </c>
      <c r="H317" s="13">
        <f>IF(ISNUMBER('Raw Data'!H313),'Raw Data'!H313,IFERROR(VALUE(SUBSTITUTE('Raw Data'!H313,",","")),""))</f>
        <v>87911</v>
      </c>
      <c r="I317" s="13">
        <f>IF(ISNUMBER('Raw Data'!I313),'Raw Data'!I313,IFERROR(VALUE(SUBSTITUTE('Raw Data'!I313,",","")),""))</f>
        <v>1028</v>
      </c>
      <c r="J317" s="21">
        <f>IF(AND(ISNUMBER(tblClean[[#This Row],[Start Time]]),ISNUMBER(tblClean[[#This Row],[End Time]])),ROUND(MOD(tblClean[[#This Row],[End Time]]-tblClean[[#This Row],[Start Time]],1)*24,2),"")</f>
        <v>2</v>
      </c>
      <c r="K317" s="12">
        <f>IF(AND(ISNUMBER(tblClean[[#This Row],[Duration Hours]]),ISNUMBER(tblClean[[#This Row],[Attributed GMV PHP]])),IF(tblClean[[#This Row],[Duration Hours]]&gt;0,tblClean[[#This Row],[Attributed GMV PHP]]/tblClean[[#This Row],[Duration Hours]],""),"")</f>
        <v>19260</v>
      </c>
      <c r="L317" s="22">
        <f>IF(ISNUMBER(tblClean[[#This Row],[Date]]),DATE(YEAR(tblClean[[#This Row],[Date]]),MONTH(tblClean[[#This Row],[Date]]),1),"")</f>
        <v>45870</v>
      </c>
      <c r="M317" s="10">
        <f>IF(ISNUMBER(tblClean[[#This Row],[Date]]),tblClean[[#This Row],[Date]]-WEEKDAY(tblClean[[#This Row],[Date]],2)+1,"")</f>
        <v>45880</v>
      </c>
      <c r="N317" s="23">
        <f>IF(ISNUMBER(tblClean[[#This Row],[Week Start]]),(tblClean[[#This Row],[Week Start]]-MIN(tblClean[Week Start]))/7+1,"")</f>
        <v>11</v>
      </c>
      <c r="O317" s="24" t="str">
        <f>IF(ISNUMBER(tblClean[[#This Row],[Date]]),CHOOSE(WEEKDAY(tblClean[[#This Row],[Date]],2),"Mon","Tue","Wed","Thu","Fri","Sat","Sun"),"")</f>
        <v>Sat</v>
      </c>
      <c r="P317" s="24" t="str">
        <f>IF(ISNUMBER(tblClean[[#This Row],[Date]]),IF(WEEKDAY(tblClean[[#This Row],[Date]],2)&gt;=6,"Weekend","Weekday"),"")</f>
        <v>Weekend</v>
      </c>
      <c r="Q31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17" s="9" t="str">
        <f>IF(ISNUMBER(tblClean[[#This Row],[Duration Hours]]),IF(tblClean[[#This Row],[Duration Hours]]&lt;2,"Short (under 2h)",IF(tblClean[[#This Row],[Duration Hours]]&lt;3,"Standard (2h to under 3h)","Long (3h or more)")),"")</f>
        <v>Standard (2h to under 3h)</v>
      </c>
      <c r="S31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17" s="24">
        <f>IF(COUNTIF(tblClean[Session ID],tblClean[[#This Row],[Session ID]])&gt;1,1,0)</f>
        <v>0</v>
      </c>
      <c r="U317" s="24">
        <f>IF(OR(N(tblClean[[#This Row],[Attributed GMV PHP]])&lt;0,N(tblClean[[#This Row],[Items Sold]])&lt;0,N(tblClean[[#This Row],[Livestream Views]])&lt;0,N(tblClean[[#This Row],[New Followers]])&lt;0),1,0)</f>
        <v>0</v>
      </c>
      <c r="V317" s="24">
        <f>IF(ISNUMBER(tblClean[[#This Row],[Duration Hours]]),IF(OR(tblClean[[#This Row],[Duration Hours]]&lt;=0,tblClean[[#This Row],[Duration Hours]]&gt;12),1,0),1)</f>
        <v>0</v>
      </c>
      <c r="W317" s="24">
        <f>IF(COUNTIF(HostRoster,tblClean[[#This Row],[Host Name]])=0,1,0)</f>
        <v>0</v>
      </c>
      <c r="X317" s="24">
        <f>IF(tblClean[[#This Row],[Missing Flag]]+tblClean[[#This Row],[Duplicate Flag]]+tblClean[[#This Row],[Negative Flag]]+tblClean[[#This Row],[Duration Flag]]+tblClean[[#This Row],[Host Flag]]=0,1,0)</f>
        <v>1</v>
      </c>
    </row>
    <row r="318" spans="1:24" x14ac:dyDescent="0.3">
      <c r="A318" s="9" t="str">
        <f>TRIM('Raw Data'!A314)</f>
        <v>LS-0310</v>
      </c>
      <c r="B318" s="10">
        <f>IF(ISNUMBER('Raw Data'!B314),INT('Raw Data'!B314),IFERROR(DATEVALUE('Raw Data'!B314),""))</f>
        <v>45885</v>
      </c>
      <c r="C318" s="9" t="str">
        <f>PROPER(TRIM('Raw Data'!C314))</f>
        <v>Carlo Mendoza</v>
      </c>
      <c r="D318" s="11">
        <f>IF(ISNUMBER('Raw Data'!D314),MOD('Raw Data'!D314,1),IFERROR(TIMEVALUE('Raw Data'!D314),""))</f>
        <v>0.66666666666666663</v>
      </c>
      <c r="E318" s="11">
        <f>IF(ISNUMBER('Raw Data'!E314),MOD('Raw Data'!E314,1),IFERROR(TIMEVALUE('Raw Data'!E314),""))</f>
        <v>0.72916666666666663</v>
      </c>
      <c r="F318" s="12">
        <f>IF(ISNUMBER('Raw Data'!F314),'Raw Data'!F314,IFERROR(VALUE(SUBSTITUTE('Raw Data'!F314,",","")),""))</f>
        <v>18975</v>
      </c>
      <c r="G318" s="13">
        <f>IF(ISNUMBER('Raw Data'!G314),'Raw Data'!G314,IFERROR(VALUE(SUBSTITUTE('Raw Data'!G314,",","")),""))</f>
        <v>56</v>
      </c>
      <c r="H318" s="13">
        <f>IF(ISNUMBER('Raw Data'!H314),'Raw Data'!H314,IFERROR(VALUE(SUBSTITUTE('Raw Data'!H314,",","")),""))</f>
        <v>58214</v>
      </c>
      <c r="I318" s="13">
        <f>IF(ISNUMBER('Raw Data'!I314),'Raw Data'!I314,IFERROR(VALUE(SUBSTITUTE('Raw Data'!I314,",","")),""))</f>
        <v>512</v>
      </c>
      <c r="J318" s="21">
        <f>IF(AND(ISNUMBER(tblClean[[#This Row],[Start Time]]),ISNUMBER(tblClean[[#This Row],[End Time]])),ROUND(MOD(tblClean[[#This Row],[End Time]]-tblClean[[#This Row],[Start Time]],1)*24,2),"")</f>
        <v>1.5</v>
      </c>
      <c r="K318" s="12">
        <f>IF(AND(ISNUMBER(tblClean[[#This Row],[Duration Hours]]),ISNUMBER(tblClean[[#This Row],[Attributed GMV PHP]])),IF(tblClean[[#This Row],[Duration Hours]]&gt;0,tblClean[[#This Row],[Attributed GMV PHP]]/tblClean[[#This Row],[Duration Hours]],""),"")</f>
        <v>12650</v>
      </c>
      <c r="L318" s="22">
        <f>IF(ISNUMBER(tblClean[[#This Row],[Date]]),DATE(YEAR(tblClean[[#This Row],[Date]]),MONTH(tblClean[[#This Row],[Date]]),1),"")</f>
        <v>45870</v>
      </c>
      <c r="M318" s="10">
        <f>IF(ISNUMBER(tblClean[[#This Row],[Date]]),tblClean[[#This Row],[Date]]-WEEKDAY(tblClean[[#This Row],[Date]],2)+1,"")</f>
        <v>45880</v>
      </c>
      <c r="N318" s="23">
        <f>IF(ISNUMBER(tblClean[[#This Row],[Week Start]]),(tblClean[[#This Row],[Week Start]]-MIN(tblClean[Week Start]))/7+1,"")</f>
        <v>11</v>
      </c>
      <c r="O318" s="24" t="str">
        <f>IF(ISNUMBER(tblClean[[#This Row],[Date]]),CHOOSE(WEEKDAY(tblClean[[#This Row],[Date]],2),"Mon","Tue","Wed","Thu","Fri","Sat","Sun"),"")</f>
        <v>Sat</v>
      </c>
      <c r="P318" s="24" t="str">
        <f>IF(ISNUMBER(tblClean[[#This Row],[Date]]),IF(WEEKDAY(tblClean[[#This Row],[Date]],2)&gt;=6,"Weekend","Weekday"),"")</f>
        <v>Weekend</v>
      </c>
      <c r="Q31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18" s="9" t="str">
        <f>IF(ISNUMBER(tblClean[[#This Row],[Duration Hours]]),IF(tblClean[[#This Row],[Duration Hours]]&lt;2,"Short (under 2h)",IF(tblClean[[#This Row],[Duration Hours]]&lt;3,"Standard (2h to under 3h)","Long (3h or more)")),"")</f>
        <v>Short (under 2h)</v>
      </c>
      <c r="S31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18" s="24">
        <f>IF(COUNTIF(tblClean[Session ID],tblClean[[#This Row],[Session ID]])&gt;1,1,0)</f>
        <v>0</v>
      </c>
      <c r="U318" s="24">
        <f>IF(OR(N(tblClean[[#This Row],[Attributed GMV PHP]])&lt;0,N(tblClean[[#This Row],[Items Sold]])&lt;0,N(tblClean[[#This Row],[Livestream Views]])&lt;0,N(tblClean[[#This Row],[New Followers]])&lt;0),1,0)</f>
        <v>0</v>
      </c>
      <c r="V318" s="24">
        <f>IF(ISNUMBER(tblClean[[#This Row],[Duration Hours]]),IF(OR(tblClean[[#This Row],[Duration Hours]]&lt;=0,tblClean[[#This Row],[Duration Hours]]&gt;12),1,0),1)</f>
        <v>0</v>
      </c>
      <c r="W318" s="24">
        <f>IF(COUNTIF(HostRoster,tblClean[[#This Row],[Host Name]])=0,1,0)</f>
        <v>0</v>
      </c>
      <c r="X318" s="24">
        <f>IF(tblClean[[#This Row],[Missing Flag]]+tblClean[[#This Row],[Duplicate Flag]]+tblClean[[#This Row],[Negative Flag]]+tblClean[[#This Row],[Duration Flag]]+tblClean[[#This Row],[Host Flag]]=0,1,0)</f>
        <v>1</v>
      </c>
    </row>
    <row r="319" spans="1:24" x14ac:dyDescent="0.3">
      <c r="A319" s="9" t="str">
        <f>TRIM('Raw Data'!A315)</f>
        <v>LS-0311</v>
      </c>
      <c r="B319" s="10">
        <f>IF(ISNUMBER('Raw Data'!B315),INT('Raw Data'!B315),IFERROR(DATEVALUE('Raw Data'!B315),""))</f>
        <v>45885</v>
      </c>
      <c r="C319" s="9" t="str">
        <f>PROPER(TRIM('Raw Data'!C315))</f>
        <v>Aira Valdez</v>
      </c>
      <c r="D319" s="11">
        <f>IF(ISNUMBER('Raw Data'!D315),MOD('Raw Data'!D315,1),IFERROR(TIMEVALUE('Raw Data'!D315),""))</f>
        <v>0.79166666666666663</v>
      </c>
      <c r="E319" s="11">
        <f>IF(ISNUMBER('Raw Data'!E315),MOD('Raw Data'!E315,1),IFERROR(TIMEVALUE('Raw Data'!E315),""))</f>
        <v>0.85416666666666663</v>
      </c>
      <c r="F319" s="12">
        <f>IF(ISNUMBER('Raw Data'!F315),'Raw Data'!F315,IFERROR(VALUE(SUBSTITUTE('Raw Data'!F315,",","")),""))</f>
        <v>40059</v>
      </c>
      <c r="G319" s="13">
        <f>IF(ISNUMBER('Raw Data'!G315),'Raw Data'!G315,IFERROR(VALUE(SUBSTITUTE('Raw Data'!G315,",","")),""))</f>
        <v>124</v>
      </c>
      <c r="H319" s="13">
        <f>IF(ISNUMBER('Raw Data'!H315),'Raw Data'!H315,IFERROR(VALUE(SUBSTITUTE('Raw Data'!H315,",","")),""))</f>
        <v>119053</v>
      </c>
      <c r="I319" s="13">
        <f>IF(ISNUMBER('Raw Data'!I315),'Raw Data'!I315,IFERROR(VALUE(SUBSTITUTE('Raw Data'!I315,",","")),""))</f>
        <v>894</v>
      </c>
      <c r="J319" s="21">
        <f>IF(AND(ISNUMBER(tblClean[[#This Row],[Start Time]]),ISNUMBER(tblClean[[#This Row],[End Time]])),ROUND(MOD(tblClean[[#This Row],[End Time]]-tblClean[[#This Row],[Start Time]],1)*24,2),"")</f>
        <v>1.5</v>
      </c>
      <c r="K319" s="12">
        <f>IF(AND(ISNUMBER(tblClean[[#This Row],[Duration Hours]]),ISNUMBER(tblClean[[#This Row],[Attributed GMV PHP]])),IF(tblClean[[#This Row],[Duration Hours]]&gt;0,tblClean[[#This Row],[Attributed GMV PHP]]/tblClean[[#This Row],[Duration Hours]],""),"")</f>
        <v>26706</v>
      </c>
      <c r="L319" s="22">
        <f>IF(ISNUMBER(tblClean[[#This Row],[Date]]),DATE(YEAR(tblClean[[#This Row],[Date]]),MONTH(tblClean[[#This Row],[Date]]),1),"")</f>
        <v>45870</v>
      </c>
      <c r="M319" s="10">
        <f>IF(ISNUMBER(tblClean[[#This Row],[Date]]),tblClean[[#This Row],[Date]]-WEEKDAY(tblClean[[#This Row],[Date]],2)+1,"")</f>
        <v>45880</v>
      </c>
      <c r="N319" s="23">
        <f>IF(ISNUMBER(tblClean[[#This Row],[Week Start]]),(tblClean[[#This Row],[Week Start]]-MIN(tblClean[Week Start]))/7+1,"")</f>
        <v>11</v>
      </c>
      <c r="O319" s="24" t="str">
        <f>IF(ISNUMBER(tblClean[[#This Row],[Date]]),CHOOSE(WEEKDAY(tblClean[[#This Row],[Date]],2),"Mon","Tue","Wed","Thu","Fri","Sat","Sun"),"")</f>
        <v>Sat</v>
      </c>
      <c r="P319" s="24" t="str">
        <f>IF(ISNUMBER(tblClean[[#This Row],[Date]]),IF(WEEKDAY(tblClean[[#This Row],[Date]],2)&gt;=6,"Weekend","Weekday"),"")</f>
        <v>Weekend</v>
      </c>
      <c r="Q31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19" s="9" t="str">
        <f>IF(ISNUMBER(tblClean[[#This Row],[Duration Hours]]),IF(tblClean[[#This Row],[Duration Hours]]&lt;2,"Short (under 2h)",IF(tblClean[[#This Row],[Duration Hours]]&lt;3,"Standard (2h to under 3h)","Long (3h or more)")),"")</f>
        <v>Short (under 2h)</v>
      </c>
      <c r="S31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19" s="24">
        <f>IF(COUNTIF(tblClean[Session ID],tblClean[[#This Row],[Session ID]])&gt;1,1,0)</f>
        <v>0</v>
      </c>
      <c r="U319" s="24">
        <f>IF(OR(N(tblClean[[#This Row],[Attributed GMV PHP]])&lt;0,N(tblClean[[#This Row],[Items Sold]])&lt;0,N(tblClean[[#This Row],[Livestream Views]])&lt;0,N(tblClean[[#This Row],[New Followers]])&lt;0),1,0)</f>
        <v>0</v>
      </c>
      <c r="V319" s="24">
        <f>IF(ISNUMBER(tblClean[[#This Row],[Duration Hours]]),IF(OR(tblClean[[#This Row],[Duration Hours]]&lt;=0,tblClean[[#This Row],[Duration Hours]]&gt;12),1,0),1)</f>
        <v>0</v>
      </c>
      <c r="W319" s="24">
        <f>IF(COUNTIF(HostRoster,tblClean[[#This Row],[Host Name]])=0,1,0)</f>
        <v>0</v>
      </c>
      <c r="X319" s="24">
        <f>IF(tblClean[[#This Row],[Missing Flag]]+tblClean[[#This Row],[Duplicate Flag]]+tblClean[[#This Row],[Negative Flag]]+tblClean[[#This Row],[Duration Flag]]+tblClean[[#This Row],[Host Flag]]=0,1,0)</f>
        <v>1</v>
      </c>
    </row>
    <row r="320" spans="1:24" x14ac:dyDescent="0.3">
      <c r="A320" s="9" t="str">
        <f>TRIM('Raw Data'!A316)</f>
        <v>LS-0312</v>
      </c>
      <c r="B320" s="10">
        <f>IF(ISNUMBER('Raw Data'!B316),INT('Raw Data'!B316),IFERROR(DATEVALUE('Raw Data'!B316),""))</f>
        <v>45885</v>
      </c>
      <c r="C320" s="9" t="str">
        <f>PROPER(TRIM('Raw Data'!C316))</f>
        <v>Bianca Reyes</v>
      </c>
      <c r="D320" s="11">
        <f>IF(ISNUMBER('Raw Data'!D316),MOD('Raw Data'!D316,1),IFERROR(TIMEVALUE('Raw Data'!D316),""))</f>
        <v>0.91666666666666663</v>
      </c>
      <c r="E320" s="11">
        <f>IF(ISNUMBER('Raw Data'!E316),MOD('Raw Data'!E316,1),IFERROR(TIMEVALUE('Raw Data'!E316),""))</f>
        <v>0</v>
      </c>
      <c r="F320" s="12">
        <f>IF(ISNUMBER('Raw Data'!F316),'Raw Data'!F316,IFERROR(VALUE(SUBSTITUTE('Raw Data'!F316,",","")),""))</f>
        <v>27311</v>
      </c>
      <c r="G320" s="13">
        <f>IF(ISNUMBER('Raw Data'!G316),'Raw Data'!G316,IFERROR(VALUE(SUBSTITUTE('Raw Data'!G316,",","")),""))</f>
        <v>97</v>
      </c>
      <c r="H320" s="13">
        <f>IF(ISNUMBER('Raw Data'!H316),'Raw Data'!H316,IFERROR(VALUE(SUBSTITUTE('Raw Data'!H316,",","")),""))</f>
        <v>54597</v>
      </c>
      <c r="I320" s="13">
        <f>IF(ISNUMBER('Raw Data'!I316),'Raw Data'!I316,IFERROR(VALUE(SUBSTITUTE('Raw Data'!I316,",","")),""))</f>
        <v>443</v>
      </c>
      <c r="J320" s="21">
        <f>IF(AND(ISNUMBER(tblClean[[#This Row],[Start Time]]),ISNUMBER(tblClean[[#This Row],[End Time]])),ROUND(MOD(tblClean[[#This Row],[End Time]]-tblClean[[#This Row],[Start Time]],1)*24,2),"")</f>
        <v>2</v>
      </c>
      <c r="K320" s="12">
        <f>IF(AND(ISNUMBER(tblClean[[#This Row],[Duration Hours]]),ISNUMBER(tblClean[[#This Row],[Attributed GMV PHP]])),IF(tblClean[[#This Row],[Duration Hours]]&gt;0,tblClean[[#This Row],[Attributed GMV PHP]]/tblClean[[#This Row],[Duration Hours]],""),"")</f>
        <v>13655.5</v>
      </c>
      <c r="L320" s="22">
        <f>IF(ISNUMBER(tblClean[[#This Row],[Date]]),DATE(YEAR(tblClean[[#This Row],[Date]]),MONTH(tblClean[[#This Row],[Date]]),1),"")</f>
        <v>45870</v>
      </c>
      <c r="M320" s="10">
        <f>IF(ISNUMBER(tblClean[[#This Row],[Date]]),tblClean[[#This Row],[Date]]-WEEKDAY(tblClean[[#This Row],[Date]],2)+1,"")</f>
        <v>45880</v>
      </c>
      <c r="N320" s="23">
        <f>IF(ISNUMBER(tblClean[[#This Row],[Week Start]]),(tblClean[[#This Row],[Week Start]]-MIN(tblClean[Week Start]))/7+1,"")</f>
        <v>11</v>
      </c>
      <c r="O320" s="24" t="str">
        <f>IF(ISNUMBER(tblClean[[#This Row],[Date]]),CHOOSE(WEEKDAY(tblClean[[#This Row],[Date]],2),"Mon","Tue","Wed","Thu","Fri","Sat","Sun"),"")</f>
        <v>Sat</v>
      </c>
      <c r="P320" s="24" t="str">
        <f>IF(ISNUMBER(tblClean[[#This Row],[Date]]),IF(WEEKDAY(tblClean[[#This Row],[Date]],2)&gt;=6,"Weekend","Weekday"),"")</f>
        <v>Weekend</v>
      </c>
      <c r="Q32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20" s="9" t="str">
        <f>IF(ISNUMBER(tblClean[[#This Row],[Duration Hours]]),IF(tblClean[[#This Row],[Duration Hours]]&lt;2,"Short (under 2h)",IF(tblClean[[#This Row],[Duration Hours]]&lt;3,"Standard (2h to under 3h)","Long (3h or more)")),"")</f>
        <v>Standard (2h to under 3h)</v>
      </c>
      <c r="S32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20" s="24">
        <f>IF(COUNTIF(tblClean[Session ID],tblClean[[#This Row],[Session ID]])&gt;1,1,0)</f>
        <v>0</v>
      </c>
      <c r="U320" s="24">
        <f>IF(OR(N(tblClean[[#This Row],[Attributed GMV PHP]])&lt;0,N(tblClean[[#This Row],[Items Sold]])&lt;0,N(tblClean[[#This Row],[Livestream Views]])&lt;0,N(tblClean[[#This Row],[New Followers]])&lt;0),1,0)</f>
        <v>0</v>
      </c>
      <c r="V320" s="24">
        <f>IF(ISNUMBER(tblClean[[#This Row],[Duration Hours]]),IF(OR(tblClean[[#This Row],[Duration Hours]]&lt;=0,tblClean[[#This Row],[Duration Hours]]&gt;12),1,0),1)</f>
        <v>0</v>
      </c>
      <c r="W320" s="24">
        <f>IF(COUNTIF(HostRoster,tblClean[[#This Row],[Host Name]])=0,1,0)</f>
        <v>0</v>
      </c>
      <c r="X320" s="24">
        <f>IF(tblClean[[#This Row],[Missing Flag]]+tblClean[[#This Row],[Duplicate Flag]]+tblClean[[#This Row],[Negative Flag]]+tblClean[[#This Row],[Duration Flag]]+tblClean[[#This Row],[Host Flag]]=0,1,0)</f>
        <v>1</v>
      </c>
    </row>
    <row r="321" spans="1:24" x14ac:dyDescent="0.3">
      <c r="A321" s="9" t="str">
        <f>TRIM('Raw Data'!A317)</f>
        <v>LS-0313</v>
      </c>
      <c r="B321" s="10">
        <f>IF(ISNUMBER('Raw Data'!B317),INT('Raw Data'!B317),IFERROR(DATEVALUE('Raw Data'!B317),""))</f>
        <v>45886</v>
      </c>
      <c r="C321" s="9" t="str">
        <f>PROPER(TRIM('Raw Data'!C317))</f>
        <v>Bianca Reyes</v>
      </c>
      <c r="D321" s="11">
        <f>IF(ISNUMBER('Raw Data'!D317),MOD('Raw Data'!D317,1),IFERROR(TIMEVALUE('Raw Data'!D317),""))</f>
        <v>0.41666666666666669</v>
      </c>
      <c r="E321" s="11">
        <f>IF(ISNUMBER('Raw Data'!E317),MOD('Raw Data'!E317,1),IFERROR(TIMEVALUE('Raw Data'!E317),""))</f>
        <v>0.54166666666666663</v>
      </c>
      <c r="F321" s="12">
        <f>IF(ISNUMBER('Raw Data'!F317),'Raw Data'!F317,IFERROR(VALUE(SUBSTITUTE('Raw Data'!F317,",","")),""))</f>
        <v>26161</v>
      </c>
      <c r="G321" s="13">
        <f>IF(ISNUMBER('Raw Data'!G317),'Raw Data'!G317,IFERROR(VALUE(SUBSTITUTE('Raw Data'!G317,",","")),""))</f>
        <v>85</v>
      </c>
      <c r="H321" s="13">
        <f>IF(ISNUMBER('Raw Data'!H317),'Raw Data'!H317,IFERROR(VALUE(SUBSTITUTE('Raw Data'!H317,",","")),""))</f>
        <v>65430</v>
      </c>
      <c r="I321" s="13">
        <f>IF(ISNUMBER('Raw Data'!I317),'Raw Data'!I317,IFERROR(VALUE(SUBSTITUTE('Raw Data'!I317,",","")),""))</f>
        <v>831</v>
      </c>
      <c r="J321" s="21">
        <f>IF(AND(ISNUMBER(tblClean[[#This Row],[Start Time]]),ISNUMBER(tblClean[[#This Row],[End Time]])),ROUND(MOD(tblClean[[#This Row],[End Time]]-tblClean[[#This Row],[Start Time]],1)*24,2),"")</f>
        <v>3</v>
      </c>
      <c r="K321" s="12">
        <f>IF(AND(ISNUMBER(tblClean[[#This Row],[Duration Hours]]),ISNUMBER(tblClean[[#This Row],[Attributed GMV PHP]])),IF(tblClean[[#This Row],[Duration Hours]]&gt;0,tblClean[[#This Row],[Attributed GMV PHP]]/tblClean[[#This Row],[Duration Hours]],""),"")</f>
        <v>8720.3333333333339</v>
      </c>
      <c r="L321" s="22">
        <f>IF(ISNUMBER(tblClean[[#This Row],[Date]]),DATE(YEAR(tblClean[[#This Row],[Date]]),MONTH(tblClean[[#This Row],[Date]]),1),"")</f>
        <v>45870</v>
      </c>
      <c r="M321" s="10">
        <f>IF(ISNUMBER(tblClean[[#This Row],[Date]]),tblClean[[#This Row],[Date]]-WEEKDAY(tblClean[[#This Row],[Date]],2)+1,"")</f>
        <v>45880</v>
      </c>
      <c r="N321" s="23">
        <f>IF(ISNUMBER(tblClean[[#This Row],[Week Start]]),(tblClean[[#This Row],[Week Start]]-MIN(tblClean[Week Start]))/7+1,"")</f>
        <v>11</v>
      </c>
      <c r="O321" s="24" t="str">
        <f>IF(ISNUMBER(tblClean[[#This Row],[Date]]),CHOOSE(WEEKDAY(tblClean[[#This Row],[Date]],2),"Mon","Tue","Wed","Thu","Fri","Sat","Sun"),"")</f>
        <v>Sun</v>
      </c>
      <c r="P321" s="24" t="str">
        <f>IF(ISNUMBER(tblClean[[#This Row],[Date]]),IF(WEEKDAY(tblClean[[#This Row],[Date]],2)&gt;=6,"Weekend","Weekday"),"")</f>
        <v>Weekend</v>
      </c>
      <c r="Q32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21" s="9" t="str">
        <f>IF(ISNUMBER(tblClean[[#This Row],[Duration Hours]]),IF(tblClean[[#This Row],[Duration Hours]]&lt;2,"Short (under 2h)",IF(tblClean[[#This Row],[Duration Hours]]&lt;3,"Standard (2h to under 3h)","Long (3h or more)")),"")</f>
        <v>Long (3h or more)</v>
      </c>
      <c r="S32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21" s="24">
        <f>IF(COUNTIF(tblClean[Session ID],tblClean[[#This Row],[Session ID]])&gt;1,1,0)</f>
        <v>0</v>
      </c>
      <c r="U321" s="24">
        <f>IF(OR(N(tblClean[[#This Row],[Attributed GMV PHP]])&lt;0,N(tblClean[[#This Row],[Items Sold]])&lt;0,N(tblClean[[#This Row],[Livestream Views]])&lt;0,N(tblClean[[#This Row],[New Followers]])&lt;0),1,0)</f>
        <v>0</v>
      </c>
      <c r="V321" s="24">
        <f>IF(ISNUMBER(tblClean[[#This Row],[Duration Hours]]),IF(OR(tblClean[[#This Row],[Duration Hours]]&lt;=0,tblClean[[#This Row],[Duration Hours]]&gt;12),1,0),1)</f>
        <v>0</v>
      </c>
      <c r="W321" s="24">
        <f>IF(COUNTIF(HostRoster,tblClean[[#This Row],[Host Name]])=0,1,0)</f>
        <v>0</v>
      </c>
      <c r="X321" s="24">
        <f>IF(tblClean[[#This Row],[Missing Flag]]+tblClean[[#This Row],[Duplicate Flag]]+tblClean[[#This Row],[Negative Flag]]+tblClean[[#This Row],[Duration Flag]]+tblClean[[#This Row],[Host Flag]]=0,1,0)</f>
        <v>1</v>
      </c>
    </row>
    <row r="322" spans="1:24" x14ac:dyDescent="0.3">
      <c r="A322" s="9" t="str">
        <f>TRIM('Raw Data'!A318)</f>
        <v>LS-0314</v>
      </c>
      <c r="B322" s="10">
        <f>IF(ISNUMBER('Raw Data'!B318),INT('Raw Data'!B318),IFERROR(DATEVALUE('Raw Data'!B318),""))</f>
        <v>45886</v>
      </c>
      <c r="C322" s="9" t="str">
        <f>PROPER(TRIM('Raw Data'!C318))</f>
        <v>Bianca Reyes</v>
      </c>
      <c r="D322" s="11">
        <f>IF(ISNUMBER('Raw Data'!D318),MOD('Raw Data'!D318,1),IFERROR(TIMEVALUE('Raw Data'!D318),""))</f>
        <v>0.54166666666666663</v>
      </c>
      <c r="E322" s="11">
        <f>IF(ISNUMBER('Raw Data'!E318),MOD('Raw Data'!E318,1),IFERROR(TIMEVALUE('Raw Data'!E318),""))</f>
        <v>0.66666666666666663</v>
      </c>
      <c r="F322" s="12">
        <f>IF(ISNUMBER('Raw Data'!F318),'Raw Data'!F318,IFERROR(VALUE(SUBSTITUTE('Raw Data'!F318,",","")),""))</f>
        <v>33972</v>
      </c>
      <c r="G322" s="13">
        <f>IF(ISNUMBER('Raw Data'!G318),'Raw Data'!G318,IFERROR(VALUE(SUBSTITUTE('Raw Data'!G318,",","")),""))</f>
        <v>84</v>
      </c>
      <c r="H322" s="13">
        <f>IF(ISNUMBER('Raw Data'!H318),'Raw Data'!H318,IFERROR(VALUE(SUBSTITUTE('Raw Data'!H318,",","")),""))</f>
        <v>149328</v>
      </c>
      <c r="I322" s="13">
        <f>IF(ISNUMBER('Raw Data'!I318),'Raw Data'!I318,IFERROR(VALUE(SUBSTITUTE('Raw Data'!I318,",","")),""))</f>
        <v>1266</v>
      </c>
      <c r="J322" s="21">
        <f>IF(AND(ISNUMBER(tblClean[[#This Row],[Start Time]]),ISNUMBER(tblClean[[#This Row],[End Time]])),ROUND(MOD(tblClean[[#This Row],[End Time]]-tblClean[[#This Row],[Start Time]],1)*24,2),"")</f>
        <v>3</v>
      </c>
      <c r="K322" s="12">
        <f>IF(AND(ISNUMBER(tblClean[[#This Row],[Duration Hours]]),ISNUMBER(tblClean[[#This Row],[Attributed GMV PHP]])),IF(tblClean[[#This Row],[Duration Hours]]&gt;0,tblClean[[#This Row],[Attributed GMV PHP]]/tblClean[[#This Row],[Duration Hours]],""),"")</f>
        <v>11324</v>
      </c>
      <c r="L322" s="22">
        <f>IF(ISNUMBER(tblClean[[#This Row],[Date]]),DATE(YEAR(tblClean[[#This Row],[Date]]),MONTH(tblClean[[#This Row],[Date]]),1),"")</f>
        <v>45870</v>
      </c>
      <c r="M322" s="10">
        <f>IF(ISNUMBER(tblClean[[#This Row],[Date]]),tblClean[[#This Row],[Date]]-WEEKDAY(tblClean[[#This Row],[Date]],2)+1,"")</f>
        <v>45880</v>
      </c>
      <c r="N322" s="23">
        <f>IF(ISNUMBER(tblClean[[#This Row],[Week Start]]),(tblClean[[#This Row],[Week Start]]-MIN(tblClean[Week Start]))/7+1,"")</f>
        <v>11</v>
      </c>
      <c r="O322" s="24" t="str">
        <f>IF(ISNUMBER(tblClean[[#This Row],[Date]]),CHOOSE(WEEKDAY(tblClean[[#This Row],[Date]],2),"Mon","Tue","Wed","Thu","Fri","Sat","Sun"),"")</f>
        <v>Sun</v>
      </c>
      <c r="P322" s="24" t="str">
        <f>IF(ISNUMBER(tblClean[[#This Row],[Date]]),IF(WEEKDAY(tblClean[[#This Row],[Date]],2)&gt;=6,"Weekend","Weekday"),"")</f>
        <v>Weekend</v>
      </c>
      <c r="Q32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22" s="9" t="str">
        <f>IF(ISNUMBER(tblClean[[#This Row],[Duration Hours]]),IF(tblClean[[#This Row],[Duration Hours]]&lt;2,"Short (under 2h)",IF(tblClean[[#This Row],[Duration Hours]]&lt;3,"Standard (2h to under 3h)","Long (3h or more)")),"")</f>
        <v>Long (3h or more)</v>
      </c>
      <c r="S32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22" s="24">
        <f>IF(COUNTIF(tblClean[Session ID],tblClean[[#This Row],[Session ID]])&gt;1,1,0)</f>
        <v>0</v>
      </c>
      <c r="U322" s="24">
        <f>IF(OR(N(tblClean[[#This Row],[Attributed GMV PHP]])&lt;0,N(tblClean[[#This Row],[Items Sold]])&lt;0,N(tblClean[[#This Row],[Livestream Views]])&lt;0,N(tblClean[[#This Row],[New Followers]])&lt;0),1,0)</f>
        <v>0</v>
      </c>
      <c r="V322" s="24">
        <f>IF(ISNUMBER(tblClean[[#This Row],[Duration Hours]]),IF(OR(tblClean[[#This Row],[Duration Hours]]&lt;=0,tblClean[[#This Row],[Duration Hours]]&gt;12),1,0),1)</f>
        <v>0</v>
      </c>
      <c r="W322" s="24">
        <f>IF(COUNTIF(HostRoster,tblClean[[#This Row],[Host Name]])=0,1,0)</f>
        <v>0</v>
      </c>
      <c r="X322" s="24">
        <f>IF(tblClean[[#This Row],[Missing Flag]]+tblClean[[#This Row],[Duplicate Flag]]+tblClean[[#This Row],[Negative Flag]]+tblClean[[#This Row],[Duration Flag]]+tblClean[[#This Row],[Host Flag]]=0,1,0)</f>
        <v>1</v>
      </c>
    </row>
    <row r="323" spans="1:24" x14ac:dyDescent="0.3">
      <c r="A323" s="9" t="str">
        <f>TRIM('Raw Data'!A319)</f>
        <v>LS-0315</v>
      </c>
      <c r="B323" s="10">
        <f>IF(ISNUMBER('Raw Data'!B319),INT('Raw Data'!B319),IFERROR(DATEVALUE('Raw Data'!B319),""))</f>
        <v>45886</v>
      </c>
      <c r="C323" s="9" t="str">
        <f>PROPER(TRIM('Raw Data'!C319))</f>
        <v>Elise Navarro</v>
      </c>
      <c r="D323" s="11">
        <f>IF(ISNUMBER('Raw Data'!D319),MOD('Raw Data'!D319,1),IFERROR(TIMEVALUE('Raw Data'!D319),""))</f>
        <v>0.66666666666666663</v>
      </c>
      <c r="E323" s="11">
        <f>IF(ISNUMBER('Raw Data'!E319),MOD('Raw Data'!E319,1),IFERROR(TIMEVALUE('Raw Data'!E319),""))</f>
        <v>0.79166666666666663</v>
      </c>
      <c r="F323" s="12">
        <f>IF(ISNUMBER('Raw Data'!F319),'Raw Data'!F319,IFERROR(VALUE(SUBSTITUTE('Raw Data'!F319,",","")),""))</f>
        <v>47979</v>
      </c>
      <c r="G323" s="13">
        <f>IF(ISNUMBER('Raw Data'!G319),'Raw Data'!G319,IFERROR(VALUE(SUBSTITUTE('Raw Data'!G319,",","")),""))</f>
        <v>150</v>
      </c>
      <c r="H323" s="13">
        <f>IF(ISNUMBER('Raw Data'!H319),'Raw Data'!H319,IFERROR(VALUE(SUBSTITUTE('Raw Data'!H319,",","")),""))</f>
        <v>223946</v>
      </c>
      <c r="I323" s="13">
        <f>IF(ISNUMBER('Raw Data'!I319),'Raw Data'!I319,IFERROR(VALUE(SUBSTITUTE('Raw Data'!I319,",","")),""))</f>
        <v>2296</v>
      </c>
      <c r="J323" s="21">
        <f>IF(AND(ISNUMBER(tblClean[[#This Row],[Start Time]]),ISNUMBER(tblClean[[#This Row],[End Time]])),ROUND(MOD(tblClean[[#This Row],[End Time]]-tblClean[[#This Row],[Start Time]],1)*24,2),"")</f>
        <v>3</v>
      </c>
      <c r="K323" s="12">
        <f>IF(AND(ISNUMBER(tblClean[[#This Row],[Duration Hours]]),ISNUMBER(tblClean[[#This Row],[Attributed GMV PHP]])),IF(tblClean[[#This Row],[Duration Hours]]&gt;0,tblClean[[#This Row],[Attributed GMV PHP]]/tblClean[[#This Row],[Duration Hours]],""),"")</f>
        <v>15993</v>
      </c>
      <c r="L323" s="22">
        <f>IF(ISNUMBER(tblClean[[#This Row],[Date]]),DATE(YEAR(tblClean[[#This Row],[Date]]),MONTH(tblClean[[#This Row],[Date]]),1),"")</f>
        <v>45870</v>
      </c>
      <c r="M323" s="10">
        <f>IF(ISNUMBER(tblClean[[#This Row],[Date]]),tblClean[[#This Row],[Date]]-WEEKDAY(tblClean[[#This Row],[Date]],2)+1,"")</f>
        <v>45880</v>
      </c>
      <c r="N323" s="23">
        <f>IF(ISNUMBER(tblClean[[#This Row],[Week Start]]),(tblClean[[#This Row],[Week Start]]-MIN(tblClean[Week Start]))/7+1,"")</f>
        <v>11</v>
      </c>
      <c r="O323" s="24" t="str">
        <f>IF(ISNUMBER(tblClean[[#This Row],[Date]]),CHOOSE(WEEKDAY(tblClean[[#This Row],[Date]],2),"Mon","Tue","Wed","Thu","Fri","Sat","Sun"),"")</f>
        <v>Sun</v>
      </c>
      <c r="P323" s="24" t="str">
        <f>IF(ISNUMBER(tblClean[[#This Row],[Date]]),IF(WEEKDAY(tblClean[[#This Row],[Date]],2)&gt;=6,"Weekend","Weekday"),"")</f>
        <v>Weekend</v>
      </c>
      <c r="Q32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23" s="9" t="str">
        <f>IF(ISNUMBER(tblClean[[#This Row],[Duration Hours]]),IF(tblClean[[#This Row],[Duration Hours]]&lt;2,"Short (under 2h)",IF(tblClean[[#This Row],[Duration Hours]]&lt;3,"Standard (2h to under 3h)","Long (3h or more)")),"")</f>
        <v>Long (3h or more)</v>
      </c>
      <c r="S32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23" s="24">
        <f>IF(COUNTIF(tblClean[Session ID],tblClean[[#This Row],[Session ID]])&gt;1,1,0)</f>
        <v>0</v>
      </c>
      <c r="U323" s="24">
        <f>IF(OR(N(tblClean[[#This Row],[Attributed GMV PHP]])&lt;0,N(tblClean[[#This Row],[Items Sold]])&lt;0,N(tblClean[[#This Row],[Livestream Views]])&lt;0,N(tblClean[[#This Row],[New Followers]])&lt;0),1,0)</f>
        <v>0</v>
      </c>
      <c r="V323" s="24">
        <f>IF(ISNUMBER(tblClean[[#This Row],[Duration Hours]]),IF(OR(tblClean[[#This Row],[Duration Hours]]&lt;=0,tblClean[[#This Row],[Duration Hours]]&gt;12),1,0),1)</f>
        <v>0</v>
      </c>
      <c r="W323" s="24">
        <f>IF(COUNTIF(HostRoster,tblClean[[#This Row],[Host Name]])=0,1,0)</f>
        <v>0</v>
      </c>
      <c r="X323" s="24">
        <f>IF(tblClean[[#This Row],[Missing Flag]]+tblClean[[#This Row],[Duplicate Flag]]+tblClean[[#This Row],[Negative Flag]]+tblClean[[#This Row],[Duration Flag]]+tblClean[[#This Row],[Host Flag]]=0,1,0)</f>
        <v>1</v>
      </c>
    </row>
    <row r="324" spans="1:24" x14ac:dyDescent="0.3">
      <c r="A324" s="9" t="str">
        <f>TRIM('Raw Data'!A320)</f>
        <v>LS-0316</v>
      </c>
      <c r="B324" s="10">
        <f>IF(ISNUMBER('Raw Data'!B320),INT('Raw Data'!B320),IFERROR(DATEVALUE('Raw Data'!B320),""))</f>
        <v>45886</v>
      </c>
      <c r="C324" s="9" t="str">
        <f>PROPER(TRIM('Raw Data'!C320))</f>
        <v>Carlo Mendoza</v>
      </c>
      <c r="D324" s="11">
        <f>IF(ISNUMBER('Raw Data'!D320),MOD('Raw Data'!D320,1),IFERROR(TIMEVALUE('Raw Data'!D320),""))</f>
        <v>0.79166666666666663</v>
      </c>
      <c r="E324" s="11">
        <f>IF(ISNUMBER('Raw Data'!E320),MOD('Raw Data'!E320,1),IFERROR(TIMEVALUE('Raw Data'!E320),""))</f>
        <v>0.91666666666666663</v>
      </c>
      <c r="F324" s="12">
        <f>IF(ISNUMBER('Raw Data'!F320),'Raw Data'!F320,IFERROR(VALUE(SUBSTITUTE('Raw Data'!F320,",","")),""))</f>
        <v>37124</v>
      </c>
      <c r="G324" s="13">
        <f>IF(ISNUMBER('Raw Data'!G320),'Raw Data'!G320,IFERROR(VALUE(SUBSTITUTE('Raw Data'!G320,",","")),""))</f>
        <v>111</v>
      </c>
      <c r="H324" s="13">
        <f>IF(ISNUMBER('Raw Data'!H320),'Raw Data'!H320,IFERROR(VALUE(SUBSTITUTE('Raw Data'!H320,",","")),""))</f>
        <v>110108</v>
      </c>
      <c r="I324" s="13">
        <f>IF(ISNUMBER('Raw Data'!I320),'Raw Data'!I320,IFERROR(VALUE(SUBSTITUTE('Raw Data'!I320,",","")),""))</f>
        <v>1003</v>
      </c>
      <c r="J324" s="21">
        <f>IF(AND(ISNUMBER(tblClean[[#This Row],[Start Time]]),ISNUMBER(tblClean[[#This Row],[End Time]])),ROUND(MOD(tblClean[[#This Row],[End Time]]-tblClean[[#This Row],[Start Time]],1)*24,2),"")</f>
        <v>3</v>
      </c>
      <c r="K324" s="12">
        <f>IF(AND(ISNUMBER(tblClean[[#This Row],[Duration Hours]]),ISNUMBER(tblClean[[#This Row],[Attributed GMV PHP]])),IF(tblClean[[#This Row],[Duration Hours]]&gt;0,tblClean[[#This Row],[Attributed GMV PHP]]/tblClean[[#This Row],[Duration Hours]],""),"")</f>
        <v>12374.666666666666</v>
      </c>
      <c r="L324" s="22">
        <f>IF(ISNUMBER(tblClean[[#This Row],[Date]]),DATE(YEAR(tblClean[[#This Row],[Date]]),MONTH(tblClean[[#This Row],[Date]]),1),"")</f>
        <v>45870</v>
      </c>
      <c r="M324" s="10">
        <f>IF(ISNUMBER(tblClean[[#This Row],[Date]]),tblClean[[#This Row],[Date]]-WEEKDAY(tblClean[[#This Row],[Date]],2)+1,"")</f>
        <v>45880</v>
      </c>
      <c r="N324" s="23">
        <f>IF(ISNUMBER(tblClean[[#This Row],[Week Start]]),(tblClean[[#This Row],[Week Start]]-MIN(tblClean[Week Start]))/7+1,"")</f>
        <v>11</v>
      </c>
      <c r="O324" s="24" t="str">
        <f>IF(ISNUMBER(tblClean[[#This Row],[Date]]),CHOOSE(WEEKDAY(tblClean[[#This Row],[Date]],2),"Mon","Tue","Wed","Thu","Fri","Sat","Sun"),"")</f>
        <v>Sun</v>
      </c>
      <c r="P324" s="24" t="str">
        <f>IF(ISNUMBER(tblClean[[#This Row],[Date]]),IF(WEEKDAY(tblClean[[#This Row],[Date]],2)&gt;=6,"Weekend","Weekday"),"")</f>
        <v>Weekend</v>
      </c>
      <c r="Q32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24" s="9" t="str">
        <f>IF(ISNUMBER(tblClean[[#This Row],[Duration Hours]]),IF(tblClean[[#This Row],[Duration Hours]]&lt;2,"Short (under 2h)",IF(tblClean[[#This Row],[Duration Hours]]&lt;3,"Standard (2h to under 3h)","Long (3h or more)")),"")</f>
        <v>Long (3h or more)</v>
      </c>
      <c r="S32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24" s="24">
        <f>IF(COUNTIF(tblClean[Session ID],tblClean[[#This Row],[Session ID]])&gt;1,1,0)</f>
        <v>0</v>
      </c>
      <c r="U324" s="24">
        <f>IF(OR(N(tblClean[[#This Row],[Attributed GMV PHP]])&lt;0,N(tblClean[[#This Row],[Items Sold]])&lt;0,N(tblClean[[#This Row],[Livestream Views]])&lt;0,N(tblClean[[#This Row],[New Followers]])&lt;0),1,0)</f>
        <v>0</v>
      </c>
      <c r="V324" s="24">
        <f>IF(ISNUMBER(tblClean[[#This Row],[Duration Hours]]),IF(OR(tblClean[[#This Row],[Duration Hours]]&lt;=0,tblClean[[#This Row],[Duration Hours]]&gt;12),1,0),1)</f>
        <v>0</v>
      </c>
      <c r="W324" s="24">
        <f>IF(COUNTIF(HostRoster,tblClean[[#This Row],[Host Name]])=0,1,0)</f>
        <v>0</v>
      </c>
      <c r="X324" s="24">
        <f>IF(tblClean[[#This Row],[Missing Flag]]+tblClean[[#This Row],[Duplicate Flag]]+tblClean[[#This Row],[Negative Flag]]+tblClean[[#This Row],[Duration Flag]]+tblClean[[#This Row],[Host Flag]]=0,1,0)</f>
        <v>1</v>
      </c>
    </row>
    <row r="325" spans="1:24" x14ac:dyDescent="0.3">
      <c r="A325" s="9" t="str">
        <f>TRIM('Raw Data'!A321)</f>
        <v>LS-0317</v>
      </c>
      <c r="B325" s="10">
        <f>IF(ISNUMBER('Raw Data'!B321),INT('Raw Data'!B321),IFERROR(DATEVALUE('Raw Data'!B321),""))</f>
        <v>45886</v>
      </c>
      <c r="C325" s="9" t="str">
        <f>PROPER(TRIM('Raw Data'!C321))</f>
        <v>Elise Navarro</v>
      </c>
      <c r="D325" s="11">
        <f>IF(ISNUMBER('Raw Data'!D321),MOD('Raw Data'!D321,1),IFERROR(TIMEVALUE('Raw Data'!D321),""))</f>
        <v>0.91666666666666663</v>
      </c>
      <c r="E325" s="11">
        <f>IF(ISNUMBER('Raw Data'!E321),MOD('Raw Data'!E321,1),IFERROR(TIMEVALUE('Raw Data'!E321),""))</f>
        <v>2.0833333333333329E-2</v>
      </c>
      <c r="F325" s="12">
        <f>IF(ISNUMBER('Raw Data'!F321),'Raw Data'!F321,IFERROR(VALUE(SUBSTITUTE('Raw Data'!F321,",","")),""))</f>
        <v>43315</v>
      </c>
      <c r="G325" s="13">
        <f>IF(ISNUMBER('Raw Data'!G321),'Raw Data'!G321,IFERROR(VALUE(SUBSTITUTE('Raw Data'!G321,",","")),""))</f>
        <v>140</v>
      </c>
      <c r="H325" s="13">
        <f>IF(ISNUMBER('Raw Data'!H321),'Raw Data'!H321,IFERROR(VALUE(SUBSTITUTE('Raw Data'!H321,",","")),""))</f>
        <v>133238</v>
      </c>
      <c r="I325" s="13">
        <f>IF(ISNUMBER('Raw Data'!I321),'Raw Data'!I321,IFERROR(VALUE(SUBSTITUTE('Raw Data'!I321,",","")),""))</f>
        <v>876</v>
      </c>
      <c r="J325" s="21">
        <f>IF(AND(ISNUMBER(tblClean[[#This Row],[Start Time]]),ISNUMBER(tblClean[[#This Row],[End Time]])),ROUND(MOD(tblClean[[#This Row],[End Time]]-tblClean[[#This Row],[Start Time]],1)*24,2),"")</f>
        <v>2.5</v>
      </c>
      <c r="K325" s="12">
        <f>IF(AND(ISNUMBER(tblClean[[#This Row],[Duration Hours]]),ISNUMBER(tblClean[[#This Row],[Attributed GMV PHP]])),IF(tblClean[[#This Row],[Duration Hours]]&gt;0,tblClean[[#This Row],[Attributed GMV PHP]]/tblClean[[#This Row],[Duration Hours]],""),"")</f>
        <v>17326</v>
      </c>
      <c r="L325" s="22">
        <f>IF(ISNUMBER(tblClean[[#This Row],[Date]]),DATE(YEAR(tblClean[[#This Row],[Date]]),MONTH(tblClean[[#This Row],[Date]]),1),"")</f>
        <v>45870</v>
      </c>
      <c r="M325" s="10">
        <f>IF(ISNUMBER(tblClean[[#This Row],[Date]]),tblClean[[#This Row],[Date]]-WEEKDAY(tblClean[[#This Row],[Date]],2)+1,"")</f>
        <v>45880</v>
      </c>
      <c r="N325" s="23">
        <f>IF(ISNUMBER(tblClean[[#This Row],[Week Start]]),(tblClean[[#This Row],[Week Start]]-MIN(tblClean[Week Start]))/7+1,"")</f>
        <v>11</v>
      </c>
      <c r="O325" s="24" t="str">
        <f>IF(ISNUMBER(tblClean[[#This Row],[Date]]),CHOOSE(WEEKDAY(tblClean[[#This Row],[Date]],2),"Mon","Tue","Wed","Thu","Fri","Sat","Sun"),"")</f>
        <v>Sun</v>
      </c>
      <c r="P325" s="24" t="str">
        <f>IF(ISNUMBER(tblClean[[#This Row],[Date]]),IF(WEEKDAY(tblClean[[#This Row],[Date]],2)&gt;=6,"Weekend","Weekday"),"")</f>
        <v>Weekend</v>
      </c>
      <c r="Q32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25" s="9" t="str">
        <f>IF(ISNUMBER(tblClean[[#This Row],[Duration Hours]]),IF(tblClean[[#This Row],[Duration Hours]]&lt;2,"Short (under 2h)",IF(tblClean[[#This Row],[Duration Hours]]&lt;3,"Standard (2h to under 3h)","Long (3h or more)")),"")</f>
        <v>Standard (2h to under 3h)</v>
      </c>
      <c r="S32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25" s="24">
        <f>IF(COUNTIF(tblClean[Session ID],tblClean[[#This Row],[Session ID]])&gt;1,1,0)</f>
        <v>0</v>
      </c>
      <c r="U325" s="24">
        <f>IF(OR(N(tblClean[[#This Row],[Attributed GMV PHP]])&lt;0,N(tblClean[[#This Row],[Items Sold]])&lt;0,N(tblClean[[#This Row],[Livestream Views]])&lt;0,N(tblClean[[#This Row],[New Followers]])&lt;0),1,0)</f>
        <v>0</v>
      </c>
      <c r="V325" s="24">
        <f>IF(ISNUMBER(tblClean[[#This Row],[Duration Hours]]),IF(OR(tblClean[[#This Row],[Duration Hours]]&lt;=0,tblClean[[#This Row],[Duration Hours]]&gt;12),1,0),1)</f>
        <v>0</v>
      </c>
      <c r="W325" s="24">
        <f>IF(COUNTIF(HostRoster,tblClean[[#This Row],[Host Name]])=0,1,0)</f>
        <v>0</v>
      </c>
      <c r="X325" s="24">
        <f>IF(tblClean[[#This Row],[Missing Flag]]+tblClean[[#This Row],[Duplicate Flag]]+tblClean[[#This Row],[Negative Flag]]+tblClean[[#This Row],[Duration Flag]]+tblClean[[#This Row],[Host Flag]]=0,1,0)</f>
        <v>1</v>
      </c>
    </row>
    <row r="326" spans="1:24" x14ac:dyDescent="0.3">
      <c r="A326" s="9" t="str">
        <f>TRIM('Raw Data'!A322)</f>
        <v>LS-0318</v>
      </c>
      <c r="B326" s="10">
        <f>IF(ISNUMBER('Raw Data'!B322),INT('Raw Data'!B322),IFERROR(DATEVALUE('Raw Data'!B322),""))</f>
        <v>45887</v>
      </c>
      <c r="C326" s="9" t="str">
        <f>PROPER(TRIM('Raw Data'!C322))</f>
        <v>Carlo Mendoza</v>
      </c>
      <c r="D326" s="11">
        <f>IF(ISNUMBER('Raw Data'!D322),MOD('Raw Data'!D322,1),IFERROR(TIMEVALUE('Raw Data'!D322),""))</f>
        <v>0.41666666666666669</v>
      </c>
      <c r="E326" s="11">
        <f>IF(ISNUMBER('Raw Data'!E322),MOD('Raw Data'!E322,1),IFERROR(TIMEVALUE('Raw Data'!E322),""))</f>
        <v>0.5</v>
      </c>
      <c r="F326" s="12">
        <f>IF(ISNUMBER('Raw Data'!F322),'Raw Data'!F322,IFERROR(VALUE(SUBSTITUTE('Raw Data'!F322,",","")),""))</f>
        <v>12224</v>
      </c>
      <c r="G326" s="13">
        <f>IF(ISNUMBER('Raw Data'!G322),'Raw Data'!G322,IFERROR(VALUE(SUBSTITUTE('Raw Data'!G322,",","")),""))</f>
        <v>36</v>
      </c>
      <c r="H326" s="13">
        <f>IF(ISNUMBER('Raw Data'!H322),'Raw Data'!H322,IFERROR(VALUE(SUBSTITUTE('Raw Data'!H322,",","")),""))</f>
        <v>40756</v>
      </c>
      <c r="I326" s="13">
        <f>IF(ISNUMBER('Raw Data'!I322),'Raw Data'!I322,IFERROR(VALUE(SUBSTITUTE('Raw Data'!I322,",","")),""))</f>
        <v>377</v>
      </c>
      <c r="J326" s="21">
        <f>IF(AND(ISNUMBER(tblClean[[#This Row],[Start Time]]),ISNUMBER(tblClean[[#This Row],[End Time]])),ROUND(MOD(tblClean[[#This Row],[End Time]]-tblClean[[#This Row],[Start Time]],1)*24,2),"")</f>
        <v>2</v>
      </c>
      <c r="K326" s="12">
        <f>IF(AND(ISNUMBER(tblClean[[#This Row],[Duration Hours]]),ISNUMBER(tblClean[[#This Row],[Attributed GMV PHP]])),IF(tblClean[[#This Row],[Duration Hours]]&gt;0,tblClean[[#This Row],[Attributed GMV PHP]]/tblClean[[#This Row],[Duration Hours]],""),"")</f>
        <v>6112</v>
      </c>
      <c r="L326" s="22">
        <f>IF(ISNUMBER(tblClean[[#This Row],[Date]]),DATE(YEAR(tblClean[[#This Row],[Date]]),MONTH(tblClean[[#This Row],[Date]]),1),"")</f>
        <v>45870</v>
      </c>
      <c r="M326" s="10">
        <f>IF(ISNUMBER(tblClean[[#This Row],[Date]]),tblClean[[#This Row],[Date]]-WEEKDAY(tblClean[[#This Row],[Date]],2)+1,"")</f>
        <v>45887</v>
      </c>
      <c r="N326" s="23">
        <f>IF(ISNUMBER(tblClean[[#This Row],[Week Start]]),(tblClean[[#This Row],[Week Start]]-MIN(tblClean[Week Start]))/7+1,"")</f>
        <v>12</v>
      </c>
      <c r="O326" s="24" t="str">
        <f>IF(ISNUMBER(tblClean[[#This Row],[Date]]),CHOOSE(WEEKDAY(tblClean[[#This Row],[Date]],2),"Mon","Tue","Wed","Thu","Fri","Sat","Sun"),"")</f>
        <v>Mon</v>
      </c>
      <c r="P326" s="24" t="str">
        <f>IF(ISNUMBER(tblClean[[#This Row],[Date]]),IF(WEEKDAY(tblClean[[#This Row],[Date]],2)&gt;=6,"Weekend","Weekday"),"")</f>
        <v>Weekday</v>
      </c>
      <c r="Q32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26" s="9" t="str">
        <f>IF(ISNUMBER(tblClean[[#This Row],[Duration Hours]]),IF(tblClean[[#This Row],[Duration Hours]]&lt;2,"Short (under 2h)",IF(tblClean[[#This Row],[Duration Hours]]&lt;3,"Standard (2h to under 3h)","Long (3h or more)")),"")</f>
        <v>Standard (2h to under 3h)</v>
      </c>
      <c r="S32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26" s="24">
        <f>IF(COUNTIF(tblClean[Session ID],tblClean[[#This Row],[Session ID]])&gt;1,1,0)</f>
        <v>0</v>
      </c>
      <c r="U326" s="24">
        <f>IF(OR(N(tblClean[[#This Row],[Attributed GMV PHP]])&lt;0,N(tblClean[[#This Row],[Items Sold]])&lt;0,N(tblClean[[#This Row],[Livestream Views]])&lt;0,N(tblClean[[#This Row],[New Followers]])&lt;0),1,0)</f>
        <v>0</v>
      </c>
      <c r="V326" s="24">
        <f>IF(ISNUMBER(tblClean[[#This Row],[Duration Hours]]),IF(OR(tblClean[[#This Row],[Duration Hours]]&lt;=0,tblClean[[#This Row],[Duration Hours]]&gt;12),1,0),1)</f>
        <v>0</v>
      </c>
      <c r="W326" s="24">
        <f>IF(COUNTIF(HostRoster,tblClean[[#This Row],[Host Name]])=0,1,0)</f>
        <v>0</v>
      </c>
      <c r="X326" s="24">
        <f>IF(tblClean[[#This Row],[Missing Flag]]+tblClean[[#This Row],[Duplicate Flag]]+tblClean[[#This Row],[Negative Flag]]+tblClean[[#This Row],[Duration Flag]]+tblClean[[#This Row],[Host Flag]]=0,1,0)</f>
        <v>1</v>
      </c>
    </row>
    <row r="327" spans="1:24" x14ac:dyDescent="0.3">
      <c r="A327" s="9" t="str">
        <f>TRIM('Raw Data'!A323)</f>
        <v>LS-0319</v>
      </c>
      <c r="B327" s="10">
        <f>IF(ISNUMBER('Raw Data'!B323),INT('Raw Data'!B323),IFERROR(DATEVALUE('Raw Data'!B323),""))</f>
        <v>45887</v>
      </c>
      <c r="C327" s="9" t="str">
        <f>PROPER(TRIM('Raw Data'!C323))</f>
        <v>Elise Navarro</v>
      </c>
      <c r="D327" s="11">
        <f>IF(ISNUMBER('Raw Data'!D323),MOD('Raw Data'!D323,1),IFERROR(TIMEVALUE('Raw Data'!D323),""))</f>
        <v>0.54166666666666663</v>
      </c>
      <c r="E327" s="11">
        <f>IF(ISNUMBER('Raw Data'!E323),MOD('Raw Data'!E323,1),IFERROR(TIMEVALUE('Raw Data'!E323),""))</f>
        <v>0.64583333333333337</v>
      </c>
      <c r="F327" s="12">
        <f>IF(ISNUMBER('Raw Data'!F323),'Raw Data'!F323,IFERROR(VALUE(SUBSTITUTE('Raw Data'!F323,",","")),""))</f>
        <v>86109</v>
      </c>
      <c r="G327" s="13">
        <f>IF(ISNUMBER('Raw Data'!G323),'Raw Data'!G323,IFERROR(VALUE(SUBSTITUTE('Raw Data'!G323,",","")),""))</f>
        <v>209</v>
      </c>
      <c r="H327" s="13">
        <f>IF(ISNUMBER('Raw Data'!H323),'Raw Data'!H323,IFERROR(VALUE(SUBSTITUTE('Raw Data'!H323,",","")),""))</f>
        <v>211288</v>
      </c>
      <c r="I327" s="13">
        <f>IF(ISNUMBER('Raw Data'!I323),'Raw Data'!I323,IFERROR(VALUE(SUBSTITUTE('Raw Data'!I323,",","")),""))</f>
        <v>888</v>
      </c>
      <c r="J327" s="21">
        <f>IF(AND(ISNUMBER(tblClean[[#This Row],[Start Time]]),ISNUMBER(tblClean[[#This Row],[End Time]])),ROUND(MOD(tblClean[[#This Row],[End Time]]-tblClean[[#This Row],[Start Time]],1)*24,2),"")</f>
        <v>2.5</v>
      </c>
      <c r="K327" s="12">
        <f>IF(AND(ISNUMBER(tblClean[[#This Row],[Duration Hours]]),ISNUMBER(tblClean[[#This Row],[Attributed GMV PHP]])),IF(tblClean[[#This Row],[Duration Hours]]&gt;0,tblClean[[#This Row],[Attributed GMV PHP]]/tblClean[[#This Row],[Duration Hours]],""),"")</f>
        <v>34443.599999999999</v>
      </c>
      <c r="L327" s="22">
        <f>IF(ISNUMBER(tblClean[[#This Row],[Date]]),DATE(YEAR(tblClean[[#This Row],[Date]]),MONTH(tblClean[[#This Row],[Date]]),1),"")</f>
        <v>45870</v>
      </c>
      <c r="M327" s="10">
        <f>IF(ISNUMBER(tblClean[[#This Row],[Date]]),tblClean[[#This Row],[Date]]-WEEKDAY(tblClean[[#This Row],[Date]],2)+1,"")</f>
        <v>45887</v>
      </c>
      <c r="N327" s="23">
        <f>IF(ISNUMBER(tblClean[[#This Row],[Week Start]]),(tblClean[[#This Row],[Week Start]]-MIN(tblClean[Week Start]))/7+1,"")</f>
        <v>12</v>
      </c>
      <c r="O327" s="24" t="str">
        <f>IF(ISNUMBER(tblClean[[#This Row],[Date]]),CHOOSE(WEEKDAY(tblClean[[#This Row],[Date]],2),"Mon","Tue","Wed","Thu","Fri","Sat","Sun"),"")</f>
        <v>Mon</v>
      </c>
      <c r="P327" s="24" t="str">
        <f>IF(ISNUMBER(tblClean[[#This Row],[Date]]),IF(WEEKDAY(tblClean[[#This Row],[Date]],2)&gt;=6,"Weekend","Weekday"),"")</f>
        <v>Weekday</v>
      </c>
      <c r="Q32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27" s="9" t="str">
        <f>IF(ISNUMBER(tblClean[[#This Row],[Duration Hours]]),IF(tblClean[[#This Row],[Duration Hours]]&lt;2,"Short (under 2h)",IF(tblClean[[#This Row],[Duration Hours]]&lt;3,"Standard (2h to under 3h)","Long (3h or more)")),"")</f>
        <v>Standard (2h to under 3h)</v>
      </c>
      <c r="S32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27" s="24">
        <f>IF(COUNTIF(tblClean[Session ID],tblClean[[#This Row],[Session ID]])&gt;1,1,0)</f>
        <v>0</v>
      </c>
      <c r="U327" s="24">
        <f>IF(OR(N(tblClean[[#This Row],[Attributed GMV PHP]])&lt;0,N(tblClean[[#This Row],[Items Sold]])&lt;0,N(tblClean[[#This Row],[Livestream Views]])&lt;0,N(tblClean[[#This Row],[New Followers]])&lt;0),1,0)</f>
        <v>0</v>
      </c>
      <c r="V327" s="24">
        <f>IF(ISNUMBER(tblClean[[#This Row],[Duration Hours]]),IF(OR(tblClean[[#This Row],[Duration Hours]]&lt;=0,tblClean[[#This Row],[Duration Hours]]&gt;12),1,0),1)</f>
        <v>0</v>
      </c>
      <c r="W327" s="24">
        <f>IF(COUNTIF(HostRoster,tblClean[[#This Row],[Host Name]])=0,1,0)</f>
        <v>0</v>
      </c>
      <c r="X327" s="24">
        <f>IF(tblClean[[#This Row],[Missing Flag]]+tblClean[[#This Row],[Duplicate Flag]]+tblClean[[#This Row],[Negative Flag]]+tblClean[[#This Row],[Duration Flag]]+tblClean[[#This Row],[Host Flag]]=0,1,0)</f>
        <v>1</v>
      </c>
    </row>
    <row r="328" spans="1:24" x14ac:dyDescent="0.3">
      <c r="A328" s="9" t="str">
        <f>TRIM('Raw Data'!A324)</f>
        <v>LS-0320</v>
      </c>
      <c r="B328" s="10">
        <f>IF(ISNUMBER('Raw Data'!B324),INT('Raw Data'!B324),IFERROR(DATEVALUE('Raw Data'!B324),""))</f>
        <v>45887</v>
      </c>
      <c r="C328" s="9" t="str">
        <f>PROPER(TRIM('Raw Data'!C324))</f>
        <v>Bianca Reyes</v>
      </c>
      <c r="D328" s="11">
        <f>IF(ISNUMBER('Raw Data'!D324),MOD('Raw Data'!D324,1),IFERROR(TIMEVALUE('Raw Data'!D324),""))</f>
        <v>0.66666666666666663</v>
      </c>
      <c r="E328" s="11">
        <f>IF(ISNUMBER('Raw Data'!E324),MOD('Raw Data'!E324,1),IFERROR(TIMEVALUE('Raw Data'!E324),""))</f>
        <v>0.75</v>
      </c>
      <c r="F328" s="12">
        <f>IF(ISNUMBER('Raw Data'!F324),'Raw Data'!F324,IFERROR(VALUE(SUBSTITUTE('Raw Data'!F324,",","")),""))</f>
        <v>15210</v>
      </c>
      <c r="G328" s="13">
        <f>IF(ISNUMBER('Raw Data'!G324),'Raw Data'!G324,IFERROR(VALUE(SUBSTITUTE('Raw Data'!G324,",","")),""))</f>
        <v>44</v>
      </c>
      <c r="H328" s="13">
        <f>IF(ISNUMBER('Raw Data'!H324),'Raw Data'!H324,IFERROR(VALUE(SUBSTITUTE('Raw Data'!H324,",","")),""))</f>
        <v>55639</v>
      </c>
      <c r="I328" s="13">
        <f>IF(ISNUMBER('Raw Data'!I324),'Raw Data'!I324,IFERROR(VALUE(SUBSTITUTE('Raw Data'!I324,",","")),""))</f>
        <v>538</v>
      </c>
      <c r="J328" s="21">
        <f>IF(AND(ISNUMBER(tblClean[[#This Row],[Start Time]]),ISNUMBER(tblClean[[#This Row],[End Time]])),ROUND(MOD(tblClean[[#This Row],[End Time]]-tblClean[[#This Row],[Start Time]],1)*24,2),"")</f>
        <v>2</v>
      </c>
      <c r="K328" s="12">
        <f>IF(AND(ISNUMBER(tblClean[[#This Row],[Duration Hours]]),ISNUMBER(tblClean[[#This Row],[Attributed GMV PHP]])),IF(tblClean[[#This Row],[Duration Hours]]&gt;0,tblClean[[#This Row],[Attributed GMV PHP]]/tblClean[[#This Row],[Duration Hours]],""),"")</f>
        <v>7605</v>
      </c>
      <c r="L328" s="22">
        <f>IF(ISNUMBER(tblClean[[#This Row],[Date]]),DATE(YEAR(tblClean[[#This Row],[Date]]),MONTH(tblClean[[#This Row],[Date]]),1),"")</f>
        <v>45870</v>
      </c>
      <c r="M328" s="10">
        <f>IF(ISNUMBER(tblClean[[#This Row],[Date]]),tblClean[[#This Row],[Date]]-WEEKDAY(tblClean[[#This Row],[Date]],2)+1,"")</f>
        <v>45887</v>
      </c>
      <c r="N328" s="23">
        <f>IF(ISNUMBER(tblClean[[#This Row],[Week Start]]),(tblClean[[#This Row],[Week Start]]-MIN(tblClean[Week Start]))/7+1,"")</f>
        <v>12</v>
      </c>
      <c r="O328" s="24" t="str">
        <f>IF(ISNUMBER(tblClean[[#This Row],[Date]]),CHOOSE(WEEKDAY(tblClean[[#This Row],[Date]],2),"Mon","Tue","Wed","Thu","Fri","Sat","Sun"),"")</f>
        <v>Mon</v>
      </c>
      <c r="P328" s="24" t="str">
        <f>IF(ISNUMBER(tblClean[[#This Row],[Date]]),IF(WEEKDAY(tblClean[[#This Row],[Date]],2)&gt;=6,"Weekend","Weekday"),"")</f>
        <v>Weekday</v>
      </c>
      <c r="Q32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28" s="9" t="str">
        <f>IF(ISNUMBER(tblClean[[#This Row],[Duration Hours]]),IF(tblClean[[#This Row],[Duration Hours]]&lt;2,"Short (under 2h)",IF(tblClean[[#This Row],[Duration Hours]]&lt;3,"Standard (2h to under 3h)","Long (3h or more)")),"")</f>
        <v>Standard (2h to under 3h)</v>
      </c>
      <c r="S32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28" s="24">
        <f>IF(COUNTIF(tblClean[Session ID],tblClean[[#This Row],[Session ID]])&gt;1,1,0)</f>
        <v>0</v>
      </c>
      <c r="U328" s="24">
        <f>IF(OR(N(tblClean[[#This Row],[Attributed GMV PHP]])&lt;0,N(tblClean[[#This Row],[Items Sold]])&lt;0,N(tblClean[[#This Row],[Livestream Views]])&lt;0,N(tblClean[[#This Row],[New Followers]])&lt;0),1,0)</f>
        <v>0</v>
      </c>
      <c r="V328" s="24">
        <f>IF(ISNUMBER(tblClean[[#This Row],[Duration Hours]]),IF(OR(tblClean[[#This Row],[Duration Hours]]&lt;=0,tblClean[[#This Row],[Duration Hours]]&gt;12),1,0),1)</f>
        <v>0</v>
      </c>
      <c r="W328" s="24">
        <f>IF(COUNTIF(HostRoster,tblClean[[#This Row],[Host Name]])=0,1,0)</f>
        <v>0</v>
      </c>
      <c r="X328" s="24">
        <f>IF(tblClean[[#This Row],[Missing Flag]]+tblClean[[#This Row],[Duplicate Flag]]+tblClean[[#This Row],[Negative Flag]]+tblClean[[#This Row],[Duration Flag]]+tblClean[[#This Row],[Host Flag]]=0,1,0)</f>
        <v>1</v>
      </c>
    </row>
    <row r="329" spans="1:24" x14ac:dyDescent="0.3">
      <c r="A329" s="9" t="str">
        <f>TRIM('Raw Data'!A325)</f>
        <v>LS-0321</v>
      </c>
      <c r="B329" s="10">
        <f>IF(ISNUMBER('Raw Data'!B325),INT('Raw Data'!B325),IFERROR(DATEVALUE('Raw Data'!B325),""))</f>
        <v>45887</v>
      </c>
      <c r="C329" s="9" t="str">
        <f>PROPER(TRIM('Raw Data'!C325))</f>
        <v>Carlo Mendoza</v>
      </c>
      <c r="D329" s="11">
        <f>IF(ISNUMBER('Raw Data'!D325),MOD('Raw Data'!D325,1),IFERROR(TIMEVALUE('Raw Data'!D325),""))</f>
        <v>0.79166666666666663</v>
      </c>
      <c r="E329" s="11">
        <f>IF(ISNUMBER('Raw Data'!E325),MOD('Raw Data'!E325,1),IFERROR(TIMEVALUE('Raw Data'!E325),""))</f>
        <v>0.89583333333333337</v>
      </c>
      <c r="F329" s="12">
        <f>IF(ISNUMBER('Raw Data'!F325),'Raw Data'!F325,IFERROR(VALUE(SUBSTITUTE('Raw Data'!F325,",","")),""))</f>
        <v>33770</v>
      </c>
      <c r="G329" s="13">
        <f>IF(ISNUMBER('Raw Data'!G325),'Raw Data'!G325,IFERROR(VALUE(SUBSTITUTE('Raw Data'!G325,",","")),""))</f>
        <v>94</v>
      </c>
      <c r="H329" s="13">
        <f>IF(ISNUMBER('Raw Data'!H325),'Raw Data'!H325,IFERROR(VALUE(SUBSTITUTE('Raw Data'!H325,",","")),""))</f>
        <v>124472</v>
      </c>
      <c r="I329" s="13">
        <f>IF(ISNUMBER('Raw Data'!I325),'Raw Data'!I325,IFERROR(VALUE(SUBSTITUTE('Raw Data'!I325,",","")),""))</f>
        <v>1177</v>
      </c>
      <c r="J329" s="21">
        <f>IF(AND(ISNUMBER(tblClean[[#This Row],[Start Time]]),ISNUMBER(tblClean[[#This Row],[End Time]])),ROUND(MOD(tblClean[[#This Row],[End Time]]-tblClean[[#This Row],[Start Time]],1)*24,2),"")</f>
        <v>2.5</v>
      </c>
      <c r="K329" s="12">
        <f>IF(AND(ISNUMBER(tblClean[[#This Row],[Duration Hours]]),ISNUMBER(tblClean[[#This Row],[Attributed GMV PHP]])),IF(tblClean[[#This Row],[Duration Hours]]&gt;0,tblClean[[#This Row],[Attributed GMV PHP]]/tblClean[[#This Row],[Duration Hours]],""),"")</f>
        <v>13508</v>
      </c>
      <c r="L329" s="22">
        <f>IF(ISNUMBER(tblClean[[#This Row],[Date]]),DATE(YEAR(tblClean[[#This Row],[Date]]),MONTH(tblClean[[#This Row],[Date]]),1),"")</f>
        <v>45870</v>
      </c>
      <c r="M329" s="10">
        <f>IF(ISNUMBER(tblClean[[#This Row],[Date]]),tblClean[[#This Row],[Date]]-WEEKDAY(tblClean[[#This Row],[Date]],2)+1,"")</f>
        <v>45887</v>
      </c>
      <c r="N329" s="23">
        <f>IF(ISNUMBER(tblClean[[#This Row],[Week Start]]),(tblClean[[#This Row],[Week Start]]-MIN(tblClean[Week Start]))/7+1,"")</f>
        <v>12</v>
      </c>
      <c r="O329" s="24" t="str">
        <f>IF(ISNUMBER(tblClean[[#This Row],[Date]]),CHOOSE(WEEKDAY(tblClean[[#This Row],[Date]],2),"Mon","Tue","Wed","Thu","Fri","Sat","Sun"),"")</f>
        <v>Mon</v>
      </c>
      <c r="P329" s="24" t="str">
        <f>IF(ISNUMBER(tblClean[[#This Row],[Date]]),IF(WEEKDAY(tblClean[[#This Row],[Date]],2)&gt;=6,"Weekend","Weekday"),"")</f>
        <v>Weekday</v>
      </c>
      <c r="Q32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29" s="9" t="str">
        <f>IF(ISNUMBER(tblClean[[#This Row],[Duration Hours]]),IF(tblClean[[#This Row],[Duration Hours]]&lt;2,"Short (under 2h)",IF(tblClean[[#This Row],[Duration Hours]]&lt;3,"Standard (2h to under 3h)","Long (3h or more)")),"")</f>
        <v>Standard (2h to under 3h)</v>
      </c>
      <c r="S32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29" s="24">
        <f>IF(COUNTIF(tblClean[Session ID],tblClean[[#This Row],[Session ID]])&gt;1,1,0)</f>
        <v>0</v>
      </c>
      <c r="U329" s="24">
        <f>IF(OR(N(tblClean[[#This Row],[Attributed GMV PHP]])&lt;0,N(tblClean[[#This Row],[Items Sold]])&lt;0,N(tblClean[[#This Row],[Livestream Views]])&lt;0,N(tblClean[[#This Row],[New Followers]])&lt;0),1,0)</f>
        <v>0</v>
      </c>
      <c r="V329" s="24">
        <f>IF(ISNUMBER(tblClean[[#This Row],[Duration Hours]]),IF(OR(tblClean[[#This Row],[Duration Hours]]&lt;=0,tblClean[[#This Row],[Duration Hours]]&gt;12),1,0),1)</f>
        <v>0</v>
      </c>
      <c r="W329" s="24">
        <f>IF(COUNTIF(HostRoster,tblClean[[#This Row],[Host Name]])=0,1,0)</f>
        <v>0</v>
      </c>
      <c r="X329" s="24">
        <f>IF(tblClean[[#This Row],[Missing Flag]]+tblClean[[#This Row],[Duplicate Flag]]+tblClean[[#This Row],[Negative Flag]]+tblClean[[#This Row],[Duration Flag]]+tblClean[[#This Row],[Host Flag]]=0,1,0)</f>
        <v>1</v>
      </c>
    </row>
    <row r="330" spans="1:24" x14ac:dyDescent="0.3">
      <c r="A330" s="9" t="str">
        <f>TRIM('Raw Data'!A326)</f>
        <v>LS-0322</v>
      </c>
      <c r="B330" s="10">
        <f>IF(ISNUMBER('Raw Data'!B326),INT('Raw Data'!B326),IFERROR(DATEVALUE('Raw Data'!B326),""))</f>
        <v>45887</v>
      </c>
      <c r="C330" s="9" t="str">
        <f>PROPER(TRIM('Raw Data'!C326))</f>
        <v>Bianca Reyes</v>
      </c>
      <c r="D330" s="11">
        <f>IF(ISNUMBER('Raw Data'!D326),MOD('Raw Data'!D326,1),IFERROR(TIMEVALUE('Raw Data'!D326),""))</f>
        <v>0.91666666666666663</v>
      </c>
      <c r="E330" s="11">
        <f>IF(ISNUMBER('Raw Data'!E326),MOD('Raw Data'!E326,1),IFERROR(TIMEVALUE('Raw Data'!E326),""))</f>
        <v>4.1666666666666657E-2</v>
      </c>
      <c r="F330" s="12">
        <f>IF(ISNUMBER('Raw Data'!F326),'Raw Data'!F326,IFERROR(VALUE(SUBSTITUTE('Raw Data'!F326,",","")),""))</f>
        <v>39969</v>
      </c>
      <c r="G330" s="13">
        <f>IF(ISNUMBER('Raw Data'!G326),'Raw Data'!G326,IFERROR(VALUE(SUBSTITUTE('Raw Data'!G326,",","")),""))</f>
        <v>137</v>
      </c>
      <c r="H330" s="13">
        <f>IF(ISNUMBER('Raw Data'!H326),'Raw Data'!H326,IFERROR(VALUE(SUBSTITUTE('Raw Data'!H326,",","")),""))</f>
        <v>101745</v>
      </c>
      <c r="I330" s="13">
        <f>IF(ISNUMBER('Raw Data'!I326),'Raw Data'!I326,IFERROR(VALUE(SUBSTITUTE('Raw Data'!I326,",","")),""))</f>
        <v>1130</v>
      </c>
      <c r="J330" s="21">
        <f>IF(AND(ISNUMBER(tblClean[[#This Row],[Start Time]]),ISNUMBER(tblClean[[#This Row],[End Time]])),ROUND(MOD(tblClean[[#This Row],[End Time]]-tblClean[[#This Row],[Start Time]],1)*24,2),"")</f>
        <v>3</v>
      </c>
      <c r="K330" s="12">
        <f>IF(AND(ISNUMBER(tblClean[[#This Row],[Duration Hours]]),ISNUMBER(tblClean[[#This Row],[Attributed GMV PHP]])),IF(tblClean[[#This Row],[Duration Hours]]&gt;0,tblClean[[#This Row],[Attributed GMV PHP]]/tblClean[[#This Row],[Duration Hours]],""),"")</f>
        <v>13323</v>
      </c>
      <c r="L330" s="22">
        <f>IF(ISNUMBER(tblClean[[#This Row],[Date]]),DATE(YEAR(tblClean[[#This Row],[Date]]),MONTH(tblClean[[#This Row],[Date]]),1),"")</f>
        <v>45870</v>
      </c>
      <c r="M330" s="10">
        <f>IF(ISNUMBER(tblClean[[#This Row],[Date]]),tblClean[[#This Row],[Date]]-WEEKDAY(tblClean[[#This Row],[Date]],2)+1,"")</f>
        <v>45887</v>
      </c>
      <c r="N330" s="23">
        <f>IF(ISNUMBER(tblClean[[#This Row],[Week Start]]),(tblClean[[#This Row],[Week Start]]-MIN(tblClean[Week Start]))/7+1,"")</f>
        <v>12</v>
      </c>
      <c r="O330" s="24" t="str">
        <f>IF(ISNUMBER(tblClean[[#This Row],[Date]]),CHOOSE(WEEKDAY(tblClean[[#This Row],[Date]],2),"Mon","Tue","Wed","Thu","Fri","Sat","Sun"),"")</f>
        <v>Mon</v>
      </c>
      <c r="P330" s="24" t="str">
        <f>IF(ISNUMBER(tblClean[[#This Row],[Date]]),IF(WEEKDAY(tblClean[[#This Row],[Date]],2)&gt;=6,"Weekend","Weekday"),"")</f>
        <v>Weekday</v>
      </c>
      <c r="Q33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30" s="9" t="str">
        <f>IF(ISNUMBER(tblClean[[#This Row],[Duration Hours]]),IF(tblClean[[#This Row],[Duration Hours]]&lt;2,"Short (under 2h)",IF(tblClean[[#This Row],[Duration Hours]]&lt;3,"Standard (2h to under 3h)","Long (3h or more)")),"")</f>
        <v>Long (3h or more)</v>
      </c>
      <c r="S33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30" s="24">
        <f>IF(COUNTIF(tblClean[Session ID],tblClean[[#This Row],[Session ID]])&gt;1,1,0)</f>
        <v>0</v>
      </c>
      <c r="U330" s="24">
        <f>IF(OR(N(tblClean[[#This Row],[Attributed GMV PHP]])&lt;0,N(tblClean[[#This Row],[Items Sold]])&lt;0,N(tblClean[[#This Row],[Livestream Views]])&lt;0,N(tblClean[[#This Row],[New Followers]])&lt;0),1,0)</f>
        <v>0</v>
      </c>
      <c r="V330" s="24">
        <f>IF(ISNUMBER(tblClean[[#This Row],[Duration Hours]]),IF(OR(tblClean[[#This Row],[Duration Hours]]&lt;=0,tblClean[[#This Row],[Duration Hours]]&gt;12),1,0),1)</f>
        <v>0</v>
      </c>
      <c r="W330" s="24">
        <f>IF(COUNTIF(HostRoster,tblClean[[#This Row],[Host Name]])=0,1,0)</f>
        <v>0</v>
      </c>
      <c r="X330" s="24">
        <f>IF(tblClean[[#This Row],[Missing Flag]]+tblClean[[#This Row],[Duplicate Flag]]+tblClean[[#This Row],[Negative Flag]]+tblClean[[#This Row],[Duration Flag]]+tblClean[[#This Row],[Host Flag]]=0,1,0)</f>
        <v>1</v>
      </c>
    </row>
    <row r="331" spans="1:24" x14ac:dyDescent="0.3">
      <c r="A331" s="9" t="str">
        <f>TRIM('Raw Data'!A327)</f>
        <v>LS-0323</v>
      </c>
      <c r="B331" s="10">
        <f>IF(ISNUMBER('Raw Data'!B327),INT('Raw Data'!B327),IFERROR(DATEVALUE('Raw Data'!B327),""))</f>
        <v>45888</v>
      </c>
      <c r="C331" s="9" t="str">
        <f>PROPER(TRIM('Raw Data'!C327))</f>
        <v>Dani Villanueva</v>
      </c>
      <c r="D331" s="11">
        <f>IF(ISNUMBER('Raw Data'!D327),MOD('Raw Data'!D327,1),IFERROR(TIMEVALUE('Raw Data'!D327),""))</f>
        <v>0.41666666666666669</v>
      </c>
      <c r="E331" s="11">
        <f>IF(ISNUMBER('Raw Data'!E327),MOD('Raw Data'!E327,1),IFERROR(TIMEVALUE('Raw Data'!E327),""))</f>
        <v>0.52083333333333337</v>
      </c>
      <c r="F331" s="12">
        <f>IF(ISNUMBER('Raw Data'!F327),'Raw Data'!F327,IFERROR(VALUE(SUBSTITUTE('Raw Data'!F327,",","")),""))</f>
        <v>11542</v>
      </c>
      <c r="G331" s="13">
        <f>IF(ISNUMBER('Raw Data'!G327),'Raw Data'!G327,IFERROR(VALUE(SUBSTITUTE('Raw Data'!G327,",","")),""))</f>
        <v>35</v>
      </c>
      <c r="H331" s="13">
        <f>IF(ISNUMBER('Raw Data'!H327),'Raw Data'!H327,IFERROR(VALUE(SUBSTITUTE('Raw Data'!H327,",","")),""))</f>
        <v>43448</v>
      </c>
      <c r="I331" s="13">
        <f>IF(ISNUMBER('Raw Data'!I327),'Raw Data'!I327,IFERROR(VALUE(SUBSTITUTE('Raw Data'!I327,",","")),""))</f>
        <v>351</v>
      </c>
      <c r="J331" s="21">
        <f>IF(AND(ISNUMBER(tblClean[[#This Row],[Start Time]]),ISNUMBER(tblClean[[#This Row],[End Time]])),ROUND(MOD(tblClean[[#This Row],[End Time]]-tblClean[[#This Row],[Start Time]],1)*24,2),"")</f>
        <v>2.5</v>
      </c>
      <c r="K331" s="12">
        <f>IF(AND(ISNUMBER(tblClean[[#This Row],[Duration Hours]]),ISNUMBER(tblClean[[#This Row],[Attributed GMV PHP]])),IF(tblClean[[#This Row],[Duration Hours]]&gt;0,tblClean[[#This Row],[Attributed GMV PHP]]/tblClean[[#This Row],[Duration Hours]],""),"")</f>
        <v>4616.8</v>
      </c>
      <c r="L331" s="22">
        <f>IF(ISNUMBER(tblClean[[#This Row],[Date]]),DATE(YEAR(tblClean[[#This Row],[Date]]),MONTH(tblClean[[#This Row],[Date]]),1),"")</f>
        <v>45870</v>
      </c>
      <c r="M331" s="10">
        <f>IF(ISNUMBER(tblClean[[#This Row],[Date]]),tblClean[[#This Row],[Date]]-WEEKDAY(tblClean[[#This Row],[Date]],2)+1,"")</f>
        <v>45887</v>
      </c>
      <c r="N331" s="23">
        <f>IF(ISNUMBER(tblClean[[#This Row],[Week Start]]),(tblClean[[#This Row],[Week Start]]-MIN(tblClean[Week Start]))/7+1,"")</f>
        <v>12</v>
      </c>
      <c r="O331" s="24" t="str">
        <f>IF(ISNUMBER(tblClean[[#This Row],[Date]]),CHOOSE(WEEKDAY(tblClean[[#This Row],[Date]],2),"Mon","Tue","Wed","Thu","Fri","Sat","Sun"),"")</f>
        <v>Tue</v>
      </c>
      <c r="P331" s="24" t="str">
        <f>IF(ISNUMBER(tblClean[[#This Row],[Date]]),IF(WEEKDAY(tblClean[[#This Row],[Date]],2)&gt;=6,"Weekend","Weekday"),"")</f>
        <v>Weekday</v>
      </c>
      <c r="Q33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31" s="9" t="str">
        <f>IF(ISNUMBER(tblClean[[#This Row],[Duration Hours]]),IF(tblClean[[#This Row],[Duration Hours]]&lt;2,"Short (under 2h)",IF(tblClean[[#This Row],[Duration Hours]]&lt;3,"Standard (2h to under 3h)","Long (3h or more)")),"")</f>
        <v>Standard (2h to under 3h)</v>
      </c>
      <c r="S33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31" s="24">
        <f>IF(COUNTIF(tblClean[Session ID],tblClean[[#This Row],[Session ID]])&gt;1,1,0)</f>
        <v>0</v>
      </c>
      <c r="U331" s="24">
        <f>IF(OR(N(tblClean[[#This Row],[Attributed GMV PHP]])&lt;0,N(tblClean[[#This Row],[Items Sold]])&lt;0,N(tblClean[[#This Row],[Livestream Views]])&lt;0,N(tblClean[[#This Row],[New Followers]])&lt;0),1,0)</f>
        <v>0</v>
      </c>
      <c r="V331" s="24">
        <f>IF(ISNUMBER(tblClean[[#This Row],[Duration Hours]]),IF(OR(tblClean[[#This Row],[Duration Hours]]&lt;=0,tblClean[[#This Row],[Duration Hours]]&gt;12),1,0),1)</f>
        <v>0</v>
      </c>
      <c r="W331" s="24">
        <f>IF(COUNTIF(HostRoster,tblClean[[#This Row],[Host Name]])=0,1,0)</f>
        <v>0</v>
      </c>
      <c r="X331" s="24">
        <f>IF(tblClean[[#This Row],[Missing Flag]]+tblClean[[#This Row],[Duplicate Flag]]+tblClean[[#This Row],[Negative Flag]]+tblClean[[#This Row],[Duration Flag]]+tblClean[[#This Row],[Host Flag]]=0,1,0)</f>
        <v>1</v>
      </c>
    </row>
    <row r="332" spans="1:24" x14ac:dyDescent="0.3">
      <c r="A332" s="9" t="str">
        <f>TRIM('Raw Data'!A328)</f>
        <v>LS-0324</v>
      </c>
      <c r="B332" s="10">
        <f>IF(ISNUMBER('Raw Data'!B328),INT('Raw Data'!B328),IFERROR(DATEVALUE('Raw Data'!B328),""))</f>
        <v>45888</v>
      </c>
      <c r="C332" s="9" t="str">
        <f>PROPER(TRIM('Raw Data'!C328))</f>
        <v>Elise Navarro</v>
      </c>
      <c r="D332" s="11">
        <f>IF(ISNUMBER('Raw Data'!D328),MOD('Raw Data'!D328,1),IFERROR(TIMEVALUE('Raw Data'!D328),""))</f>
        <v>0.54166666666666663</v>
      </c>
      <c r="E332" s="11">
        <f>IF(ISNUMBER('Raw Data'!E328),MOD('Raw Data'!E328,1),IFERROR(TIMEVALUE('Raw Data'!E328),""))</f>
        <v>0.64583333333333337</v>
      </c>
      <c r="F332" s="12">
        <f>IF(ISNUMBER('Raw Data'!F328),'Raw Data'!F328,IFERROR(VALUE(SUBSTITUTE('Raw Data'!F328,",","")),""))</f>
        <v>32360</v>
      </c>
      <c r="G332" s="13">
        <f>IF(ISNUMBER('Raw Data'!G328),'Raw Data'!G328,IFERROR(VALUE(SUBSTITUTE('Raw Data'!G328,",","")),""))</f>
        <v>90</v>
      </c>
      <c r="H332" s="13">
        <f>IF(ISNUMBER('Raw Data'!H328),'Raw Data'!H328,IFERROR(VALUE(SUBSTITUTE('Raw Data'!H328,",","")),""))</f>
        <v>80475</v>
      </c>
      <c r="I332" s="13">
        <f>IF(ISNUMBER('Raw Data'!I328),'Raw Data'!I328,IFERROR(VALUE(SUBSTITUTE('Raw Data'!I328,",","")),""))</f>
        <v>811</v>
      </c>
      <c r="J332" s="21">
        <f>IF(AND(ISNUMBER(tblClean[[#This Row],[Start Time]]),ISNUMBER(tblClean[[#This Row],[End Time]])),ROUND(MOD(tblClean[[#This Row],[End Time]]-tblClean[[#This Row],[Start Time]],1)*24,2),"")</f>
        <v>2.5</v>
      </c>
      <c r="K332" s="12">
        <f>IF(AND(ISNUMBER(tblClean[[#This Row],[Duration Hours]]),ISNUMBER(tblClean[[#This Row],[Attributed GMV PHP]])),IF(tblClean[[#This Row],[Duration Hours]]&gt;0,tblClean[[#This Row],[Attributed GMV PHP]]/tblClean[[#This Row],[Duration Hours]],""),"")</f>
        <v>12944</v>
      </c>
      <c r="L332" s="22">
        <f>IF(ISNUMBER(tblClean[[#This Row],[Date]]),DATE(YEAR(tblClean[[#This Row],[Date]]),MONTH(tblClean[[#This Row],[Date]]),1),"")</f>
        <v>45870</v>
      </c>
      <c r="M332" s="10">
        <f>IF(ISNUMBER(tblClean[[#This Row],[Date]]),tblClean[[#This Row],[Date]]-WEEKDAY(tblClean[[#This Row],[Date]],2)+1,"")</f>
        <v>45887</v>
      </c>
      <c r="N332" s="23">
        <f>IF(ISNUMBER(tblClean[[#This Row],[Week Start]]),(tblClean[[#This Row],[Week Start]]-MIN(tblClean[Week Start]))/7+1,"")</f>
        <v>12</v>
      </c>
      <c r="O332" s="24" t="str">
        <f>IF(ISNUMBER(tblClean[[#This Row],[Date]]),CHOOSE(WEEKDAY(tblClean[[#This Row],[Date]],2),"Mon","Tue","Wed","Thu","Fri","Sat","Sun"),"")</f>
        <v>Tue</v>
      </c>
      <c r="P332" s="24" t="str">
        <f>IF(ISNUMBER(tblClean[[#This Row],[Date]]),IF(WEEKDAY(tblClean[[#This Row],[Date]],2)&gt;=6,"Weekend","Weekday"),"")</f>
        <v>Weekday</v>
      </c>
      <c r="Q33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32" s="9" t="str">
        <f>IF(ISNUMBER(tblClean[[#This Row],[Duration Hours]]),IF(tblClean[[#This Row],[Duration Hours]]&lt;2,"Short (under 2h)",IF(tblClean[[#This Row],[Duration Hours]]&lt;3,"Standard (2h to under 3h)","Long (3h or more)")),"")</f>
        <v>Standard (2h to under 3h)</v>
      </c>
      <c r="S33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32" s="24">
        <f>IF(COUNTIF(tblClean[Session ID],tblClean[[#This Row],[Session ID]])&gt;1,1,0)</f>
        <v>0</v>
      </c>
      <c r="U332" s="24">
        <f>IF(OR(N(tblClean[[#This Row],[Attributed GMV PHP]])&lt;0,N(tblClean[[#This Row],[Items Sold]])&lt;0,N(tblClean[[#This Row],[Livestream Views]])&lt;0,N(tblClean[[#This Row],[New Followers]])&lt;0),1,0)</f>
        <v>0</v>
      </c>
      <c r="V332" s="24">
        <f>IF(ISNUMBER(tblClean[[#This Row],[Duration Hours]]),IF(OR(tblClean[[#This Row],[Duration Hours]]&lt;=0,tblClean[[#This Row],[Duration Hours]]&gt;12),1,0),1)</f>
        <v>0</v>
      </c>
      <c r="W332" s="24">
        <f>IF(COUNTIF(HostRoster,tblClean[[#This Row],[Host Name]])=0,1,0)</f>
        <v>0</v>
      </c>
      <c r="X332" s="24">
        <f>IF(tblClean[[#This Row],[Missing Flag]]+tblClean[[#This Row],[Duplicate Flag]]+tblClean[[#This Row],[Negative Flag]]+tblClean[[#This Row],[Duration Flag]]+tblClean[[#This Row],[Host Flag]]=0,1,0)</f>
        <v>1</v>
      </c>
    </row>
    <row r="333" spans="1:24" x14ac:dyDescent="0.3">
      <c r="A333" s="9" t="str">
        <f>TRIM('Raw Data'!A329)</f>
        <v>LS-0325</v>
      </c>
      <c r="B333" s="10">
        <f>IF(ISNUMBER('Raw Data'!B329),INT('Raw Data'!B329),IFERROR(DATEVALUE('Raw Data'!B329),""))</f>
        <v>45888</v>
      </c>
      <c r="C333" s="9" t="str">
        <f>PROPER(TRIM('Raw Data'!C329))</f>
        <v>Carlo Mendoza</v>
      </c>
      <c r="D333" s="11">
        <f>IF(ISNUMBER('Raw Data'!D329),MOD('Raw Data'!D329,1),IFERROR(TIMEVALUE('Raw Data'!D329),""))</f>
        <v>0.66666666666666663</v>
      </c>
      <c r="E333" s="11">
        <f>IF(ISNUMBER('Raw Data'!E329),MOD('Raw Data'!E329,1),IFERROR(TIMEVALUE('Raw Data'!E329),""))</f>
        <v>0.75</v>
      </c>
      <c r="F333" s="12">
        <f>IF(ISNUMBER('Raw Data'!F329),'Raw Data'!F329,IFERROR(VALUE(SUBSTITUTE('Raw Data'!F329,",","")),""))</f>
        <v>29494</v>
      </c>
      <c r="G333" s="13">
        <f>IF(ISNUMBER('Raw Data'!G329),'Raw Data'!G329,IFERROR(VALUE(SUBSTITUTE('Raw Data'!G329,",","")),""))</f>
        <v>86</v>
      </c>
      <c r="H333" s="13">
        <f>IF(ISNUMBER('Raw Data'!H329),'Raw Data'!H329,IFERROR(VALUE(SUBSTITUTE('Raw Data'!H329,",","")),""))</f>
        <v>125641</v>
      </c>
      <c r="I333" s="13">
        <f>IF(ISNUMBER('Raw Data'!I329),'Raw Data'!I329,IFERROR(VALUE(SUBSTITUTE('Raw Data'!I329,",","")),""))</f>
        <v>901</v>
      </c>
      <c r="J333" s="21">
        <f>IF(AND(ISNUMBER(tblClean[[#This Row],[Start Time]]),ISNUMBER(tblClean[[#This Row],[End Time]])),ROUND(MOD(tblClean[[#This Row],[End Time]]-tblClean[[#This Row],[Start Time]],1)*24,2),"")</f>
        <v>2</v>
      </c>
      <c r="K333" s="12">
        <f>IF(AND(ISNUMBER(tblClean[[#This Row],[Duration Hours]]),ISNUMBER(tblClean[[#This Row],[Attributed GMV PHP]])),IF(tblClean[[#This Row],[Duration Hours]]&gt;0,tblClean[[#This Row],[Attributed GMV PHP]]/tblClean[[#This Row],[Duration Hours]],""),"")</f>
        <v>14747</v>
      </c>
      <c r="L333" s="22">
        <f>IF(ISNUMBER(tblClean[[#This Row],[Date]]),DATE(YEAR(tblClean[[#This Row],[Date]]),MONTH(tblClean[[#This Row],[Date]]),1),"")</f>
        <v>45870</v>
      </c>
      <c r="M333" s="10">
        <f>IF(ISNUMBER(tblClean[[#This Row],[Date]]),tblClean[[#This Row],[Date]]-WEEKDAY(tblClean[[#This Row],[Date]],2)+1,"")</f>
        <v>45887</v>
      </c>
      <c r="N333" s="23">
        <f>IF(ISNUMBER(tblClean[[#This Row],[Week Start]]),(tblClean[[#This Row],[Week Start]]-MIN(tblClean[Week Start]))/7+1,"")</f>
        <v>12</v>
      </c>
      <c r="O333" s="24" t="str">
        <f>IF(ISNUMBER(tblClean[[#This Row],[Date]]),CHOOSE(WEEKDAY(tblClean[[#This Row],[Date]],2),"Mon","Tue","Wed","Thu","Fri","Sat","Sun"),"")</f>
        <v>Tue</v>
      </c>
      <c r="P333" s="24" t="str">
        <f>IF(ISNUMBER(tblClean[[#This Row],[Date]]),IF(WEEKDAY(tblClean[[#This Row],[Date]],2)&gt;=6,"Weekend","Weekday"),"")</f>
        <v>Weekday</v>
      </c>
      <c r="Q33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33" s="9" t="str">
        <f>IF(ISNUMBER(tblClean[[#This Row],[Duration Hours]]),IF(tblClean[[#This Row],[Duration Hours]]&lt;2,"Short (under 2h)",IF(tblClean[[#This Row],[Duration Hours]]&lt;3,"Standard (2h to under 3h)","Long (3h or more)")),"")</f>
        <v>Standard (2h to under 3h)</v>
      </c>
      <c r="S33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33" s="24">
        <f>IF(COUNTIF(tblClean[Session ID],tblClean[[#This Row],[Session ID]])&gt;1,1,0)</f>
        <v>0</v>
      </c>
      <c r="U333" s="24">
        <f>IF(OR(N(tblClean[[#This Row],[Attributed GMV PHP]])&lt;0,N(tblClean[[#This Row],[Items Sold]])&lt;0,N(tblClean[[#This Row],[Livestream Views]])&lt;0,N(tblClean[[#This Row],[New Followers]])&lt;0),1,0)</f>
        <v>0</v>
      </c>
      <c r="V333" s="24">
        <f>IF(ISNUMBER(tblClean[[#This Row],[Duration Hours]]),IF(OR(tblClean[[#This Row],[Duration Hours]]&lt;=0,tblClean[[#This Row],[Duration Hours]]&gt;12),1,0),1)</f>
        <v>0</v>
      </c>
      <c r="W333" s="24">
        <f>IF(COUNTIF(HostRoster,tblClean[[#This Row],[Host Name]])=0,1,0)</f>
        <v>0</v>
      </c>
      <c r="X333" s="24">
        <f>IF(tblClean[[#This Row],[Missing Flag]]+tblClean[[#This Row],[Duplicate Flag]]+tblClean[[#This Row],[Negative Flag]]+tblClean[[#This Row],[Duration Flag]]+tblClean[[#This Row],[Host Flag]]=0,1,0)</f>
        <v>1</v>
      </c>
    </row>
    <row r="334" spans="1:24" x14ac:dyDescent="0.3">
      <c r="A334" s="9" t="str">
        <f>TRIM('Raw Data'!A330)</f>
        <v>LS-0326</v>
      </c>
      <c r="B334" s="10">
        <f>IF(ISNUMBER('Raw Data'!B330),INT('Raw Data'!B330),IFERROR(DATEVALUE('Raw Data'!B330),""))</f>
        <v>45888</v>
      </c>
      <c r="C334" s="9" t="str">
        <f>PROPER(TRIM('Raw Data'!C330))</f>
        <v>Bianca Reyes</v>
      </c>
      <c r="D334" s="11">
        <f>IF(ISNUMBER('Raw Data'!D330),MOD('Raw Data'!D330,1),IFERROR(TIMEVALUE('Raw Data'!D330),""))</f>
        <v>0.79166666666666663</v>
      </c>
      <c r="E334" s="11">
        <f>IF(ISNUMBER('Raw Data'!E330),MOD('Raw Data'!E330,1),IFERROR(TIMEVALUE('Raw Data'!E330),""))</f>
        <v>0.875</v>
      </c>
      <c r="F334" s="12">
        <f>IF(ISNUMBER('Raw Data'!F330),'Raw Data'!F330,IFERROR(VALUE(SUBSTITUTE('Raw Data'!F330,",","")),""))</f>
        <v>25959</v>
      </c>
      <c r="G334" s="13">
        <f>IF(ISNUMBER('Raw Data'!G330),'Raw Data'!G330,IFERROR(VALUE(SUBSTITUTE('Raw Data'!G330,",","")),""))</f>
        <v>88</v>
      </c>
      <c r="H334" s="13">
        <f>IF(ISNUMBER('Raw Data'!H330),'Raw Data'!H330,IFERROR(VALUE(SUBSTITUTE('Raw Data'!H330,",","")),""))</f>
        <v>77588</v>
      </c>
      <c r="I334" s="13">
        <f>IF(ISNUMBER('Raw Data'!I330),'Raw Data'!I330,IFERROR(VALUE(SUBSTITUTE('Raw Data'!I330,",","")),""))</f>
        <v>613</v>
      </c>
      <c r="J334" s="21">
        <f>IF(AND(ISNUMBER(tblClean[[#This Row],[Start Time]]),ISNUMBER(tblClean[[#This Row],[End Time]])),ROUND(MOD(tblClean[[#This Row],[End Time]]-tblClean[[#This Row],[Start Time]],1)*24,2),"")</f>
        <v>2</v>
      </c>
      <c r="K334" s="12">
        <f>IF(AND(ISNUMBER(tblClean[[#This Row],[Duration Hours]]),ISNUMBER(tblClean[[#This Row],[Attributed GMV PHP]])),IF(tblClean[[#This Row],[Duration Hours]]&gt;0,tblClean[[#This Row],[Attributed GMV PHP]]/tblClean[[#This Row],[Duration Hours]],""),"")</f>
        <v>12979.5</v>
      </c>
      <c r="L334" s="22">
        <f>IF(ISNUMBER(tblClean[[#This Row],[Date]]),DATE(YEAR(tblClean[[#This Row],[Date]]),MONTH(tblClean[[#This Row],[Date]]),1),"")</f>
        <v>45870</v>
      </c>
      <c r="M334" s="10">
        <f>IF(ISNUMBER(tblClean[[#This Row],[Date]]),tblClean[[#This Row],[Date]]-WEEKDAY(tblClean[[#This Row],[Date]],2)+1,"")</f>
        <v>45887</v>
      </c>
      <c r="N334" s="23">
        <f>IF(ISNUMBER(tblClean[[#This Row],[Week Start]]),(tblClean[[#This Row],[Week Start]]-MIN(tblClean[Week Start]))/7+1,"")</f>
        <v>12</v>
      </c>
      <c r="O334" s="24" t="str">
        <f>IF(ISNUMBER(tblClean[[#This Row],[Date]]),CHOOSE(WEEKDAY(tblClean[[#This Row],[Date]],2),"Mon","Tue","Wed","Thu","Fri","Sat","Sun"),"")</f>
        <v>Tue</v>
      </c>
      <c r="P334" s="24" t="str">
        <f>IF(ISNUMBER(tblClean[[#This Row],[Date]]),IF(WEEKDAY(tblClean[[#This Row],[Date]],2)&gt;=6,"Weekend","Weekday"),"")</f>
        <v>Weekday</v>
      </c>
      <c r="Q33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34" s="9" t="str">
        <f>IF(ISNUMBER(tblClean[[#This Row],[Duration Hours]]),IF(tblClean[[#This Row],[Duration Hours]]&lt;2,"Short (under 2h)",IF(tblClean[[#This Row],[Duration Hours]]&lt;3,"Standard (2h to under 3h)","Long (3h or more)")),"")</f>
        <v>Standard (2h to under 3h)</v>
      </c>
      <c r="S33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34" s="24">
        <f>IF(COUNTIF(tblClean[Session ID],tblClean[[#This Row],[Session ID]])&gt;1,1,0)</f>
        <v>0</v>
      </c>
      <c r="U334" s="24">
        <f>IF(OR(N(tblClean[[#This Row],[Attributed GMV PHP]])&lt;0,N(tblClean[[#This Row],[Items Sold]])&lt;0,N(tblClean[[#This Row],[Livestream Views]])&lt;0,N(tblClean[[#This Row],[New Followers]])&lt;0),1,0)</f>
        <v>0</v>
      </c>
      <c r="V334" s="24">
        <f>IF(ISNUMBER(tblClean[[#This Row],[Duration Hours]]),IF(OR(tblClean[[#This Row],[Duration Hours]]&lt;=0,tblClean[[#This Row],[Duration Hours]]&gt;12),1,0),1)</f>
        <v>0</v>
      </c>
      <c r="W334" s="24">
        <f>IF(COUNTIF(HostRoster,tblClean[[#This Row],[Host Name]])=0,1,0)</f>
        <v>0</v>
      </c>
      <c r="X334" s="24">
        <f>IF(tblClean[[#This Row],[Missing Flag]]+tblClean[[#This Row],[Duplicate Flag]]+tblClean[[#This Row],[Negative Flag]]+tblClean[[#This Row],[Duration Flag]]+tblClean[[#This Row],[Host Flag]]=0,1,0)</f>
        <v>1</v>
      </c>
    </row>
    <row r="335" spans="1:24" x14ac:dyDescent="0.3">
      <c r="A335" s="9" t="str">
        <f>TRIM('Raw Data'!A331)</f>
        <v>LS-0327</v>
      </c>
      <c r="B335" s="10">
        <f>IF(ISNUMBER('Raw Data'!B331),INT('Raw Data'!B331),IFERROR(DATEVALUE('Raw Data'!B331),""))</f>
        <v>45889</v>
      </c>
      <c r="C335" s="9" t="str">
        <f>PROPER(TRIM('Raw Data'!C331))</f>
        <v>Bianca Reyes</v>
      </c>
      <c r="D335" s="11">
        <f>IF(ISNUMBER('Raw Data'!D331),MOD('Raw Data'!D331,1),IFERROR(TIMEVALUE('Raw Data'!D331),""))</f>
        <v>0.41666666666666669</v>
      </c>
      <c r="E335" s="11">
        <f>IF(ISNUMBER('Raw Data'!E331),MOD('Raw Data'!E331,1),IFERROR(TIMEVALUE('Raw Data'!E331),""))</f>
        <v>0.52083333333333337</v>
      </c>
      <c r="F335" s="12">
        <f>IF(ISNUMBER('Raw Data'!F331),'Raw Data'!F331,IFERROR(VALUE(SUBSTITUTE('Raw Data'!F331,",","")),""))</f>
        <v>15142</v>
      </c>
      <c r="G335" s="13">
        <f>IF(ISNUMBER('Raw Data'!G331),'Raw Data'!G331,IFERROR(VALUE(SUBSTITUTE('Raw Data'!G331,",","")),""))</f>
        <v>44</v>
      </c>
      <c r="H335" s="13">
        <f>IF(ISNUMBER('Raw Data'!H331),'Raw Data'!H331,IFERROR(VALUE(SUBSTITUTE('Raw Data'!H331,",","")),""))</f>
        <v>76525</v>
      </c>
      <c r="I335" s="13">
        <f>IF(ISNUMBER('Raw Data'!I331),'Raw Data'!I331,IFERROR(VALUE(SUBSTITUTE('Raw Data'!I331,",","")),""))</f>
        <v>650</v>
      </c>
      <c r="J335" s="21">
        <f>IF(AND(ISNUMBER(tblClean[[#This Row],[Start Time]]),ISNUMBER(tblClean[[#This Row],[End Time]])),ROUND(MOD(tblClean[[#This Row],[End Time]]-tblClean[[#This Row],[Start Time]],1)*24,2),"")</f>
        <v>2.5</v>
      </c>
      <c r="K335" s="12">
        <f>IF(AND(ISNUMBER(tblClean[[#This Row],[Duration Hours]]),ISNUMBER(tblClean[[#This Row],[Attributed GMV PHP]])),IF(tblClean[[#This Row],[Duration Hours]]&gt;0,tblClean[[#This Row],[Attributed GMV PHP]]/tblClean[[#This Row],[Duration Hours]],""),"")</f>
        <v>6056.8</v>
      </c>
      <c r="L335" s="22">
        <f>IF(ISNUMBER(tblClean[[#This Row],[Date]]),DATE(YEAR(tblClean[[#This Row],[Date]]),MONTH(tblClean[[#This Row],[Date]]),1),"")</f>
        <v>45870</v>
      </c>
      <c r="M335" s="10">
        <f>IF(ISNUMBER(tblClean[[#This Row],[Date]]),tblClean[[#This Row],[Date]]-WEEKDAY(tblClean[[#This Row],[Date]],2)+1,"")</f>
        <v>45887</v>
      </c>
      <c r="N335" s="23">
        <f>IF(ISNUMBER(tblClean[[#This Row],[Week Start]]),(tblClean[[#This Row],[Week Start]]-MIN(tblClean[Week Start]))/7+1,"")</f>
        <v>12</v>
      </c>
      <c r="O335" s="24" t="str">
        <f>IF(ISNUMBER(tblClean[[#This Row],[Date]]),CHOOSE(WEEKDAY(tblClean[[#This Row],[Date]],2),"Mon","Tue","Wed","Thu","Fri","Sat","Sun"),"")</f>
        <v>Wed</v>
      </c>
      <c r="P335" s="24" t="str">
        <f>IF(ISNUMBER(tblClean[[#This Row],[Date]]),IF(WEEKDAY(tblClean[[#This Row],[Date]],2)&gt;=6,"Weekend","Weekday"),"")</f>
        <v>Weekday</v>
      </c>
      <c r="Q33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35" s="9" t="str">
        <f>IF(ISNUMBER(tblClean[[#This Row],[Duration Hours]]),IF(tblClean[[#This Row],[Duration Hours]]&lt;2,"Short (under 2h)",IF(tblClean[[#This Row],[Duration Hours]]&lt;3,"Standard (2h to under 3h)","Long (3h or more)")),"")</f>
        <v>Standard (2h to under 3h)</v>
      </c>
      <c r="S33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35" s="24">
        <f>IF(COUNTIF(tblClean[Session ID],tblClean[[#This Row],[Session ID]])&gt;1,1,0)</f>
        <v>0</v>
      </c>
      <c r="U335" s="24">
        <f>IF(OR(N(tblClean[[#This Row],[Attributed GMV PHP]])&lt;0,N(tblClean[[#This Row],[Items Sold]])&lt;0,N(tblClean[[#This Row],[Livestream Views]])&lt;0,N(tblClean[[#This Row],[New Followers]])&lt;0),1,0)</f>
        <v>0</v>
      </c>
      <c r="V335" s="24">
        <f>IF(ISNUMBER(tblClean[[#This Row],[Duration Hours]]),IF(OR(tblClean[[#This Row],[Duration Hours]]&lt;=0,tblClean[[#This Row],[Duration Hours]]&gt;12),1,0),1)</f>
        <v>0</v>
      </c>
      <c r="W335" s="24">
        <f>IF(COUNTIF(HostRoster,tblClean[[#This Row],[Host Name]])=0,1,0)</f>
        <v>0</v>
      </c>
      <c r="X335" s="24">
        <f>IF(tblClean[[#This Row],[Missing Flag]]+tblClean[[#This Row],[Duplicate Flag]]+tblClean[[#This Row],[Negative Flag]]+tblClean[[#This Row],[Duration Flag]]+tblClean[[#This Row],[Host Flag]]=0,1,0)</f>
        <v>1</v>
      </c>
    </row>
    <row r="336" spans="1:24" x14ac:dyDescent="0.3">
      <c r="A336" s="9" t="str">
        <f>TRIM('Raw Data'!A332)</f>
        <v>LS-0328</v>
      </c>
      <c r="B336" s="10">
        <f>IF(ISNUMBER('Raw Data'!B332),INT('Raw Data'!B332),IFERROR(DATEVALUE('Raw Data'!B332),""))</f>
        <v>45889</v>
      </c>
      <c r="C336" s="9" t="str">
        <f>PROPER(TRIM('Raw Data'!C332))</f>
        <v>Elise Navarro</v>
      </c>
      <c r="D336" s="11">
        <f>IF(ISNUMBER('Raw Data'!D332),MOD('Raw Data'!D332,1),IFERROR(TIMEVALUE('Raw Data'!D332),""))</f>
        <v>0.54166666666666663</v>
      </c>
      <c r="E336" s="11">
        <f>IF(ISNUMBER('Raw Data'!E332),MOD('Raw Data'!E332,1),IFERROR(TIMEVALUE('Raw Data'!E332),""))</f>
        <v>0.625</v>
      </c>
      <c r="F336" s="12">
        <f>IF(ISNUMBER('Raw Data'!F332),'Raw Data'!F332,IFERROR(VALUE(SUBSTITUTE('Raw Data'!F332,",","")),""))</f>
        <v>16806</v>
      </c>
      <c r="G336" s="13">
        <f>IF(ISNUMBER('Raw Data'!G332),'Raw Data'!G332,IFERROR(VALUE(SUBSTITUTE('Raw Data'!G332,",","")),""))</f>
        <v>43</v>
      </c>
      <c r="H336" s="13">
        <f>IF(ISNUMBER('Raw Data'!H332),'Raw Data'!H332,IFERROR(VALUE(SUBSTITUTE('Raw Data'!H332,",","")),""))</f>
        <v>55280</v>
      </c>
      <c r="I336" s="13">
        <f>IF(ISNUMBER('Raw Data'!I332),'Raw Data'!I332,IFERROR(VALUE(SUBSTITUTE('Raw Data'!I332,",","")),""))</f>
        <v>231</v>
      </c>
      <c r="J336" s="21">
        <f>IF(AND(ISNUMBER(tblClean[[#This Row],[Start Time]]),ISNUMBER(tblClean[[#This Row],[End Time]])),ROUND(MOD(tblClean[[#This Row],[End Time]]-tblClean[[#This Row],[Start Time]],1)*24,2),"")</f>
        <v>2</v>
      </c>
      <c r="K336" s="12">
        <f>IF(AND(ISNUMBER(tblClean[[#This Row],[Duration Hours]]),ISNUMBER(tblClean[[#This Row],[Attributed GMV PHP]])),IF(tblClean[[#This Row],[Duration Hours]]&gt;0,tblClean[[#This Row],[Attributed GMV PHP]]/tblClean[[#This Row],[Duration Hours]],""),"")</f>
        <v>8403</v>
      </c>
      <c r="L336" s="22">
        <f>IF(ISNUMBER(tblClean[[#This Row],[Date]]),DATE(YEAR(tblClean[[#This Row],[Date]]),MONTH(tblClean[[#This Row],[Date]]),1),"")</f>
        <v>45870</v>
      </c>
      <c r="M336" s="10">
        <f>IF(ISNUMBER(tblClean[[#This Row],[Date]]),tblClean[[#This Row],[Date]]-WEEKDAY(tblClean[[#This Row],[Date]],2)+1,"")</f>
        <v>45887</v>
      </c>
      <c r="N336" s="23">
        <f>IF(ISNUMBER(tblClean[[#This Row],[Week Start]]),(tblClean[[#This Row],[Week Start]]-MIN(tblClean[Week Start]))/7+1,"")</f>
        <v>12</v>
      </c>
      <c r="O336" s="24" t="str">
        <f>IF(ISNUMBER(tblClean[[#This Row],[Date]]),CHOOSE(WEEKDAY(tblClean[[#This Row],[Date]],2),"Mon","Tue","Wed","Thu","Fri","Sat","Sun"),"")</f>
        <v>Wed</v>
      </c>
      <c r="P336" s="24" t="str">
        <f>IF(ISNUMBER(tblClean[[#This Row],[Date]]),IF(WEEKDAY(tblClean[[#This Row],[Date]],2)&gt;=6,"Weekend","Weekday"),"")</f>
        <v>Weekday</v>
      </c>
      <c r="Q33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36" s="9" t="str">
        <f>IF(ISNUMBER(tblClean[[#This Row],[Duration Hours]]),IF(tblClean[[#This Row],[Duration Hours]]&lt;2,"Short (under 2h)",IF(tblClean[[#This Row],[Duration Hours]]&lt;3,"Standard (2h to under 3h)","Long (3h or more)")),"")</f>
        <v>Standard (2h to under 3h)</v>
      </c>
      <c r="S33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36" s="24">
        <f>IF(COUNTIF(tblClean[Session ID],tblClean[[#This Row],[Session ID]])&gt;1,1,0)</f>
        <v>0</v>
      </c>
      <c r="U336" s="24">
        <f>IF(OR(N(tblClean[[#This Row],[Attributed GMV PHP]])&lt;0,N(tblClean[[#This Row],[Items Sold]])&lt;0,N(tblClean[[#This Row],[Livestream Views]])&lt;0,N(tblClean[[#This Row],[New Followers]])&lt;0),1,0)</f>
        <v>0</v>
      </c>
      <c r="V336" s="24">
        <f>IF(ISNUMBER(tblClean[[#This Row],[Duration Hours]]),IF(OR(tblClean[[#This Row],[Duration Hours]]&lt;=0,tblClean[[#This Row],[Duration Hours]]&gt;12),1,0),1)</f>
        <v>0</v>
      </c>
      <c r="W336" s="24">
        <f>IF(COUNTIF(HostRoster,tblClean[[#This Row],[Host Name]])=0,1,0)</f>
        <v>0</v>
      </c>
      <c r="X336" s="24">
        <f>IF(tblClean[[#This Row],[Missing Flag]]+tblClean[[#This Row],[Duplicate Flag]]+tblClean[[#This Row],[Negative Flag]]+tblClean[[#This Row],[Duration Flag]]+tblClean[[#This Row],[Host Flag]]=0,1,0)</f>
        <v>1</v>
      </c>
    </row>
    <row r="337" spans="1:24" x14ac:dyDescent="0.3">
      <c r="A337" s="9" t="str">
        <f>TRIM('Raw Data'!A333)</f>
        <v>LS-0329</v>
      </c>
      <c r="B337" s="10">
        <f>IF(ISNUMBER('Raw Data'!B333),INT('Raw Data'!B333),IFERROR(DATEVALUE('Raw Data'!B333),""))</f>
        <v>45889</v>
      </c>
      <c r="C337" s="9" t="str">
        <f>PROPER(TRIM('Raw Data'!C333))</f>
        <v>Carlo Mendoza</v>
      </c>
      <c r="D337" s="11">
        <f>IF(ISNUMBER('Raw Data'!D333),MOD('Raw Data'!D333,1),IFERROR(TIMEVALUE('Raw Data'!D333),""))</f>
        <v>0.66666666666666663</v>
      </c>
      <c r="E337" s="11">
        <f>IF(ISNUMBER('Raw Data'!E333),MOD('Raw Data'!E333,1),IFERROR(TIMEVALUE('Raw Data'!E333),""))</f>
        <v>0.79166666666666663</v>
      </c>
      <c r="F337" s="12">
        <f>IF(ISNUMBER('Raw Data'!F333),'Raw Data'!F333,IFERROR(VALUE(SUBSTITUTE('Raw Data'!F333,",","")),""))</f>
        <v>30320</v>
      </c>
      <c r="G337" s="13">
        <f>IF(ISNUMBER('Raw Data'!G333),'Raw Data'!G333,IFERROR(VALUE(SUBSTITUTE('Raw Data'!G333,",","")),""))</f>
        <v>87</v>
      </c>
      <c r="H337" s="13">
        <f>IF(ISNUMBER('Raw Data'!H333),'Raw Data'!H333,IFERROR(VALUE(SUBSTITUTE('Raw Data'!H333,",","")),""))</f>
        <v>117436</v>
      </c>
      <c r="I337" s="13">
        <f>IF(ISNUMBER('Raw Data'!I333),'Raw Data'!I333,IFERROR(VALUE(SUBSTITUTE('Raw Data'!I333,",","")),""))</f>
        <v>822</v>
      </c>
      <c r="J337" s="21">
        <f>IF(AND(ISNUMBER(tblClean[[#This Row],[Start Time]]),ISNUMBER(tblClean[[#This Row],[End Time]])),ROUND(MOD(tblClean[[#This Row],[End Time]]-tblClean[[#This Row],[Start Time]],1)*24,2),"")</f>
        <v>3</v>
      </c>
      <c r="K337" s="12">
        <f>IF(AND(ISNUMBER(tblClean[[#This Row],[Duration Hours]]),ISNUMBER(tblClean[[#This Row],[Attributed GMV PHP]])),IF(tblClean[[#This Row],[Duration Hours]]&gt;0,tblClean[[#This Row],[Attributed GMV PHP]]/tblClean[[#This Row],[Duration Hours]],""),"")</f>
        <v>10106.666666666666</v>
      </c>
      <c r="L337" s="22">
        <f>IF(ISNUMBER(tblClean[[#This Row],[Date]]),DATE(YEAR(tblClean[[#This Row],[Date]]),MONTH(tblClean[[#This Row],[Date]]),1),"")</f>
        <v>45870</v>
      </c>
      <c r="M337" s="10">
        <f>IF(ISNUMBER(tblClean[[#This Row],[Date]]),tblClean[[#This Row],[Date]]-WEEKDAY(tblClean[[#This Row],[Date]],2)+1,"")</f>
        <v>45887</v>
      </c>
      <c r="N337" s="23">
        <f>IF(ISNUMBER(tblClean[[#This Row],[Week Start]]),(tblClean[[#This Row],[Week Start]]-MIN(tblClean[Week Start]))/7+1,"")</f>
        <v>12</v>
      </c>
      <c r="O337" s="24" t="str">
        <f>IF(ISNUMBER(tblClean[[#This Row],[Date]]),CHOOSE(WEEKDAY(tblClean[[#This Row],[Date]],2),"Mon","Tue","Wed","Thu","Fri","Sat","Sun"),"")</f>
        <v>Wed</v>
      </c>
      <c r="P337" s="24" t="str">
        <f>IF(ISNUMBER(tblClean[[#This Row],[Date]]),IF(WEEKDAY(tblClean[[#This Row],[Date]],2)&gt;=6,"Weekend","Weekday"),"")</f>
        <v>Weekday</v>
      </c>
      <c r="Q33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37" s="9" t="str">
        <f>IF(ISNUMBER(tblClean[[#This Row],[Duration Hours]]),IF(tblClean[[#This Row],[Duration Hours]]&lt;2,"Short (under 2h)",IF(tblClean[[#This Row],[Duration Hours]]&lt;3,"Standard (2h to under 3h)","Long (3h or more)")),"")</f>
        <v>Long (3h or more)</v>
      </c>
      <c r="S33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37" s="24">
        <f>IF(COUNTIF(tblClean[Session ID],tblClean[[#This Row],[Session ID]])&gt;1,1,0)</f>
        <v>0</v>
      </c>
      <c r="U337" s="24">
        <f>IF(OR(N(tblClean[[#This Row],[Attributed GMV PHP]])&lt;0,N(tblClean[[#This Row],[Items Sold]])&lt;0,N(tblClean[[#This Row],[Livestream Views]])&lt;0,N(tblClean[[#This Row],[New Followers]])&lt;0),1,0)</f>
        <v>0</v>
      </c>
      <c r="V337" s="24">
        <f>IF(ISNUMBER(tblClean[[#This Row],[Duration Hours]]),IF(OR(tblClean[[#This Row],[Duration Hours]]&lt;=0,tblClean[[#This Row],[Duration Hours]]&gt;12),1,0),1)</f>
        <v>0</v>
      </c>
      <c r="W337" s="24">
        <f>IF(COUNTIF(HostRoster,tblClean[[#This Row],[Host Name]])=0,1,0)</f>
        <v>0</v>
      </c>
      <c r="X337" s="24">
        <f>IF(tblClean[[#This Row],[Missing Flag]]+tblClean[[#This Row],[Duplicate Flag]]+tblClean[[#This Row],[Negative Flag]]+tblClean[[#This Row],[Duration Flag]]+tblClean[[#This Row],[Host Flag]]=0,1,0)</f>
        <v>1</v>
      </c>
    </row>
    <row r="338" spans="1:24" x14ac:dyDescent="0.3">
      <c r="A338" s="9" t="str">
        <f>TRIM('Raw Data'!A334)</f>
        <v>LS-0330</v>
      </c>
      <c r="B338" s="10">
        <f>IF(ISNUMBER('Raw Data'!B334),INT('Raw Data'!B334),IFERROR(DATEVALUE('Raw Data'!B334),""))</f>
        <v>45889</v>
      </c>
      <c r="C338" s="9" t="str">
        <f>PROPER(TRIM('Raw Data'!C334))</f>
        <v>Carlo Mendoza</v>
      </c>
      <c r="D338" s="11">
        <f>IF(ISNUMBER('Raw Data'!D334),MOD('Raw Data'!D334,1),IFERROR(TIMEVALUE('Raw Data'!D334),""))</f>
        <v>0.79166666666666663</v>
      </c>
      <c r="E338" s="11">
        <f>IF(ISNUMBER('Raw Data'!E334),MOD('Raw Data'!E334,1),IFERROR(TIMEVALUE('Raw Data'!E334),""))</f>
        <v>0.89583333333333337</v>
      </c>
      <c r="F338" s="12">
        <f>IF(ISNUMBER('Raw Data'!F334),'Raw Data'!F334,IFERROR(VALUE(SUBSTITUTE('Raw Data'!F334,",","")),""))</f>
        <v>44239</v>
      </c>
      <c r="G338" s="13">
        <f>IF(ISNUMBER('Raw Data'!G334),'Raw Data'!G334,IFERROR(VALUE(SUBSTITUTE('Raw Data'!G334,",","")),""))</f>
        <v>116</v>
      </c>
      <c r="H338" s="13">
        <f>IF(ISNUMBER('Raw Data'!H334),'Raw Data'!H334,IFERROR(VALUE(SUBSTITUTE('Raw Data'!H334,",","")),""))</f>
        <v>127000</v>
      </c>
      <c r="I338" s="13">
        <f>IF(ISNUMBER('Raw Data'!I334),'Raw Data'!I334,IFERROR(VALUE(SUBSTITUTE('Raw Data'!I334,",","")),""))</f>
        <v>1239</v>
      </c>
      <c r="J338" s="21">
        <f>IF(AND(ISNUMBER(tblClean[[#This Row],[Start Time]]),ISNUMBER(tblClean[[#This Row],[End Time]])),ROUND(MOD(tblClean[[#This Row],[End Time]]-tblClean[[#This Row],[Start Time]],1)*24,2),"")</f>
        <v>2.5</v>
      </c>
      <c r="K338" s="12">
        <f>IF(AND(ISNUMBER(tblClean[[#This Row],[Duration Hours]]),ISNUMBER(tblClean[[#This Row],[Attributed GMV PHP]])),IF(tblClean[[#This Row],[Duration Hours]]&gt;0,tblClean[[#This Row],[Attributed GMV PHP]]/tblClean[[#This Row],[Duration Hours]],""),"")</f>
        <v>17695.599999999999</v>
      </c>
      <c r="L338" s="22">
        <f>IF(ISNUMBER(tblClean[[#This Row],[Date]]),DATE(YEAR(tblClean[[#This Row],[Date]]),MONTH(tblClean[[#This Row],[Date]]),1),"")</f>
        <v>45870</v>
      </c>
      <c r="M338" s="10">
        <f>IF(ISNUMBER(tblClean[[#This Row],[Date]]),tblClean[[#This Row],[Date]]-WEEKDAY(tblClean[[#This Row],[Date]],2)+1,"")</f>
        <v>45887</v>
      </c>
      <c r="N338" s="23">
        <f>IF(ISNUMBER(tblClean[[#This Row],[Week Start]]),(tblClean[[#This Row],[Week Start]]-MIN(tblClean[Week Start]))/7+1,"")</f>
        <v>12</v>
      </c>
      <c r="O338" s="24" t="str">
        <f>IF(ISNUMBER(tblClean[[#This Row],[Date]]),CHOOSE(WEEKDAY(tblClean[[#This Row],[Date]],2),"Mon","Tue","Wed","Thu","Fri","Sat","Sun"),"")</f>
        <v>Wed</v>
      </c>
      <c r="P338" s="24" t="str">
        <f>IF(ISNUMBER(tblClean[[#This Row],[Date]]),IF(WEEKDAY(tblClean[[#This Row],[Date]],2)&gt;=6,"Weekend","Weekday"),"")</f>
        <v>Weekday</v>
      </c>
      <c r="Q33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38" s="9" t="str">
        <f>IF(ISNUMBER(tblClean[[#This Row],[Duration Hours]]),IF(tblClean[[#This Row],[Duration Hours]]&lt;2,"Short (under 2h)",IF(tblClean[[#This Row],[Duration Hours]]&lt;3,"Standard (2h to under 3h)","Long (3h or more)")),"")</f>
        <v>Standard (2h to under 3h)</v>
      </c>
      <c r="S33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38" s="24">
        <f>IF(COUNTIF(tblClean[Session ID],tblClean[[#This Row],[Session ID]])&gt;1,1,0)</f>
        <v>0</v>
      </c>
      <c r="U338" s="24">
        <f>IF(OR(N(tblClean[[#This Row],[Attributed GMV PHP]])&lt;0,N(tblClean[[#This Row],[Items Sold]])&lt;0,N(tblClean[[#This Row],[Livestream Views]])&lt;0,N(tblClean[[#This Row],[New Followers]])&lt;0),1,0)</f>
        <v>0</v>
      </c>
      <c r="V338" s="24">
        <f>IF(ISNUMBER(tblClean[[#This Row],[Duration Hours]]),IF(OR(tblClean[[#This Row],[Duration Hours]]&lt;=0,tblClean[[#This Row],[Duration Hours]]&gt;12),1,0),1)</f>
        <v>0</v>
      </c>
      <c r="W338" s="24">
        <f>IF(COUNTIF(HostRoster,tblClean[[#This Row],[Host Name]])=0,1,0)</f>
        <v>0</v>
      </c>
      <c r="X338" s="24">
        <f>IF(tblClean[[#This Row],[Missing Flag]]+tblClean[[#This Row],[Duplicate Flag]]+tblClean[[#This Row],[Negative Flag]]+tblClean[[#This Row],[Duration Flag]]+tblClean[[#This Row],[Host Flag]]=0,1,0)</f>
        <v>1</v>
      </c>
    </row>
    <row r="339" spans="1:24" x14ac:dyDescent="0.3">
      <c r="A339" s="9" t="str">
        <f>TRIM('Raw Data'!A335)</f>
        <v>LS-0331</v>
      </c>
      <c r="B339" s="10">
        <f>IF(ISNUMBER('Raw Data'!B335),INT('Raw Data'!B335),IFERROR(DATEVALUE('Raw Data'!B335),""))</f>
        <v>45889</v>
      </c>
      <c r="C339" s="9" t="str">
        <f>PROPER(TRIM('Raw Data'!C335))</f>
        <v>Bianca Reyes</v>
      </c>
      <c r="D339" s="11">
        <f>IF(ISNUMBER('Raw Data'!D335),MOD('Raw Data'!D335,1),IFERROR(TIMEVALUE('Raw Data'!D335),""))</f>
        <v>0.91666666666666663</v>
      </c>
      <c r="E339" s="11">
        <f>IF(ISNUMBER('Raw Data'!E335),MOD('Raw Data'!E335,1),IFERROR(TIMEVALUE('Raw Data'!E335),""))</f>
        <v>4.1666666666666657E-2</v>
      </c>
      <c r="F339" s="12">
        <f>IF(ISNUMBER('Raw Data'!F335),'Raw Data'!F335,IFERROR(VALUE(SUBSTITUTE('Raw Data'!F335,",","")),""))</f>
        <v>21661</v>
      </c>
      <c r="G339" s="13">
        <f>IF(ISNUMBER('Raw Data'!G335),'Raw Data'!G335,IFERROR(VALUE(SUBSTITUTE('Raw Data'!G335,",","")),""))</f>
        <v>62</v>
      </c>
      <c r="H339" s="13">
        <f>IF(ISNUMBER('Raw Data'!H335),'Raw Data'!H335,IFERROR(VALUE(SUBSTITUTE('Raw Data'!H335,",","")),""))</f>
        <v>83908</v>
      </c>
      <c r="I339" s="13">
        <f>IF(ISNUMBER('Raw Data'!I335),'Raw Data'!I335,IFERROR(VALUE(SUBSTITUTE('Raw Data'!I335,",","")),""))</f>
        <v>515</v>
      </c>
      <c r="J339" s="21">
        <f>IF(AND(ISNUMBER(tblClean[[#This Row],[Start Time]]),ISNUMBER(tblClean[[#This Row],[End Time]])),ROUND(MOD(tblClean[[#This Row],[End Time]]-tblClean[[#This Row],[Start Time]],1)*24,2),"")</f>
        <v>3</v>
      </c>
      <c r="K339" s="12">
        <f>IF(AND(ISNUMBER(tblClean[[#This Row],[Duration Hours]]),ISNUMBER(tblClean[[#This Row],[Attributed GMV PHP]])),IF(tblClean[[#This Row],[Duration Hours]]&gt;0,tblClean[[#This Row],[Attributed GMV PHP]]/tblClean[[#This Row],[Duration Hours]],""),"")</f>
        <v>7220.333333333333</v>
      </c>
      <c r="L339" s="22">
        <f>IF(ISNUMBER(tblClean[[#This Row],[Date]]),DATE(YEAR(tblClean[[#This Row],[Date]]),MONTH(tblClean[[#This Row],[Date]]),1),"")</f>
        <v>45870</v>
      </c>
      <c r="M339" s="10">
        <f>IF(ISNUMBER(tblClean[[#This Row],[Date]]),tblClean[[#This Row],[Date]]-WEEKDAY(tblClean[[#This Row],[Date]],2)+1,"")</f>
        <v>45887</v>
      </c>
      <c r="N339" s="23">
        <f>IF(ISNUMBER(tblClean[[#This Row],[Week Start]]),(tblClean[[#This Row],[Week Start]]-MIN(tblClean[Week Start]))/7+1,"")</f>
        <v>12</v>
      </c>
      <c r="O339" s="24" t="str">
        <f>IF(ISNUMBER(tblClean[[#This Row],[Date]]),CHOOSE(WEEKDAY(tblClean[[#This Row],[Date]],2),"Mon","Tue","Wed","Thu","Fri","Sat","Sun"),"")</f>
        <v>Wed</v>
      </c>
      <c r="P339" s="24" t="str">
        <f>IF(ISNUMBER(tblClean[[#This Row],[Date]]),IF(WEEKDAY(tblClean[[#This Row],[Date]],2)&gt;=6,"Weekend","Weekday"),"")</f>
        <v>Weekday</v>
      </c>
      <c r="Q33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39" s="9" t="str">
        <f>IF(ISNUMBER(tblClean[[#This Row],[Duration Hours]]),IF(tblClean[[#This Row],[Duration Hours]]&lt;2,"Short (under 2h)",IF(tblClean[[#This Row],[Duration Hours]]&lt;3,"Standard (2h to under 3h)","Long (3h or more)")),"")</f>
        <v>Long (3h or more)</v>
      </c>
      <c r="S33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39" s="24">
        <f>IF(COUNTIF(tblClean[Session ID],tblClean[[#This Row],[Session ID]])&gt;1,1,0)</f>
        <v>0</v>
      </c>
      <c r="U339" s="24">
        <f>IF(OR(N(tblClean[[#This Row],[Attributed GMV PHP]])&lt;0,N(tblClean[[#This Row],[Items Sold]])&lt;0,N(tblClean[[#This Row],[Livestream Views]])&lt;0,N(tblClean[[#This Row],[New Followers]])&lt;0),1,0)</f>
        <v>0</v>
      </c>
      <c r="V339" s="24">
        <f>IF(ISNUMBER(tblClean[[#This Row],[Duration Hours]]),IF(OR(tblClean[[#This Row],[Duration Hours]]&lt;=0,tblClean[[#This Row],[Duration Hours]]&gt;12),1,0),1)</f>
        <v>0</v>
      </c>
      <c r="W339" s="24">
        <f>IF(COUNTIF(HostRoster,tblClean[[#This Row],[Host Name]])=0,1,0)</f>
        <v>0</v>
      </c>
      <c r="X339" s="24">
        <f>IF(tblClean[[#This Row],[Missing Flag]]+tblClean[[#This Row],[Duplicate Flag]]+tblClean[[#This Row],[Negative Flag]]+tblClean[[#This Row],[Duration Flag]]+tblClean[[#This Row],[Host Flag]]=0,1,0)</f>
        <v>1</v>
      </c>
    </row>
    <row r="340" spans="1:24" x14ac:dyDescent="0.3">
      <c r="A340" s="9" t="str">
        <f>TRIM('Raw Data'!A336)</f>
        <v>LS-0332</v>
      </c>
      <c r="B340" s="10">
        <f>IF(ISNUMBER('Raw Data'!B336),INT('Raw Data'!B336),IFERROR(DATEVALUE('Raw Data'!B336),""))</f>
        <v>45890</v>
      </c>
      <c r="C340" s="9" t="str">
        <f>PROPER(TRIM('Raw Data'!C336))</f>
        <v>Bianca Reyes</v>
      </c>
      <c r="D340" s="11">
        <f>IF(ISNUMBER('Raw Data'!D336),MOD('Raw Data'!D336,1),IFERROR(TIMEVALUE('Raw Data'!D336),""))</f>
        <v>0.41666666666666669</v>
      </c>
      <c r="E340" s="11">
        <f>IF(ISNUMBER('Raw Data'!E336),MOD('Raw Data'!E336,1),IFERROR(TIMEVALUE('Raw Data'!E336),""))</f>
        <v>0.5</v>
      </c>
      <c r="F340" s="12">
        <f>IF(ISNUMBER('Raw Data'!F336),'Raw Data'!F336,IFERROR(VALUE(SUBSTITUTE('Raw Data'!F336,",","")),""))</f>
        <v>16412</v>
      </c>
      <c r="G340" s="13">
        <f>IF(ISNUMBER('Raw Data'!G336),'Raw Data'!G336,IFERROR(VALUE(SUBSTITUTE('Raw Data'!G336,",","")),""))</f>
        <v>52</v>
      </c>
      <c r="H340" s="13">
        <f>IF(ISNUMBER('Raw Data'!H336),'Raw Data'!H336,IFERROR(VALUE(SUBSTITUTE('Raw Data'!H336,",","")),""))</f>
        <v>62112</v>
      </c>
      <c r="I340" s="13">
        <f>IF(ISNUMBER('Raw Data'!I336),'Raw Data'!I336,IFERROR(VALUE(SUBSTITUTE('Raw Data'!I336,",","")),""))</f>
        <v>524</v>
      </c>
      <c r="J340" s="21">
        <f>IF(AND(ISNUMBER(tblClean[[#This Row],[Start Time]]),ISNUMBER(tblClean[[#This Row],[End Time]])),ROUND(MOD(tblClean[[#This Row],[End Time]]-tblClean[[#This Row],[Start Time]],1)*24,2),"")</f>
        <v>2</v>
      </c>
      <c r="K340" s="12">
        <f>IF(AND(ISNUMBER(tblClean[[#This Row],[Duration Hours]]),ISNUMBER(tblClean[[#This Row],[Attributed GMV PHP]])),IF(tblClean[[#This Row],[Duration Hours]]&gt;0,tblClean[[#This Row],[Attributed GMV PHP]]/tblClean[[#This Row],[Duration Hours]],""),"")</f>
        <v>8206</v>
      </c>
      <c r="L340" s="22">
        <f>IF(ISNUMBER(tblClean[[#This Row],[Date]]),DATE(YEAR(tblClean[[#This Row],[Date]]),MONTH(tblClean[[#This Row],[Date]]),1),"")</f>
        <v>45870</v>
      </c>
      <c r="M340" s="10">
        <f>IF(ISNUMBER(tblClean[[#This Row],[Date]]),tblClean[[#This Row],[Date]]-WEEKDAY(tblClean[[#This Row],[Date]],2)+1,"")</f>
        <v>45887</v>
      </c>
      <c r="N340" s="23">
        <f>IF(ISNUMBER(tblClean[[#This Row],[Week Start]]),(tblClean[[#This Row],[Week Start]]-MIN(tblClean[Week Start]))/7+1,"")</f>
        <v>12</v>
      </c>
      <c r="O340" s="24" t="str">
        <f>IF(ISNUMBER(tblClean[[#This Row],[Date]]),CHOOSE(WEEKDAY(tblClean[[#This Row],[Date]],2),"Mon","Tue","Wed","Thu","Fri","Sat","Sun"),"")</f>
        <v>Thu</v>
      </c>
      <c r="P340" s="24" t="str">
        <f>IF(ISNUMBER(tblClean[[#This Row],[Date]]),IF(WEEKDAY(tblClean[[#This Row],[Date]],2)&gt;=6,"Weekend","Weekday"),"")</f>
        <v>Weekday</v>
      </c>
      <c r="Q34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40" s="9" t="str">
        <f>IF(ISNUMBER(tblClean[[#This Row],[Duration Hours]]),IF(tblClean[[#This Row],[Duration Hours]]&lt;2,"Short (under 2h)",IF(tblClean[[#This Row],[Duration Hours]]&lt;3,"Standard (2h to under 3h)","Long (3h or more)")),"")</f>
        <v>Standard (2h to under 3h)</v>
      </c>
      <c r="S34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40" s="24">
        <f>IF(COUNTIF(tblClean[Session ID],tblClean[[#This Row],[Session ID]])&gt;1,1,0)</f>
        <v>0</v>
      </c>
      <c r="U340" s="24">
        <f>IF(OR(N(tblClean[[#This Row],[Attributed GMV PHP]])&lt;0,N(tblClean[[#This Row],[Items Sold]])&lt;0,N(tblClean[[#This Row],[Livestream Views]])&lt;0,N(tblClean[[#This Row],[New Followers]])&lt;0),1,0)</f>
        <v>0</v>
      </c>
      <c r="V340" s="24">
        <f>IF(ISNUMBER(tblClean[[#This Row],[Duration Hours]]),IF(OR(tblClean[[#This Row],[Duration Hours]]&lt;=0,tblClean[[#This Row],[Duration Hours]]&gt;12),1,0),1)</f>
        <v>0</v>
      </c>
      <c r="W340" s="24">
        <f>IF(COUNTIF(HostRoster,tblClean[[#This Row],[Host Name]])=0,1,0)</f>
        <v>0</v>
      </c>
      <c r="X340" s="24">
        <f>IF(tblClean[[#This Row],[Missing Flag]]+tblClean[[#This Row],[Duplicate Flag]]+tblClean[[#This Row],[Negative Flag]]+tblClean[[#This Row],[Duration Flag]]+tblClean[[#This Row],[Host Flag]]=0,1,0)</f>
        <v>1</v>
      </c>
    </row>
    <row r="341" spans="1:24" x14ac:dyDescent="0.3">
      <c r="A341" s="9" t="str">
        <f>TRIM('Raw Data'!A337)</f>
        <v>LS-0333</v>
      </c>
      <c r="B341" s="10">
        <f>IF(ISNUMBER('Raw Data'!B337),INT('Raw Data'!B337),IFERROR(DATEVALUE('Raw Data'!B337),""))</f>
        <v>45890</v>
      </c>
      <c r="C341" s="9" t="str">
        <f>PROPER(TRIM('Raw Data'!C337))</f>
        <v>Elise Navarro</v>
      </c>
      <c r="D341" s="11">
        <f>IF(ISNUMBER('Raw Data'!D337),MOD('Raw Data'!D337,1),IFERROR(TIMEVALUE('Raw Data'!D337),""))</f>
        <v>0.54166666666666663</v>
      </c>
      <c r="E341" s="11">
        <f>IF(ISNUMBER('Raw Data'!E337),MOD('Raw Data'!E337,1),IFERROR(TIMEVALUE('Raw Data'!E337),""))</f>
        <v>0.66666666666666663</v>
      </c>
      <c r="F341" s="12">
        <f>IF(ISNUMBER('Raw Data'!F337),'Raw Data'!F337,IFERROR(VALUE(SUBSTITUTE('Raw Data'!F337,",","")),""))</f>
        <v>26518</v>
      </c>
      <c r="G341" s="13">
        <f>IF(ISNUMBER('Raw Data'!G337),'Raw Data'!G337,IFERROR(VALUE(SUBSTITUTE('Raw Data'!G337,",","")),""))</f>
        <v>73</v>
      </c>
      <c r="H341" s="13">
        <f>IF(ISNUMBER('Raw Data'!H337),'Raw Data'!H337,IFERROR(VALUE(SUBSTITUTE('Raw Data'!H337,",","")),""))</f>
        <v>82872</v>
      </c>
      <c r="I341" s="13">
        <f>IF(ISNUMBER('Raw Data'!I337),'Raw Data'!I337,IFERROR(VALUE(SUBSTITUTE('Raw Data'!I337,",","")),""))</f>
        <v>475</v>
      </c>
      <c r="J341" s="21">
        <f>IF(AND(ISNUMBER(tblClean[[#This Row],[Start Time]]),ISNUMBER(tblClean[[#This Row],[End Time]])),ROUND(MOD(tblClean[[#This Row],[End Time]]-tblClean[[#This Row],[Start Time]],1)*24,2),"")</f>
        <v>3</v>
      </c>
      <c r="K341" s="12">
        <f>IF(AND(ISNUMBER(tblClean[[#This Row],[Duration Hours]]),ISNUMBER(tblClean[[#This Row],[Attributed GMV PHP]])),IF(tblClean[[#This Row],[Duration Hours]]&gt;0,tblClean[[#This Row],[Attributed GMV PHP]]/tblClean[[#This Row],[Duration Hours]],""),"")</f>
        <v>8839.3333333333339</v>
      </c>
      <c r="L341" s="22">
        <f>IF(ISNUMBER(tblClean[[#This Row],[Date]]),DATE(YEAR(tblClean[[#This Row],[Date]]),MONTH(tblClean[[#This Row],[Date]]),1),"")</f>
        <v>45870</v>
      </c>
      <c r="M341" s="10">
        <f>IF(ISNUMBER(tblClean[[#This Row],[Date]]),tblClean[[#This Row],[Date]]-WEEKDAY(tblClean[[#This Row],[Date]],2)+1,"")</f>
        <v>45887</v>
      </c>
      <c r="N341" s="23">
        <f>IF(ISNUMBER(tblClean[[#This Row],[Week Start]]),(tblClean[[#This Row],[Week Start]]-MIN(tblClean[Week Start]))/7+1,"")</f>
        <v>12</v>
      </c>
      <c r="O341" s="24" t="str">
        <f>IF(ISNUMBER(tblClean[[#This Row],[Date]]),CHOOSE(WEEKDAY(tblClean[[#This Row],[Date]],2),"Mon","Tue","Wed","Thu","Fri","Sat","Sun"),"")</f>
        <v>Thu</v>
      </c>
      <c r="P341" s="24" t="str">
        <f>IF(ISNUMBER(tblClean[[#This Row],[Date]]),IF(WEEKDAY(tblClean[[#This Row],[Date]],2)&gt;=6,"Weekend","Weekday"),"")</f>
        <v>Weekday</v>
      </c>
      <c r="Q34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41" s="9" t="str">
        <f>IF(ISNUMBER(tblClean[[#This Row],[Duration Hours]]),IF(tblClean[[#This Row],[Duration Hours]]&lt;2,"Short (under 2h)",IF(tblClean[[#This Row],[Duration Hours]]&lt;3,"Standard (2h to under 3h)","Long (3h or more)")),"")</f>
        <v>Long (3h or more)</v>
      </c>
      <c r="S34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41" s="24">
        <f>IF(COUNTIF(tblClean[Session ID],tblClean[[#This Row],[Session ID]])&gt;1,1,0)</f>
        <v>0</v>
      </c>
      <c r="U341" s="24">
        <f>IF(OR(N(tblClean[[#This Row],[Attributed GMV PHP]])&lt;0,N(tblClean[[#This Row],[Items Sold]])&lt;0,N(tblClean[[#This Row],[Livestream Views]])&lt;0,N(tblClean[[#This Row],[New Followers]])&lt;0),1,0)</f>
        <v>0</v>
      </c>
      <c r="V341" s="24">
        <f>IF(ISNUMBER(tblClean[[#This Row],[Duration Hours]]),IF(OR(tblClean[[#This Row],[Duration Hours]]&lt;=0,tblClean[[#This Row],[Duration Hours]]&gt;12),1,0),1)</f>
        <v>0</v>
      </c>
      <c r="W341" s="24">
        <f>IF(COUNTIF(HostRoster,tblClean[[#This Row],[Host Name]])=0,1,0)</f>
        <v>0</v>
      </c>
      <c r="X341" s="24">
        <f>IF(tblClean[[#This Row],[Missing Flag]]+tblClean[[#This Row],[Duplicate Flag]]+tblClean[[#This Row],[Negative Flag]]+tblClean[[#This Row],[Duration Flag]]+tblClean[[#This Row],[Host Flag]]=0,1,0)</f>
        <v>1</v>
      </c>
    </row>
    <row r="342" spans="1:24" x14ac:dyDescent="0.3">
      <c r="A342" s="9" t="str">
        <f>TRIM('Raw Data'!A338)</f>
        <v>LS-0334</v>
      </c>
      <c r="B342" s="10">
        <f>IF(ISNUMBER('Raw Data'!B338),INT('Raw Data'!B338),IFERROR(DATEVALUE('Raw Data'!B338),""))</f>
        <v>45890</v>
      </c>
      <c r="C342" s="9" t="str">
        <f>PROPER(TRIM('Raw Data'!C338))</f>
        <v>Bianca Reyes</v>
      </c>
      <c r="D342" s="11">
        <f>IF(ISNUMBER('Raw Data'!D338),MOD('Raw Data'!D338,1),IFERROR(TIMEVALUE('Raw Data'!D338),""))</f>
        <v>0.66666666666666663</v>
      </c>
      <c r="E342" s="11">
        <f>IF(ISNUMBER('Raw Data'!E338),MOD('Raw Data'!E338,1),IFERROR(TIMEVALUE('Raw Data'!E338),""))</f>
        <v>0.77083333333333337</v>
      </c>
      <c r="F342" s="12">
        <f>IF(ISNUMBER('Raw Data'!F338),'Raw Data'!F338,IFERROR(VALUE(SUBSTITUTE('Raw Data'!F338,",","")),""))</f>
        <v>26328</v>
      </c>
      <c r="G342" s="13">
        <f>IF(ISNUMBER('Raw Data'!G338),'Raw Data'!G338,IFERROR(VALUE(SUBSTITUTE('Raw Data'!G338,",","")),""))</f>
        <v>90</v>
      </c>
      <c r="H342" s="13">
        <f>IF(ISNUMBER('Raw Data'!H338),'Raw Data'!H338,IFERROR(VALUE(SUBSTITUTE('Raw Data'!H338,",","")),""))</f>
        <v>92454</v>
      </c>
      <c r="I342" s="13">
        <f>IF(ISNUMBER('Raw Data'!I338),'Raw Data'!I338,IFERROR(VALUE(SUBSTITUTE('Raw Data'!I338,",","")),""))</f>
        <v>934</v>
      </c>
      <c r="J342" s="21">
        <f>IF(AND(ISNUMBER(tblClean[[#This Row],[Start Time]]),ISNUMBER(tblClean[[#This Row],[End Time]])),ROUND(MOD(tblClean[[#This Row],[End Time]]-tblClean[[#This Row],[Start Time]],1)*24,2),"")</f>
        <v>2.5</v>
      </c>
      <c r="K342" s="12">
        <f>IF(AND(ISNUMBER(tblClean[[#This Row],[Duration Hours]]),ISNUMBER(tblClean[[#This Row],[Attributed GMV PHP]])),IF(tblClean[[#This Row],[Duration Hours]]&gt;0,tblClean[[#This Row],[Attributed GMV PHP]]/tblClean[[#This Row],[Duration Hours]],""),"")</f>
        <v>10531.2</v>
      </c>
      <c r="L342" s="22">
        <f>IF(ISNUMBER(tblClean[[#This Row],[Date]]),DATE(YEAR(tblClean[[#This Row],[Date]]),MONTH(tblClean[[#This Row],[Date]]),1),"")</f>
        <v>45870</v>
      </c>
      <c r="M342" s="10">
        <f>IF(ISNUMBER(tblClean[[#This Row],[Date]]),tblClean[[#This Row],[Date]]-WEEKDAY(tblClean[[#This Row],[Date]],2)+1,"")</f>
        <v>45887</v>
      </c>
      <c r="N342" s="23">
        <f>IF(ISNUMBER(tblClean[[#This Row],[Week Start]]),(tblClean[[#This Row],[Week Start]]-MIN(tblClean[Week Start]))/7+1,"")</f>
        <v>12</v>
      </c>
      <c r="O342" s="24" t="str">
        <f>IF(ISNUMBER(tblClean[[#This Row],[Date]]),CHOOSE(WEEKDAY(tblClean[[#This Row],[Date]],2),"Mon","Tue","Wed","Thu","Fri","Sat","Sun"),"")</f>
        <v>Thu</v>
      </c>
      <c r="P342" s="24" t="str">
        <f>IF(ISNUMBER(tblClean[[#This Row],[Date]]),IF(WEEKDAY(tblClean[[#This Row],[Date]],2)&gt;=6,"Weekend","Weekday"),"")</f>
        <v>Weekday</v>
      </c>
      <c r="Q34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42" s="9" t="str">
        <f>IF(ISNUMBER(tblClean[[#This Row],[Duration Hours]]),IF(tblClean[[#This Row],[Duration Hours]]&lt;2,"Short (under 2h)",IF(tblClean[[#This Row],[Duration Hours]]&lt;3,"Standard (2h to under 3h)","Long (3h or more)")),"")</f>
        <v>Standard (2h to under 3h)</v>
      </c>
      <c r="S34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42" s="24">
        <f>IF(COUNTIF(tblClean[Session ID],tblClean[[#This Row],[Session ID]])&gt;1,1,0)</f>
        <v>0</v>
      </c>
      <c r="U342" s="24">
        <f>IF(OR(N(tblClean[[#This Row],[Attributed GMV PHP]])&lt;0,N(tblClean[[#This Row],[Items Sold]])&lt;0,N(tblClean[[#This Row],[Livestream Views]])&lt;0,N(tblClean[[#This Row],[New Followers]])&lt;0),1,0)</f>
        <v>0</v>
      </c>
      <c r="V342" s="24">
        <f>IF(ISNUMBER(tblClean[[#This Row],[Duration Hours]]),IF(OR(tblClean[[#This Row],[Duration Hours]]&lt;=0,tblClean[[#This Row],[Duration Hours]]&gt;12),1,0),1)</f>
        <v>0</v>
      </c>
      <c r="W342" s="24">
        <f>IF(COUNTIF(HostRoster,tblClean[[#This Row],[Host Name]])=0,1,0)</f>
        <v>0</v>
      </c>
      <c r="X342" s="24">
        <f>IF(tblClean[[#This Row],[Missing Flag]]+tblClean[[#This Row],[Duplicate Flag]]+tblClean[[#This Row],[Negative Flag]]+tblClean[[#This Row],[Duration Flag]]+tblClean[[#This Row],[Host Flag]]=0,1,0)</f>
        <v>1</v>
      </c>
    </row>
    <row r="343" spans="1:24" x14ac:dyDescent="0.3">
      <c r="A343" s="9" t="str">
        <f>TRIM('Raw Data'!A339)</f>
        <v>LS-0335</v>
      </c>
      <c r="B343" s="10">
        <f>IF(ISNUMBER('Raw Data'!B339),INT('Raw Data'!B339),IFERROR(DATEVALUE('Raw Data'!B339),""))</f>
        <v>45890</v>
      </c>
      <c r="C343" s="9" t="str">
        <f>PROPER(TRIM('Raw Data'!C339))</f>
        <v>Bianca Reyes</v>
      </c>
      <c r="D343" s="11">
        <f>IF(ISNUMBER('Raw Data'!D339),MOD('Raw Data'!D339,1),IFERROR(TIMEVALUE('Raw Data'!D339),""))</f>
        <v>0.79166666666666663</v>
      </c>
      <c r="E343" s="11">
        <f>IF(ISNUMBER('Raw Data'!E339),MOD('Raw Data'!E339,1),IFERROR(TIMEVALUE('Raw Data'!E339),""))</f>
        <v>0.85416666666666663</v>
      </c>
      <c r="F343" s="12">
        <f>IF(ISNUMBER('Raw Data'!F339),'Raw Data'!F339,IFERROR(VALUE(SUBSTITUTE('Raw Data'!F339,",","")),""))</f>
        <v>16159</v>
      </c>
      <c r="G343" s="13">
        <f>IF(ISNUMBER('Raw Data'!G339),'Raw Data'!G339,IFERROR(VALUE(SUBSTITUTE('Raw Data'!G339,",","")),""))</f>
        <v>50</v>
      </c>
      <c r="H343" s="13">
        <f>IF(ISNUMBER('Raw Data'!H339),'Raw Data'!H339,IFERROR(VALUE(SUBSTITUTE('Raw Data'!H339,",","")),""))</f>
        <v>73302</v>
      </c>
      <c r="I343" s="13">
        <f>IF(ISNUMBER('Raw Data'!I339),'Raw Data'!I339,IFERROR(VALUE(SUBSTITUTE('Raw Data'!I339,",","")),""))</f>
        <v>669</v>
      </c>
      <c r="J343" s="21">
        <f>IF(AND(ISNUMBER(tblClean[[#This Row],[Start Time]]),ISNUMBER(tblClean[[#This Row],[End Time]])),ROUND(MOD(tblClean[[#This Row],[End Time]]-tblClean[[#This Row],[Start Time]],1)*24,2),"")</f>
        <v>1.5</v>
      </c>
      <c r="K343" s="12">
        <f>IF(AND(ISNUMBER(tblClean[[#This Row],[Duration Hours]]),ISNUMBER(tblClean[[#This Row],[Attributed GMV PHP]])),IF(tblClean[[#This Row],[Duration Hours]]&gt;0,tblClean[[#This Row],[Attributed GMV PHP]]/tblClean[[#This Row],[Duration Hours]],""),"")</f>
        <v>10772.666666666666</v>
      </c>
      <c r="L343" s="22">
        <f>IF(ISNUMBER(tblClean[[#This Row],[Date]]),DATE(YEAR(tblClean[[#This Row],[Date]]),MONTH(tblClean[[#This Row],[Date]]),1),"")</f>
        <v>45870</v>
      </c>
      <c r="M343" s="10">
        <f>IF(ISNUMBER(tblClean[[#This Row],[Date]]),tblClean[[#This Row],[Date]]-WEEKDAY(tblClean[[#This Row],[Date]],2)+1,"")</f>
        <v>45887</v>
      </c>
      <c r="N343" s="23">
        <f>IF(ISNUMBER(tblClean[[#This Row],[Week Start]]),(tblClean[[#This Row],[Week Start]]-MIN(tblClean[Week Start]))/7+1,"")</f>
        <v>12</v>
      </c>
      <c r="O343" s="24" t="str">
        <f>IF(ISNUMBER(tblClean[[#This Row],[Date]]),CHOOSE(WEEKDAY(tblClean[[#This Row],[Date]],2),"Mon","Tue","Wed","Thu","Fri","Sat","Sun"),"")</f>
        <v>Thu</v>
      </c>
      <c r="P343" s="24" t="str">
        <f>IF(ISNUMBER(tblClean[[#This Row],[Date]]),IF(WEEKDAY(tblClean[[#This Row],[Date]],2)&gt;=6,"Weekend","Weekday"),"")</f>
        <v>Weekday</v>
      </c>
      <c r="Q34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43" s="9" t="str">
        <f>IF(ISNUMBER(tblClean[[#This Row],[Duration Hours]]),IF(tblClean[[#This Row],[Duration Hours]]&lt;2,"Short (under 2h)",IF(tblClean[[#This Row],[Duration Hours]]&lt;3,"Standard (2h to under 3h)","Long (3h or more)")),"")</f>
        <v>Short (under 2h)</v>
      </c>
      <c r="S34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43" s="24">
        <f>IF(COUNTIF(tblClean[Session ID],tblClean[[#This Row],[Session ID]])&gt;1,1,0)</f>
        <v>0</v>
      </c>
      <c r="U343" s="24">
        <f>IF(OR(N(tblClean[[#This Row],[Attributed GMV PHP]])&lt;0,N(tblClean[[#This Row],[Items Sold]])&lt;0,N(tblClean[[#This Row],[Livestream Views]])&lt;0,N(tblClean[[#This Row],[New Followers]])&lt;0),1,0)</f>
        <v>0</v>
      </c>
      <c r="V343" s="24">
        <f>IF(ISNUMBER(tblClean[[#This Row],[Duration Hours]]),IF(OR(tblClean[[#This Row],[Duration Hours]]&lt;=0,tblClean[[#This Row],[Duration Hours]]&gt;12),1,0),1)</f>
        <v>0</v>
      </c>
      <c r="W343" s="24">
        <f>IF(COUNTIF(HostRoster,tblClean[[#This Row],[Host Name]])=0,1,0)</f>
        <v>0</v>
      </c>
      <c r="X343" s="24">
        <f>IF(tblClean[[#This Row],[Missing Flag]]+tblClean[[#This Row],[Duplicate Flag]]+tblClean[[#This Row],[Negative Flag]]+tblClean[[#This Row],[Duration Flag]]+tblClean[[#This Row],[Host Flag]]=0,1,0)</f>
        <v>1</v>
      </c>
    </row>
    <row r="344" spans="1:24" x14ac:dyDescent="0.3">
      <c r="A344" s="9" t="str">
        <f>TRIM('Raw Data'!A340)</f>
        <v>LS-0336</v>
      </c>
      <c r="B344" s="10">
        <f>IF(ISNUMBER('Raw Data'!B340),INT('Raw Data'!B340),IFERROR(DATEVALUE('Raw Data'!B340),""))</f>
        <v>45890</v>
      </c>
      <c r="C344" s="9" t="str">
        <f>PROPER(TRIM('Raw Data'!C340))</f>
        <v>Carlo Mendoza</v>
      </c>
      <c r="D344" s="11">
        <f>IF(ISNUMBER('Raw Data'!D340),MOD('Raw Data'!D340,1),IFERROR(TIMEVALUE('Raw Data'!D340),""))</f>
        <v>0.91666666666666663</v>
      </c>
      <c r="E344" s="11">
        <f>IF(ISNUMBER('Raw Data'!E340),MOD('Raw Data'!E340,1),IFERROR(TIMEVALUE('Raw Data'!E340),""))</f>
        <v>2.0833333333333329E-2</v>
      </c>
      <c r="F344" s="12">
        <f>IF(ISNUMBER('Raw Data'!F340),'Raw Data'!F340,IFERROR(VALUE(SUBSTITUTE('Raw Data'!F340,",","")),""))</f>
        <v>9120</v>
      </c>
      <c r="G344" s="13">
        <f>IF(ISNUMBER('Raw Data'!G340),'Raw Data'!G340,IFERROR(VALUE(SUBSTITUTE('Raw Data'!G340,",","")),""))</f>
        <v>26</v>
      </c>
      <c r="H344" s="13">
        <f>IF(ISNUMBER('Raw Data'!H340),'Raw Data'!H340,IFERROR(VALUE(SUBSTITUTE('Raw Data'!H340,",","")),""))</f>
        <v>28020</v>
      </c>
      <c r="I344" s="13">
        <f>IF(ISNUMBER('Raw Data'!I340),'Raw Data'!I340,IFERROR(VALUE(SUBSTITUTE('Raw Data'!I340,",","")),""))</f>
        <v>156</v>
      </c>
      <c r="J344" s="21">
        <f>IF(AND(ISNUMBER(tblClean[[#This Row],[Start Time]]),ISNUMBER(tblClean[[#This Row],[End Time]])),ROUND(MOD(tblClean[[#This Row],[End Time]]-tblClean[[#This Row],[Start Time]],1)*24,2),"")</f>
        <v>2.5</v>
      </c>
      <c r="K344" s="12">
        <f>IF(AND(ISNUMBER(tblClean[[#This Row],[Duration Hours]]),ISNUMBER(tblClean[[#This Row],[Attributed GMV PHP]])),IF(tblClean[[#This Row],[Duration Hours]]&gt;0,tblClean[[#This Row],[Attributed GMV PHP]]/tblClean[[#This Row],[Duration Hours]],""),"")</f>
        <v>3648</v>
      </c>
      <c r="L344" s="22">
        <f>IF(ISNUMBER(tblClean[[#This Row],[Date]]),DATE(YEAR(tblClean[[#This Row],[Date]]),MONTH(tblClean[[#This Row],[Date]]),1),"")</f>
        <v>45870</v>
      </c>
      <c r="M344" s="10">
        <f>IF(ISNUMBER(tblClean[[#This Row],[Date]]),tblClean[[#This Row],[Date]]-WEEKDAY(tblClean[[#This Row],[Date]],2)+1,"")</f>
        <v>45887</v>
      </c>
      <c r="N344" s="23">
        <f>IF(ISNUMBER(tblClean[[#This Row],[Week Start]]),(tblClean[[#This Row],[Week Start]]-MIN(tblClean[Week Start]))/7+1,"")</f>
        <v>12</v>
      </c>
      <c r="O344" s="24" t="str">
        <f>IF(ISNUMBER(tblClean[[#This Row],[Date]]),CHOOSE(WEEKDAY(tblClean[[#This Row],[Date]],2),"Mon","Tue","Wed","Thu","Fri","Sat","Sun"),"")</f>
        <v>Thu</v>
      </c>
      <c r="P344" s="24" t="str">
        <f>IF(ISNUMBER(tblClean[[#This Row],[Date]]),IF(WEEKDAY(tblClean[[#This Row],[Date]],2)&gt;=6,"Weekend","Weekday"),"")</f>
        <v>Weekday</v>
      </c>
      <c r="Q34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44" s="9" t="str">
        <f>IF(ISNUMBER(tblClean[[#This Row],[Duration Hours]]),IF(tblClean[[#This Row],[Duration Hours]]&lt;2,"Short (under 2h)",IF(tblClean[[#This Row],[Duration Hours]]&lt;3,"Standard (2h to under 3h)","Long (3h or more)")),"")</f>
        <v>Standard (2h to under 3h)</v>
      </c>
      <c r="S34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44" s="24">
        <f>IF(COUNTIF(tblClean[Session ID],tblClean[[#This Row],[Session ID]])&gt;1,1,0)</f>
        <v>0</v>
      </c>
      <c r="U344" s="24">
        <f>IF(OR(N(tblClean[[#This Row],[Attributed GMV PHP]])&lt;0,N(tblClean[[#This Row],[Items Sold]])&lt;0,N(tblClean[[#This Row],[Livestream Views]])&lt;0,N(tblClean[[#This Row],[New Followers]])&lt;0),1,0)</f>
        <v>0</v>
      </c>
      <c r="V344" s="24">
        <f>IF(ISNUMBER(tblClean[[#This Row],[Duration Hours]]),IF(OR(tblClean[[#This Row],[Duration Hours]]&lt;=0,tblClean[[#This Row],[Duration Hours]]&gt;12),1,0),1)</f>
        <v>0</v>
      </c>
      <c r="W344" s="24">
        <f>IF(COUNTIF(HostRoster,tblClean[[#This Row],[Host Name]])=0,1,0)</f>
        <v>0</v>
      </c>
      <c r="X344" s="24">
        <f>IF(tblClean[[#This Row],[Missing Flag]]+tblClean[[#This Row],[Duplicate Flag]]+tblClean[[#This Row],[Negative Flag]]+tblClean[[#This Row],[Duration Flag]]+tblClean[[#This Row],[Host Flag]]=0,1,0)</f>
        <v>1</v>
      </c>
    </row>
    <row r="345" spans="1:24" x14ac:dyDescent="0.3">
      <c r="A345" s="9" t="str">
        <f>TRIM('Raw Data'!A341)</f>
        <v>LS-0337</v>
      </c>
      <c r="B345" s="10">
        <f>IF(ISNUMBER('Raw Data'!B341),INT('Raw Data'!B341),IFERROR(DATEVALUE('Raw Data'!B341),""))</f>
        <v>45891</v>
      </c>
      <c r="C345" s="9" t="str">
        <f>PROPER(TRIM('Raw Data'!C341))</f>
        <v>Dani Villanueva</v>
      </c>
      <c r="D345" s="11">
        <f>IF(ISNUMBER('Raw Data'!D341),MOD('Raw Data'!D341,1),IFERROR(TIMEVALUE('Raw Data'!D341),""))</f>
        <v>0.54166666666666663</v>
      </c>
      <c r="E345" s="11">
        <f>IF(ISNUMBER('Raw Data'!E341),MOD('Raw Data'!E341,1),IFERROR(TIMEVALUE('Raw Data'!E341),""))</f>
        <v>0.66666666666666663</v>
      </c>
      <c r="F345" s="12">
        <f>IF(ISNUMBER('Raw Data'!F341),'Raw Data'!F341,IFERROR(VALUE(SUBSTITUTE('Raw Data'!F341,",","")),""))</f>
        <v>15612</v>
      </c>
      <c r="G345" s="13">
        <f>IF(ISNUMBER('Raw Data'!G341),'Raw Data'!G341,IFERROR(VALUE(SUBSTITUTE('Raw Data'!G341,",","")),""))</f>
        <v>43</v>
      </c>
      <c r="H345" s="13">
        <f>IF(ISNUMBER('Raw Data'!H341),'Raw Data'!H341,IFERROR(VALUE(SUBSTITUTE('Raw Data'!H341,",","")),""))</f>
        <v>49666</v>
      </c>
      <c r="I345" s="13">
        <f>IF(ISNUMBER('Raw Data'!I341),'Raw Data'!I341,IFERROR(VALUE(SUBSTITUTE('Raw Data'!I341,",","")),""))</f>
        <v>325</v>
      </c>
      <c r="J345" s="21">
        <f>IF(AND(ISNUMBER(tblClean[[#This Row],[Start Time]]),ISNUMBER(tblClean[[#This Row],[End Time]])),ROUND(MOD(tblClean[[#This Row],[End Time]]-tblClean[[#This Row],[Start Time]],1)*24,2),"")</f>
        <v>3</v>
      </c>
      <c r="K345" s="12">
        <f>IF(AND(ISNUMBER(tblClean[[#This Row],[Duration Hours]]),ISNUMBER(tblClean[[#This Row],[Attributed GMV PHP]])),IF(tblClean[[#This Row],[Duration Hours]]&gt;0,tblClean[[#This Row],[Attributed GMV PHP]]/tblClean[[#This Row],[Duration Hours]],""),"")</f>
        <v>5204</v>
      </c>
      <c r="L345" s="22">
        <f>IF(ISNUMBER(tblClean[[#This Row],[Date]]),DATE(YEAR(tblClean[[#This Row],[Date]]),MONTH(tblClean[[#This Row],[Date]]),1),"")</f>
        <v>45870</v>
      </c>
      <c r="M345" s="10">
        <f>IF(ISNUMBER(tblClean[[#This Row],[Date]]),tblClean[[#This Row],[Date]]-WEEKDAY(tblClean[[#This Row],[Date]],2)+1,"")</f>
        <v>45887</v>
      </c>
      <c r="N345" s="23">
        <f>IF(ISNUMBER(tblClean[[#This Row],[Week Start]]),(tblClean[[#This Row],[Week Start]]-MIN(tblClean[Week Start]))/7+1,"")</f>
        <v>12</v>
      </c>
      <c r="O345" s="24" t="str">
        <f>IF(ISNUMBER(tblClean[[#This Row],[Date]]),CHOOSE(WEEKDAY(tblClean[[#This Row],[Date]],2),"Mon","Tue","Wed","Thu","Fri","Sat","Sun"),"")</f>
        <v>Fri</v>
      </c>
      <c r="P345" s="24" t="str">
        <f>IF(ISNUMBER(tblClean[[#This Row],[Date]]),IF(WEEKDAY(tblClean[[#This Row],[Date]],2)&gt;=6,"Weekend","Weekday"),"")</f>
        <v>Weekday</v>
      </c>
      <c r="Q34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45" s="9" t="str">
        <f>IF(ISNUMBER(tblClean[[#This Row],[Duration Hours]]),IF(tblClean[[#This Row],[Duration Hours]]&lt;2,"Short (under 2h)",IF(tblClean[[#This Row],[Duration Hours]]&lt;3,"Standard (2h to under 3h)","Long (3h or more)")),"")</f>
        <v>Long (3h or more)</v>
      </c>
      <c r="S34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45" s="24">
        <f>IF(COUNTIF(tblClean[Session ID],tblClean[[#This Row],[Session ID]])&gt;1,1,0)</f>
        <v>0</v>
      </c>
      <c r="U345" s="24">
        <f>IF(OR(N(tblClean[[#This Row],[Attributed GMV PHP]])&lt;0,N(tblClean[[#This Row],[Items Sold]])&lt;0,N(tblClean[[#This Row],[Livestream Views]])&lt;0,N(tblClean[[#This Row],[New Followers]])&lt;0),1,0)</f>
        <v>0</v>
      </c>
      <c r="V345" s="24">
        <f>IF(ISNUMBER(tblClean[[#This Row],[Duration Hours]]),IF(OR(tblClean[[#This Row],[Duration Hours]]&lt;=0,tblClean[[#This Row],[Duration Hours]]&gt;12),1,0),1)</f>
        <v>0</v>
      </c>
      <c r="W345" s="24">
        <f>IF(COUNTIF(HostRoster,tblClean[[#This Row],[Host Name]])=0,1,0)</f>
        <v>0</v>
      </c>
      <c r="X345" s="24">
        <f>IF(tblClean[[#This Row],[Missing Flag]]+tblClean[[#This Row],[Duplicate Flag]]+tblClean[[#This Row],[Negative Flag]]+tblClean[[#This Row],[Duration Flag]]+tblClean[[#This Row],[Host Flag]]=0,1,0)</f>
        <v>1</v>
      </c>
    </row>
    <row r="346" spans="1:24" x14ac:dyDescent="0.3">
      <c r="A346" s="9" t="str">
        <f>TRIM('Raw Data'!A342)</f>
        <v>LS-0338</v>
      </c>
      <c r="B346" s="10">
        <f>IF(ISNUMBER('Raw Data'!B342),INT('Raw Data'!B342),IFERROR(DATEVALUE('Raw Data'!B342),""))</f>
        <v>45891</v>
      </c>
      <c r="C346" s="9" t="str">
        <f>PROPER(TRIM('Raw Data'!C342))</f>
        <v>Carlo Mendoza</v>
      </c>
      <c r="D346" s="11">
        <f>IF(ISNUMBER('Raw Data'!D342),MOD('Raw Data'!D342,1),IFERROR(TIMEVALUE('Raw Data'!D342),""))</f>
        <v>0.66666666666666663</v>
      </c>
      <c r="E346" s="11">
        <f>IF(ISNUMBER('Raw Data'!E342),MOD('Raw Data'!E342,1),IFERROR(TIMEVALUE('Raw Data'!E342),""))</f>
        <v>0.75</v>
      </c>
      <c r="F346" s="12">
        <f>IF(ISNUMBER('Raw Data'!F342),'Raw Data'!F342,IFERROR(VALUE(SUBSTITUTE('Raw Data'!F342,",","")),""))</f>
        <v>18798</v>
      </c>
      <c r="G346" s="13">
        <f>IF(ISNUMBER('Raw Data'!G342),'Raw Data'!G342,IFERROR(VALUE(SUBSTITUTE('Raw Data'!G342,",","")),""))</f>
        <v>55</v>
      </c>
      <c r="H346" s="13">
        <f>IF(ISNUMBER('Raw Data'!H342),'Raw Data'!H342,IFERROR(VALUE(SUBSTITUTE('Raw Data'!H342,",","")),""))</f>
        <v>75657</v>
      </c>
      <c r="I346" s="13">
        <f>IF(ISNUMBER('Raw Data'!I342),'Raw Data'!I342,IFERROR(VALUE(SUBSTITUTE('Raw Data'!I342,",","")),""))</f>
        <v>804</v>
      </c>
      <c r="J346" s="21">
        <f>IF(AND(ISNUMBER(tblClean[[#This Row],[Start Time]]),ISNUMBER(tblClean[[#This Row],[End Time]])),ROUND(MOD(tblClean[[#This Row],[End Time]]-tblClean[[#This Row],[Start Time]],1)*24,2),"")</f>
        <v>2</v>
      </c>
      <c r="K346" s="12">
        <f>IF(AND(ISNUMBER(tblClean[[#This Row],[Duration Hours]]),ISNUMBER(tblClean[[#This Row],[Attributed GMV PHP]])),IF(tblClean[[#This Row],[Duration Hours]]&gt;0,tblClean[[#This Row],[Attributed GMV PHP]]/tblClean[[#This Row],[Duration Hours]],""),"")</f>
        <v>9399</v>
      </c>
      <c r="L346" s="22">
        <f>IF(ISNUMBER(tblClean[[#This Row],[Date]]),DATE(YEAR(tblClean[[#This Row],[Date]]),MONTH(tblClean[[#This Row],[Date]]),1),"")</f>
        <v>45870</v>
      </c>
      <c r="M346" s="10">
        <f>IF(ISNUMBER(tblClean[[#This Row],[Date]]),tblClean[[#This Row],[Date]]-WEEKDAY(tblClean[[#This Row],[Date]],2)+1,"")</f>
        <v>45887</v>
      </c>
      <c r="N346" s="23">
        <f>IF(ISNUMBER(tblClean[[#This Row],[Week Start]]),(tblClean[[#This Row],[Week Start]]-MIN(tblClean[Week Start]))/7+1,"")</f>
        <v>12</v>
      </c>
      <c r="O346" s="24" t="str">
        <f>IF(ISNUMBER(tblClean[[#This Row],[Date]]),CHOOSE(WEEKDAY(tblClean[[#This Row],[Date]],2),"Mon","Tue","Wed","Thu","Fri","Sat","Sun"),"")</f>
        <v>Fri</v>
      </c>
      <c r="P346" s="24" t="str">
        <f>IF(ISNUMBER(tblClean[[#This Row],[Date]]),IF(WEEKDAY(tblClean[[#This Row],[Date]],2)&gt;=6,"Weekend","Weekday"),"")</f>
        <v>Weekday</v>
      </c>
      <c r="Q34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46" s="9" t="str">
        <f>IF(ISNUMBER(tblClean[[#This Row],[Duration Hours]]),IF(tblClean[[#This Row],[Duration Hours]]&lt;2,"Short (under 2h)",IF(tblClean[[#This Row],[Duration Hours]]&lt;3,"Standard (2h to under 3h)","Long (3h or more)")),"")</f>
        <v>Standard (2h to under 3h)</v>
      </c>
      <c r="S34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46" s="24">
        <f>IF(COUNTIF(tblClean[Session ID],tblClean[[#This Row],[Session ID]])&gt;1,1,0)</f>
        <v>0</v>
      </c>
      <c r="U346" s="24">
        <f>IF(OR(N(tblClean[[#This Row],[Attributed GMV PHP]])&lt;0,N(tblClean[[#This Row],[Items Sold]])&lt;0,N(tblClean[[#This Row],[Livestream Views]])&lt;0,N(tblClean[[#This Row],[New Followers]])&lt;0),1,0)</f>
        <v>0</v>
      </c>
      <c r="V346" s="24">
        <f>IF(ISNUMBER(tblClean[[#This Row],[Duration Hours]]),IF(OR(tblClean[[#This Row],[Duration Hours]]&lt;=0,tblClean[[#This Row],[Duration Hours]]&gt;12),1,0),1)</f>
        <v>0</v>
      </c>
      <c r="W346" s="24">
        <f>IF(COUNTIF(HostRoster,tblClean[[#This Row],[Host Name]])=0,1,0)</f>
        <v>0</v>
      </c>
      <c r="X346" s="24">
        <f>IF(tblClean[[#This Row],[Missing Flag]]+tblClean[[#This Row],[Duplicate Flag]]+tblClean[[#This Row],[Negative Flag]]+tblClean[[#This Row],[Duration Flag]]+tblClean[[#This Row],[Host Flag]]=0,1,0)</f>
        <v>1</v>
      </c>
    </row>
    <row r="347" spans="1:24" x14ac:dyDescent="0.3">
      <c r="A347" s="9" t="str">
        <f>TRIM('Raw Data'!A343)</f>
        <v>LS-0339</v>
      </c>
      <c r="B347" s="10">
        <f>IF(ISNUMBER('Raw Data'!B343),INT('Raw Data'!B343),IFERROR(DATEVALUE('Raw Data'!B343),""))</f>
        <v>45891</v>
      </c>
      <c r="C347" s="9" t="str">
        <f>PROPER(TRIM('Raw Data'!C343))</f>
        <v>Elise Navarro</v>
      </c>
      <c r="D347" s="11">
        <f>IF(ISNUMBER('Raw Data'!D343),MOD('Raw Data'!D343,1),IFERROR(TIMEVALUE('Raw Data'!D343),""))</f>
        <v>0.79166666666666663</v>
      </c>
      <c r="E347" s="11">
        <f>IF(ISNUMBER('Raw Data'!E343),MOD('Raw Data'!E343,1),IFERROR(TIMEVALUE('Raw Data'!E343),""))</f>
        <v>0.85416666666666663</v>
      </c>
      <c r="F347" s="12">
        <f>IF(ISNUMBER('Raw Data'!F343),'Raw Data'!F343,IFERROR(VALUE(SUBSTITUTE('Raw Data'!F343,",","")),""))</f>
        <v>46782</v>
      </c>
      <c r="G347" s="13">
        <f>IF(ISNUMBER('Raw Data'!G343),'Raw Data'!G343,IFERROR(VALUE(SUBSTITUTE('Raw Data'!G343,",","")),""))</f>
        <v>125</v>
      </c>
      <c r="H347" s="13">
        <f>IF(ISNUMBER('Raw Data'!H343),'Raw Data'!H343,IFERROR(VALUE(SUBSTITUTE('Raw Data'!H343,",","")),""))</f>
        <v>155369</v>
      </c>
      <c r="I347" s="13">
        <f>IF(ISNUMBER('Raw Data'!I343),'Raw Data'!I343,IFERROR(VALUE(SUBSTITUTE('Raw Data'!I343,",","")),""))</f>
        <v>1372</v>
      </c>
      <c r="J347" s="21">
        <f>IF(AND(ISNUMBER(tblClean[[#This Row],[Start Time]]),ISNUMBER(tblClean[[#This Row],[End Time]])),ROUND(MOD(tblClean[[#This Row],[End Time]]-tblClean[[#This Row],[Start Time]],1)*24,2),"")</f>
        <v>1.5</v>
      </c>
      <c r="K347" s="12">
        <f>IF(AND(ISNUMBER(tblClean[[#This Row],[Duration Hours]]),ISNUMBER(tblClean[[#This Row],[Attributed GMV PHP]])),IF(tblClean[[#This Row],[Duration Hours]]&gt;0,tblClean[[#This Row],[Attributed GMV PHP]]/tblClean[[#This Row],[Duration Hours]],""),"")</f>
        <v>31188</v>
      </c>
      <c r="L347" s="22">
        <f>IF(ISNUMBER(tblClean[[#This Row],[Date]]),DATE(YEAR(tblClean[[#This Row],[Date]]),MONTH(tblClean[[#This Row],[Date]]),1),"")</f>
        <v>45870</v>
      </c>
      <c r="M347" s="10">
        <f>IF(ISNUMBER(tblClean[[#This Row],[Date]]),tblClean[[#This Row],[Date]]-WEEKDAY(tblClean[[#This Row],[Date]],2)+1,"")</f>
        <v>45887</v>
      </c>
      <c r="N347" s="23">
        <f>IF(ISNUMBER(tblClean[[#This Row],[Week Start]]),(tblClean[[#This Row],[Week Start]]-MIN(tblClean[Week Start]))/7+1,"")</f>
        <v>12</v>
      </c>
      <c r="O347" s="24" t="str">
        <f>IF(ISNUMBER(tblClean[[#This Row],[Date]]),CHOOSE(WEEKDAY(tblClean[[#This Row],[Date]],2),"Mon","Tue","Wed","Thu","Fri","Sat","Sun"),"")</f>
        <v>Fri</v>
      </c>
      <c r="P347" s="24" t="str">
        <f>IF(ISNUMBER(tblClean[[#This Row],[Date]]),IF(WEEKDAY(tblClean[[#This Row],[Date]],2)&gt;=6,"Weekend","Weekday"),"")</f>
        <v>Weekday</v>
      </c>
      <c r="Q34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47" s="9" t="str">
        <f>IF(ISNUMBER(tblClean[[#This Row],[Duration Hours]]),IF(tblClean[[#This Row],[Duration Hours]]&lt;2,"Short (under 2h)",IF(tblClean[[#This Row],[Duration Hours]]&lt;3,"Standard (2h to under 3h)","Long (3h or more)")),"")</f>
        <v>Short (under 2h)</v>
      </c>
      <c r="S34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47" s="24">
        <f>IF(COUNTIF(tblClean[Session ID],tblClean[[#This Row],[Session ID]])&gt;1,1,0)</f>
        <v>0</v>
      </c>
      <c r="U347" s="24">
        <f>IF(OR(N(tblClean[[#This Row],[Attributed GMV PHP]])&lt;0,N(tblClean[[#This Row],[Items Sold]])&lt;0,N(tblClean[[#This Row],[Livestream Views]])&lt;0,N(tblClean[[#This Row],[New Followers]])&lt;0),1,0)</f>
        <v>0</v>
      </c>
      <c r="V347" s="24">
        <f>IF(ISNUMBER(tblClean[[#This Row],[Duration Hours]]),IF(OR(tblClean[[#This Row],[Duration Hours]]&lt;=0,tblClean[[#This Row],[Duration Hours]]&gt;12),1,0),1)</f>
        <v>0</v>
      </c>
      <c r="W347" s="24">
        <f>IF(COUNTIF(HostRoster,tblClean[[#This Row],[Host Name]])=0,1,0)</f>
        <v>0</v>
      </c>
      <c r="X347" s="24">
        <f>IF(tblClean[[#This Row],[Missing Flag]]+tblClean[[#This Row],[Duplicate Flag]]+tblClean[[#This Row],[Negative Flag]]+tblClean[[#This Row],[Duration Flag]]+tblClean[[#This Row],[Host Flag]]=0,1,0)</f>
        <v>1</v>
      </c>
    </row>
    <row r="348" spans="1:24" x14ac:dyDescent="0.3">
      <c r="A348" s="9" t="str">
        <f>TRIM('Raw Data'!A344)</f>
        <v>LS-0340</v>
      </c>
      <c r="B348" s="10">
        <f>IF(ISNUMBER('Raw Data'!B344),INT('Raw Data'!B344),IFERROR(DATEVALUE('Raw Data'!B344),""))</f>
        <v>45892</v>
      </c>
      <c r="C348" s="9" t="str">
        <f>PROPER(TRIM('Raw Data'!C344))</f>
        <v>Bianca Reyes</v>
      </c>
      <c r="D348" s="11">
        <f>IF(ISNUMBER('Raw Data'!D344),MOD('Raw Data'!D344,1),IFERROR(TIMEVALUE('Raw Data'!D344),""))</f>
        <v>0.41666666666666669</v>
      </c>
      <c r="E348" s="11">
        <f>IF(ISNUMBER('Raw Data'!E344),MOD('Raw Data'!E344,1),IFERROR(TIMEVALUE('Raw Data'!E344),""))</f>
        <v>0.54166666666666663</v>
      </c>
      <c r="F348" s="12">
        <f>IF(ISNUMBER('Raw Data'!F344),'Raw Data'!F344,IFERROR(VALUE(SUBSTITUTE('Raw Data'!F344,",","")),""))</f>
        <v>31110</v>
      </c>
      <c r="G348" s="13">
        <f>IF(ISNUMBER('Raw Data'!G344),'Raw Data'!G344,IFERROR(VALUE(SUBSTITUTE('Raw Data'!G344,",","")),""))</f>
        <v>83</v>
      </c>
      <c r="H348" s="13">
        <f>IF(ISNUMBER('Raw Data'!H344),'Raw Data'!H344,IFERROR(VALUE(SUBSTITUTE('Raw Data'!H344,",","")),""))</f>
        <v>111351</v>
      </c>
      <c r="I348" s="13">
        <f>IF(ISNUMBER('Raw Data'!I344),'Raw Data'!I344,IFERROR(VALUE(SUBSTITUTE('Raw Data'!I344,",","")),""))</f>
        <v>1330</v>
      </c>
      <c r="J348" s="21">
        <f>IF(AND(ISNUMBER(tblClean[[#This Row],[Start Time]]),ISNUMBER(tblClean[[#This Row],[End Time]])),ROUND(MOD(tblClean[[#This Row],[End Time]]-tblClean[[#This Row],[Start Time]],1)*24,2),"")</f>
        <v>3</v>
      </c>
      <c r="K348" s="12">
        <f>IF(AND(ISNUMBER(tblClean[[#This Row],[Duration Hours]]),ISNUMBER(tblClean[[#This Row],[Attributed GMV PHP]])),IF(tblClean[[#This Row],[Duration Hours]]&gt;0,tblClean[[#This Row],[Attributed GMV PHP]]/tblClean[[#This Row],[Duration Hours]],""),"")</f>
        <v>10370</v>
      </c>
      <c r="L348" s="22">
        <f>IF(ISNUMBER(tblClean[[#This Row],[Date]]),DATE(YEAR(tblClean[[#This Row],[Date]]),MONTH(tblClean[[#This Row],[Date]]),1),"")</f>
        <v>45870</v>
      </c>
      <c r="M348" s="10">
        <f>IF(ISNUMBER(tblClean[[#This Row],[Date]]),tblClean[[#This Row],[Date]]-WEEKDAY(tblClean[[#This Row],[Date]],2)+1,"")</f>
        <v>45887</v>
      </c>
      <c r="N348" s="23">
        <f>IF(ISNUMBER(tblClean[[#This Row],[Week Start]]),(tblClean[[#This Row],[Week Start]]-MIN(tblClean[Week Start]))/7+1,"")</f>
        <v>12</v>
      </c>
      <c r="O348" s="24" t="str">
        <f>IF(ISNUMBER(tblClean[[#This Row],[Date]]),CHOOSE(WEEKDAY(tblClean[[#This Row],[Date]],2),"Mon","Tue","Wed","Thu","Fri","Sat","Sun"),"")</f>
        <v>Sat</v>
      </c>
      <c r="P348" s="24" t="str">
        <f>IF(ISNUMBER(tblClean[[#This Row],[Date]]),IF(WEEKDAY(tblClean[[#This Row],[Date]],2)&gt;=6,"Weekend","Weekday"),"")</f>
        <v>Weekend</v>
      </c>
      <c r="Q34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48" s="9" t="str">
        <f>IF(ISNUMBER(tblClean[[#This Row],[Duration Hours]]),IF(tblClean[[#This Row],[Duration Hours]]&lt;2,"Short (under 2h)",IF(tblClean[[#This Row],[Duration Hours]]&lt;3,"Standard (2h to under 3h)","Long (3h or more)")),"")</f>
        <v>Long (3h or more)</v>
      </c>
      <c r="S34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48" s="24">
        <f>IF(COUNTIF(tblClean[Session ID],tblClean[[#This Row],[Session ID]])&gt;1,1,0)</f>
        <v>0</v>
      </c>
      <c r="U348" s="24">
        <f>IF(OR(N(tblClean[[#This Row],[Attributed GMV PHP]])&lt;0,N(tblClean[[#This Row],[Items Sold]])&lt;0,N(tblClean[[#This Row],[Livestream Views]])&lt;0,N(tblClean[[#This Row],[New Followers]])&lt;0),1,0)</f>
        <v>0</v>
      </c>
      <c r="V348" s="24">
        <f>IF(ISNUMBER(tblClean[[#This Row],[Duration Hours]]),IF(OR(tblClean[[#This Row],[Duration Hours]]&lt;=0,tblClean[[#This Row],[Duration Hours]]&gt;12),1,0),1)</f>
        <v>0</v>
      </c>
      <c r="W348" s="24">
        <f>IF(COUNTIF(HostRoster,tblClean[[#This Row],[Host Name]])=0,1,0)</f>
        <v>0</v>
      </c>
      <c r="X348" s="24">
        <f>IF(tblClean[[#This Row],[Missing Flag]]+tblClean[[#This Row],[Duplicate Flag]]+tblClean[[#This Row],[Negative Flag]]+tblClean[[#This Row],[Duration Flag]]+tblClean[[#This Row],[Host Flag]]=0,1,0)</f>
        <v>1</v>
      </c>
    </row>
    <row r="349" spans="1:24" x14ac:dyDescent="0.3">
      <c r="A349" s="9" t="str">
        <f>TRIM('Raw Data'!A345)</f>
        <v>LS-0341</v>
      </c>
      <c r="B349" s="10">
        <f>IF(ISNUMBER('Raw Data'!B345),INT('Raw Data'!B345),IFERROR(DATEVALUE('Raw Data'!B345),""))</f>
        <v>45892</v>
      </c>
      <c r="C349" s="9" t="str">
        <f>PROPER(TRIM('Raw Data'!C345))</f>
        <v>Bianca Reyes</v>
      </c>
      <c r="D349" s="11">
        <f>IF(ISNUMBER('Raw Data'!D345),MOD('Raw Data'!D345,1),IFERROR(TIMEVALUE('Raw Data'!D345),""))</f>
        <v>0.54166666666666663</v>
      </c>
      <c r="E349" s="11">
        <f>IF(ISNUMBER('Raw Data'!E345),MOD('Raw Data'!E345,1),IFERROR(TIMEVALUE('Raw Data'!E345),""))</f>
        <v>0.625</v>
      </c>
      <c r="F349" s="12">
        <f>IF(ISNUMBER('Raw Data'!F345),'Raw Data'!F345,IFERROR(VALUE(SUBSTITUTE('Raw Data'!F345,",","")),""))</f>
        <v>21170</v>
      </c>
      <c r="G349" s="13">
        <f>IF(ISNUMBER('Raw Data'!G345),'Raw Data'!G345,IFERROR(VALUE(SUBSTITUTE('Raw Data'!G345,",","")),""))</f>
        <v>60</v>
      </c>
      <c r="H349" s="13">
        <f>IF(ISNUMBER('Raw Data'!H345),'Raw Data'!H345,IFERROR(VALUE(SUBSTITUTE('Raw Data'!H345,",","")),""))</f>
        <v>97766</v>
      </c>
      <c r="I349" s="13">
        <f>IF(ISNUMBER('Raw Data'!I345),'Raw Data'!I345,IFERROR(VALUE(SUBSTITUTE('Raw Data'!I345,",","")),""))</f>
        <v>610</v>
      </c>
      <c r="J349" s="21">
        <f>IF(AND(ISNUMBER(tblClean[[#This Row],[Start Time]]),ISNUMBER(tblClean[[#This Row],[End Time]])),ROUND(MOD(tblClean[[#This Row],[End Time]]-tblClean[[#This Row],[Start Time]],1)*24,2),"")</f>
        <v>2</v>
      </c>
      <c r="K349" s="12">
        <f>IF(AND(ISNUMBER(tblClean[[#This Row],[Duration Hours]]),ISNUMBER(tblClean[[#This Row],[Attributed GMV PHP]])),IF(tblClean[[#This Row],[Duration Hours]]&gt;0,tblClean[[#This Row],[Attributed GMV PHP]]/tblClean[[#This Row],[Duration Hours]],""),"")</f>
        <v>10585</v>
      </c>
      <c r="L349" s="22">
        <f>IF(ISNUMBER(tblClean[[#This Row],[Date]]),DATE(YEAR(tblClean[[#This Row],[Date]]),MONTH(tblClean[[#This Row],[Date]]),1),"")</f>
        <v>45870</v>
      </c>
      <c r="M349" s="10">
        <f>IF(ISNUMBER(tblClean[[#This Row],[Date]]),tblClean[[#This Row],[Date]]-WEEKDAY(tblClean[[#This Row],[Date]],2)+1,"")</f>
        <v>45887</v>
      </c>
      <c r="N349" s="23">
        <f>IF(ISNUMBER(tblClean[[#This Row],[Week Start]]),(tblClean[[#This Row],[Week Start]]-MIN(tblClean[Week Start]))/7+1,"")</f>
        <v>12</v>
      </c>
      <c r="O349" s="24" t="str">
        <f>IF(ISNUMBER(tblClean[[#This Row],[Date]]),CHOOSE(WEEKDAY(tblClean[[#This Row],[Date]],2),"Mon","Tue","Wed","Thu","Fri","Sat","Sun"),"")</f>
        <v>Sat</v>
      </c>
      <c r="P349" s="24" t="str">
        <f>IF(ISNUMBER(tblClean[[#This Row],[Date]]),IF(WEEKDAY(tblClean[[#This Row],[Date]],2)&gt;=6,"Weekend","Weekday"),"")</f>
        <v>Weekend</v>
      </c>
      <c r="Q34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49" s="9" t="str">
        <f>IF(ISNUMBER(tblClean[[#This Row],[Duration Hours]]),IF(tblClean[[#This Row],[Duration Hours]]&lt;2,"Short (under 2h)",IF(tblClean[[#This Row],[Duration Hours]]&lt;3,"Standard (2h to under 3h)","Long (3h or more)")),"")</f>
        <v>Standard (2h to under 3h)</v>
      </c>
      <c r="S34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49" s="24">
        <f>IF(COUNTIF(tblClean[Session ID],tblClean[[#This Row],[Session ID]])&gt;1,1,0)</f>
        <v>0</v>
      </c>
      <c r="U349" s="24">
        <f>IF(OR(N(tblClean[[#This Row],[Attributed GMV PHP]])&lt;0,N(tblClean[[#This Row],[Items Sold]])&lt;0,N(tblClean[[#This Row],[Livestream Views]])&lt;0,N(tblClean[[#This Row],[New Followers]])&lt;0),1,0)</f>
        <v>0</v>
      </c>
      <c r="V349" s="24">
        <f>IF(ISNUMBER(tblClean[[#This Row],[Duration Hours]]),IF(OR(tblClean[[#This Row],[Duration Hours]]&lt;=0,tblClean[[#This Row],[Duration Hours]]&gt;12),1,0),1)</f>
        <v>0</v>
      </c>
      <c r="W349" s="24">
        <f>IF(COUNTIF(HostRoster,tblClean[[#This Row],[Host Name]])=0,1,0)</f>
        <v>0</v>
      </c>
      <c r="X349" s="24">
        <f>IF(tblClean[[#This Row],[Missing Flag]]+tblClean[[#This Row],[Duplicate Flag]]+tblClean[[#This Row],[Negative Flag]]+tblClean[[#This Row],[Duration Flag]]+tblClean[[#This Row],[Host Flag]]=0,1,0)</f>
        <v>1</v>
      </c>
    </row>
    <row r="350" spans="1:24" x14ac:dyDescent="0.3">
      <c r="A350" s="9" t="str">
        <f>TRIM('Raw Data'!A346)</f>
        <v>LS-0342</v>
      </c>
      <c r="B350" s="10">
        <f>IF(ISNUMBER('Raw Data'!B346),INT('Raw Data'!B346),IFERROR(DATEVALUE('Raw Data'!B346),""))</f>
        <v>45892</v>
      </c>
      <c r="C350" s="9" t="str">
        <f>PROPER(TRIM('Raw Data'!C346))</f>
        <v>Dani Villanueva</v>
      </c>
      <c r="D350" s="11">
        <f>IF(ISNUMBER('Raw Data'!D346),MOD('Raw Data'!D346,1),IFERROR(TIMEVALUE('Raw Data'!D346),""))</f>
        <v>0.66666666666666663</v>
      </c>
      <c r="E350" s="11">
        <f>IF(ISNUMBER('Raw Data'!E346),MOD('Raw Data'!E346,1),IFERROR(TIMEVALUE('Raw Data'!E346),""))</f>
        <v>0.77083333333333337</v>
      </c>
      <c r="F350" s="12">
        <f>IF(ISNUMBER('Raw Data'!F346),'Raw Data'!F346,IFERROR(VALUE(SUBSTITUTE('Raw Data'!F346,",","")),""))</f>
        <v>44129</v>
      </c>
      <c r="G350" s="13">
        <f>IF(ISNUMBER('Raw Data'!G346),'Raw Data'!G346,IFERROR(VALUE(SUBSTITUTE('Raw Data'!G346,",","")),""))</f>
        <v>102</v>
      </c>
      <c r="H350" s="13">
        <f>IF(ISNUMBER('Raw Data'!H346),'Raw Data'!H346,IFERROR(VALUE(SUBSTITUTE('Raw Data'!H346,",","")),""))</f>
        <v>164262</v>
      </c>
      <c r="I350" s="13">
        <f>IF(ISNUMBER('Raw Data'!I346),'Raw Data'!I346,IFERROR(VALUE(SUBSTITUTE('Raw Data'!I346,",","")),""))</f>
        <v>1895</v>
      </c>
      <c r="J350" s="21">
        <f>IF(AND(ISNUMBER(tblClean[[#This Row],[Start Time]]),ISNUMBER(tblClean[[#This Row],[End Time]])),ROUND(MOD(tblClean[[#This Row],[End Time]]-tblClean[[#This Row],[Start Time]],1)*24,2),"")</f>
        <v>2.5</v>
      </c>
      <c r="K350" s="12">
        <f>IF(AND(ISNUMBER(tblClean[[#This Row],[Duration Hours]]),ISNUMBER(tblClean[[#This Row],[Attributed GMV PHP]])),IF(tblClean[[#This Row],[Duration Hours]]&gt;0,tblClean[[#This Row],[Attributed GMV PHP]]/tblClean[[#This Row],[Duration Hours]],""),"")</f>
        <v>17651.599999999999</v>
      </c>
      <c r="L350" s="22">
        <f>IF(ISNUMBER(tblClean[[#This Row],[Date]]),DATE(YEAR(tblClean[[#This Row],[Date]]),MONTH(tblClean[[#This Row],[Date]]),1),"")</f>
        <v>45870</v>
      </c>
      <c r="M350" s="10">
        <f>IF(ISNUMBER(tblClean[[#This Row],[Date]]),tblClean[[#This Row],[Date]]-WEEKDAY(tblClean[[#This Row],[Date]],2)+1,"")</f>
        <v>45887</v>
      </c>
      <c r="N350" s="23">
        <f>IF(ISNUMBER(tblClean[[#This Row],[Week Start]]),(tblClean[[#This Row],[Week Start]]-MIN(tblClean[Week Start]))/7+1,"")</f>
        <v>12</v>
      </c>
      <c r="O350" s="24" t="str">
        <f>IF(ISNUMBER(tblClean[[#This Row],[Date]]),CHOOSE(WEEKDAY(tblClean[[#This Row],[Date]],2),"Mon","Tue","Wed","Thu","Fri","Sat","Sun"),"")</f>
        <v>Sat</v>
      </c>
      <c r="P350" s="24" t="str">
        <f>IF(ISNUMBER(tblClean[[#This Row],[Date]]),IF(WEEKDAY(tblClean[[#This Row],[Date]],2)&gt;=6,"Weekend","Weekday"),"")</f>
        <v>Weekend</v>
      </c>
      <c r="Q35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50" s="9" t="str">
        <f>IF(ISNUMBER(tblClean[[#This Row],[Duration Hours]]),IF(tblClean[[#This Row],[Duration Hours]]&lt;2,"Short (under 2h)",IF(tblClean[[#This Row],[Duration Hours]]&lt;3,"Standard (2h to under 3h)","Long (3h or more)")),"")</f>
        <v>Standard (2h to under 3h)</v>
      </c>
      <c r="S35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50" s="24">
        <f>IF(COUNTIF(tblClean[Session ID],tblClean[[#This Row],[Session ID]])&gt;1,1,0)</f>
        <v>0</v>
      </c>
      <c r="U350" s="24">
        <f>IF(OR(N(tblClean[[#This Row],[Attributed GMV PHP]])&lt;0,N(tblClean[[#This Row],[Items Sold]])&lt;0,N(tblClean[[#This Row],[Livestream Views]])&lt;0,N(tblClean[[#This Row],[New Followers]])&lt;0),1,0)</f>
        <v>0</v>
      </c>
      <c r="V350" s="24">
        <f>IF(ISNUMBER(tblClean[[#This Row],[Duration Hours]]),IF(OR(tblClean[[#This Row],[Duration Hours]]&lt;=0,tblClean[[#This Row],[Duration Hours]]&gt;12),1,0),1)</f>
        <v>0</v>
      </c>
      <c r="W350" s="24">
        <f>IF(COUNTIF(HostRoster,tblClean[[#This Row],[Host Name]])=0,1,0)</f>
        <v>0</v>
      </c>
      <c r="X350" s="24">
        <f>IF(tblClean[[#This Row],[Missing Flag]]+tblClean[[#This Row],[Duplicate Flag]]+tblClean[[#This Row],[Negative Flag]]+tblClean[[#This Row],[Duration Flag]]+tblClean[[#This Row],[Host Flag]]=0,1,0)</f>
        <v>1</v>
      </c>
    </row>
    <row r="351" spans="1:24" x14ac:dyDescent="0.3">
      <c r="A351" s="9" t="str">
        <f>TRIM('Raw Data'!A347)</f>
        <v>LS-0343</v>
      </c>
      <c r="B351" s="10">
        <f>IF(ISNUMBER('Raw Data'!B347),INT('Raw Data'!B347),IFERROR(DATEVALUE('Raw Data'!B347),""))</f>
        <v>45892</v>
      </c>
      <c r="C351" s="9" t="str">
        <f>PROPER(TRIM('Raw Data'!C347))</f>
        <v>Elise Navarro</v>
      </c>
      <c r="D351" s="11">
        <f>IF(ISNUMBER('Raw Data'!D347),MOD('Raw Data'!D347,1),IFERROR(TIMEVALUE('Raw Data'!D347),""))</f>
        <v>0.79166666666666663</v>
      </c>
      <c r="E351" s="11">
        <f>IF(ISNUMBER('Raw Data'!E347),MOD('Raw Data'!E347,1),IFERROR(TIMEVALUE('Raw Data'!E347),""))</f>
        <v>0.91666666666666663</v>
      </c>
      <c r="F351" s="12">
        <f>IF(ISNUMBER('Raw Data'!F347),'Raw Data'!F347,IFERROR(VALUE(SUBSTITUTE('Raw Data'!F347,",","")),""))</f>
        <v>50037</v>
      </c>
      <c r="G351" s="13">
        <f>IF(ISNUMBER('Raw Data'!G347),'Raw Data'!G347,IFERROR(VALUE(SUBSTITUTE('Raw Data'!G347,",","")),""))</f>
        <v>131</v>
      </c>
      <c r="H351" s="13">
        <f>IF(ISNUMBER('Raw Data'!H347),'Raw Data'!H347,IFERROR(VALUE(SUBSTITUTE('Raw Data'!H347,",","")),""))</f>
        <v>183655</v>
      </c>
      <c r="I351" s="13">
        <f>IF(ISNUMBER('Raw Data'!I347),'Raw Data'!I347,IFERROR(VALUE(SUBSTITUTE('Raw Data'!I347,",","")),""))</f>
        <v>1538</v>
      </c>
      <c r="J351" s="21">
        <f>IF(AND(ISNUMBER(tblClean[[#This Row],[Start Time]]),ISNUMBER(tblClean[[#This Row],[End Time]])),ROUND(MOD(tblClean[[#This Row],[End Time]]-tblClean[[#This Row],[Start Time]],1)*24,2),"")</f>
        <v>3</v>
      </c>
      <c r="K351" s="12">
        <f>IF(AND(ISNUMBER(tblClean[[#This Row],[Duration Hours]]),ISNUMBER(tblClean[[#This Row],[Attributed GMV PHP]])),IF(tblClean[[#This Row],[Duration Hours]]&gt;0,tblClean[[#This Row],[Attributed GMV PHP]]/tblClean[[#This Row],[Duration Hours]],""),"")</f>
        <v>16679</v>
      </c>
      <c r="L351" s="22">
        <f>IF(ISNUMBER(tblClean[[#This Row],[Date]]),DATE(YEAR(tblClean[[#This Row],[Date]]),MONTH(tblClean[[#This Row],[Date]]),1),"")</f>
        <v>45870</v>
      </c>
      <c r="M351" s="10">
        <f>IF(ISNUMBER(tblClean[[#This Row],[Date]]),tblClean[[#This Row],[Date]]-WEEKDAY(tblClean[[#This Row],[Date]],2)+1,"")</f>
        <v>45887</v>
      </c>
      <c r="N351" s="23">
        <f>IF(ISNUMBER(tblClean[[#This Row],[Week Start]]),(tblClean[[#This Row],[Week Start]]-MIN(tblClean[Week Start]))/7+1,"")</f>
        <v>12</v>
      </c>
      <c r="O351" s="24" t="str">
        <f>IF(ISNUMBER(tblClean[[#This Row],[Date]]),CHOOSE(WEEKDAY(tblClean[[#This Row],[Date]],2),"Mon","Tue","Wed","Thu","Fri","Sat","Sun"),"")</f>
        <v>Sat</v>
      </c>
      <c r="P351" s="24" t="str">
        <f>IF(ISNUMBER(tblClean[[#This Row],[Date]]),IF(WEEKDAY(tblClean[[#This Row],[Date]],2)&gt;=6,"Weekend","Weekday"),"")</f>
        <v>Weekend</v>
      </c>
      <c r="Q35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51" s="9" t="str">
        <f>IF(ISNUMBER(tblClean[[#This Row],[Duration Hours]]),IF(tblClean[[#This Row],[Duration Hours]]&lt;2,"Short (under 2h)",IF(tblClean[[#This Row],[Duration Hours]]&lt;3,"Standard (2h to under 3h)","Long (3h or more)")),"")</f>
        <v>Long (3h or more)</v>
      </c>
      <c r="S35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51" s="24">
        <f>IF(COUNTIF(tblClean[Session ID],tblClean[[#This Row],[Session ID]])&gt;1,1,0)</f>
        <v>0</v>
      </c>
      <c r="U351" s="24">
        <f>IF(OR(N(tblClean[[#This Row],[Attributed GMV PHP]])&lt;0,N(tblClean[[#This Row],[Items Sold]])&lt;0,N(tblClean[[#This Row],[Livestream Views]])&lt;0,N(tblClean[[#This Row],[New Followers]])&lt;0),1,0)</f>
        <v>0</v>
      </c>
      <c r="V351" s="24">
        <f>IF(ISNUMBER(tblClean[[#This Row],[Duration Hours]]),IF(OR(tblClean[[#This Row],[Duration Hours]]&lt;=0,tblClean[[#This Row],[Duration Hours]]&gt;12),1,0),1)</f>
        <v>0</v>
      </c>
      <c r="W351" s="24">
        <f>IF(COUNTIF(HostRoster,tblClean[[#This Row],[Host Name]])=0,1,0)</f>
        <v>0</v>
      </c>
      <c r="X351" s="24">
        <f>IF(tblClean[[#This Row],[Missing Flag]]+tblClean[[#This Row],[Duplicate Flag]]+tblClean[[#This Row],[Negative Flag]]+tblClean[[#This Row],[Duration Flag]]+tblClean[[#This Row],[Host Flag]]=0,1,0)</f>
        <v>1</v>
      </c>
    </row>
    <row r="352" spans="1:24" x14ac:dyDescent="0.3">
      <c r="A352" s="9" t="str">
        <f>TRIM('Raw Data'!A348)</f>
        <v>LS-0344</v>
      </c>
      <c r="B352" s="10">
        <f>IF(ISNUMBER('Raw Data'!B348),INT('Raw Data'!B348),IFERROR(DATEVALUE('Raw Data'!B348),""))</f>
        <v>45893</v>
      </c>
      <c r="C352" s="9" t="str">
        <f>PROPER(TRIM('Raw Data'!C348))</f>
        <v>Elise Navarro</v>
      </c>
      <c r="D352" s="11">
        <f>IF(ISNUMBER('Raw Data'!D348),MOD('Raw Data'!D348,1),IFERROR(TIMEVALUE('Raw Data'!D348),""))</f>
        <v>0.41666666666666669</v>
      </c>
      <c r="E352" s="11">
        <f>IF(ISNUMBER('Raw Data'!E348),MOD('Raw Data'!E348,1),IFERROR(TIMEVALUE('Raw Data'!E348),""))</f>
        <v>0.5</v>
      </c>
      <c r="F352" s="12">
        <f>IF(ISNUMBER('Raw Data'!F348),'Raw Data'!F348,IFERROR(VALUE(SUBSTITUTE('Raw Data'!F348,",","")),""))</f>
        <v>16916</v>
      </c>
      <c r="G352" s="13">
        <f>IF(ISNUMBER('Raw Data'!G348),'Raw Data'!G348,IFERROR(VALUE(SUBSTITUTE('Raw Data'!G348,",","")),""))</f>
        <v>51</v>
      </c>
      <c r="H352" s="13">
        <f>IF(ISNUMBER('Raw Data'!H348),'Raw Data'!H348,IFERROR(VALUE(SUBSTITUTE('Raw Data'!H348,",","")),""))</f>
        <v>47928</v>
      </c>
      <c r="I352" s="13">
        <f>IF(ISNUMBER('Raw Data'!I348),'Raw Data'!I348,IFERROR(VALUE(SUBSTITUTE('Raw Data'!I348,",","")),""))</f>
        <v>435</v>
      </c>
      <c r="J352" s="21">
        <f>IF(AND(ISNUMBER(tblClean[[#This Row],[Start Time]]),ISNUMBER(tblClean[[#This Row],[End Time]])),ROUND(MOD(tblClean[[#This Row],[End Time]]-tblClean[[#This Row],[Start Time]],1)*24,2),"")</f>
        <v>2</v>
      </c>
      <c r="K352" s="12">
        <f>IF(AND(ISNUMBER(tblClean[[#This Row],[Duration Hours]]),ISNUMBER(tblClean[[#This Row],[Attributed GMV PHP]])),IF(tblClean[[#This Row],[Duration Hours]]&gt;0,tblClean[[#This Row],[Attributed GMV PHP]]/tblClean[[#This Row],[Duration Hours]],""),"")</f>
        <v>8458</v>
      </c>
      <c r="L352" s="22">
        <f>IF(ISNUMBER(tblClean[[#This Row],[Date]]),DATE(YEAR(tblClean[[#This Row],[Date]]),MONTH(tblClean[[#This Row],[Date]]),1),"")</f>
        <v>45870</v>
      </c>
      <c r="M352" s="10">
        <f>IF(ISNUMBER(tblClean[[#This Row],[Date]]),tblClean[[#This Row],[Date]]-WEEKDAY(tblClean[[#This Row],[Date]],2)+1,"")</f>
        <v>45887</v>
      </c>
      <c r="N352" s="23">
        <f>IF(ISNUMBER(tblClean[[#This Row],[Week Start]]),(tblClean[[#This Row],[Week Start]]-MIN(tblClean[Week Start]))/7+1,"")</f>
        <v>12</v>
      </c>
      <c r="O352" s="24" t="str">
        <f>IF(ISNUMBER(tblClean[[#This Row],[Date]]),CHOOSE(WEEKDAY(tblClean[[#This Row],[Date]],2),"Mon","Tue","Wed","Thu","Fri","Sat","Sun"),"")</f>
        <v>Sun</v>
      </c>
      <c r="P352" s="24" t="str">
        <f>IF(ISNUMBER(tblClean[[#This Row],[Date]]),IF(WEEKDAY(tblClean[[#This Row],[Date]],2)&gt;=6,"Weekend","Weekday"),"")</f>
        <v>Weekend</v>
      </c>
      <c r="Q35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52" s="9" t="str">
        <f>IF(ISNUMBER(tblClean[[#This Row],[Duration Hours]]),IF(tblClean[[#This Row],[Duration Hours]]&lt;2,"Short (under 2h)",IF(tblClean[[#This Row],[Duration Hours]]&lt;3,"Standard (2h to under 3h)","Long (3h or more)")),"")</f>
        <v>Standard (2h to under 3h)</v>
      </c>
      <c r="S35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52" s="24">
        <f>IF(COUNTIF(tblClean[Session ID],tblClean[[#This Row],[Session ID]])&gt;1,1,0)</f>
        <v>0</v>
      </c>
      <c r="U352" s="24">
        <f>IF(OR(N(tblClean[[#This Row],[Attributed GMV PHP]])&lt;0,N(tblClean[[#This Row],[Items Sold]])&lt;0,N(tblClean[[#This Row],[Livestream Views]])&lt;0,N(tblClean[[#This Row],[New Followers]])&lt;0),1,0)</f>
        <v>0</v>
      </c>
      <c r="V352" s="24">
        <f>IF(ISNUMBER(tblClean[[#This Row],[Duration Hours]]),IF(OR(tblClean[[#This Row],[Duration Hours]]&lt;=0,tblClean[[#This Row],[Duration Hours]]&gt;12),1,0),1)</f>
        <v>0</v>
      </c>
      <c r="W352" s="24">
        <f>IF(COUNTIF(HostRoster,tblClean[[#This Row],[Host Name]])=0,1,0)</f>
        <v>0</v>
      </c>
      <c r="X352" s="24">
        <f>IF(tblClean[[#This Row],[Missing Flag]]+tblClean[[#This Row],[Duplicate Flag]]+tblClean[[#This Row],[Negative Flag]]+tblClean[[#This Row],[Duration Flag]]+tblClean[[#This Row],[Host Flag]]=0,1,0)</f>
        <v>1</v>
      </c>
    </row>
    <row r="353" spans="1:24" x14ac:dyDescent="0.3">
      <c r="A353" s="9" t="str">
        <f>TRIM('Raw Data'!A349)</f>
        <v>LS-0345</v>
      </c>
      <c r="B353" s="10">
        <f>IF(ISNUMBER('Raw Data'!B349),INT('Raw Data'!B349),IFERROR(DATEVALUE('Raw Data'!B349),""))</f>
        <v>45893</v>
      </c>
      <c r="C353" s="9" t="str">
        <f>PROPER(TRIM('Raw Data'!C349))</f>
        <v>Elise Navarro</v>
      </c>
      <c r="D353" s="11">
        <f>IF(ISNUMBER('Raw Data'!D349),MOD('Raw Data'!D349,1),IFERROR(TIMEVALUE('Raw Data'!D349),""))</f>
        <v>0.54166666666666663</v>
      </c>
      <c r="E353" s="11">
        <f>IF(ISNUMBER('Raw Data'!E349),MOD('Raw Data'!E349,1),IFERROR(TIMEVALUE('Raw Data'!E349),""))</f>
        <v>0.64583333333333337</v>
      </c>
      <c r="F353" s="12">
        <f>IF(ISNUMBER('Raw Data'!F349),'Raw Data'!F349,IFERROR(VALUE(SUBSTITUTE('Raw Data'!F349,",","")),""))</f>
        <v>28620</v>
      </c>
      <c r="G353" s="13">
        <f>IF(ISNUMBER('Raw Data'!G349),'Raw Data'!G349,IFERROR(VALUE(SUBSTITUTE('Raw Data'!G349,",","")),""))</f>
        <v>95</v>
      </c>
      <c r="H353" s="13">
        <f>IF(ISNUMBER('Raw Data'!H349),'Raw Data'!H349,IFERROR(VALUE(SUBSTITUTE('Raw Data'!H349,",","")),""))</f>
        <v>133494</v>
      </c>
      <c r="I353" s="13">
        <f>IF(ISNUMBER('Raw Data'!I349),'Raw Data'!I349,IFERROR(VALUE(SUBSTITUTE('Raw Data'!I349,",","")),""))</f>
        <v>727</v>
      </c>
      <c r="J353" s="21">
        <f>IF(AND(ISNUMBER(tblClean[[#This Row],[Start Time]]),ISNUMBER(tblClean[[#This Row],[End Time]])),ROUND(MOD(tblClean[[#This Row],[End Time]]-tblClean[[#This Row],[Start Time]],1)*24,2),"")</f>
        <v>2.5</v>
      </c>
      <c r="K353" s="12">
        <f>IF(AND(ISNUMBER(tblClean[[#This Row],[Duration Hours]]),ISNUMBER(tblClean[[#This Row],[Attributed GMV PHP]])),IF(tblClean[[#This Row],[Duration Hours]]&gt;0,tblClean[[#This Row],[Attributed GMV PHP]]/tblClean[[#This Row],[Duration Hours]],""),"")</f>
        <v>11448</v>
      </c>
      <c r="L353" s="22">
        <f>IF(ISNUMBER(tblClean[[#This Row],[Date]]),DATE(YEAR(tblClean[[#This Row],[Date]]),MONTH(tblClean[[#This Row],[Date]]),1),"")</f>
        <v>45870</v>
      </c>
      <c r="M353" s="10">
        <f>IF(ISNUMBER(tblClean[[#This Row],[Date]]),tblClean[[#This Row],[Date]]-WEEKDAY(tblClean[[#This Row],[Date]],2)+1,"")</f>
        <v>45887</v>
      </c>
      <c r="N353" s="23">
        <f>IF(ISNUMBER(tblClean[[#This Row],[Week Start]]),(tblClean[[#This Row],[Week Start]]-MIN(tblClean[Week Start]))/7+1,"")</f>
        <v>12</v>
      </c>
      <c r="O353" s="24" t="str">
        <f>IF(ISNUMBER(tblClean[[#This Row],[Date]]),CHOOSE(WEEKDAY(tblClean[[#This Row],[Date]],2),"Mon","Tue","Wed","Thu","Fri","Sat","Sun"),"")</f>
        <v>Sun</v>
      </c>
      <c r="P353" s="24" t="str">
        <f>IF(ISNUMBER(tblClean[[#This Row],[Date]]),IF(WEEKDAY(tblClean[[#This Row],[Date]],2)&gt;=6,"Weekend","Weekday"),"")</f>
        <v>Weekend</v>
      </c>
      <c r="Q35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53" s="9" t="str">
        <f>IF(ISNUMBER(tblClean[[#This Row],[Duration Hours]]),IF(tblClean[[#This Row],[Duration Hours]]&lt;2,"Short (under 2h)",IF(tblClean[[#This Row],[Duration Hours]]&lt;3,"Standard (2h to under 3h)","Long (3h or more)")),"")</f>
        <v>Standard (2h to under 3h)</v>
      </c>
      <c r="S35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53" s="24">
        <f>IF(COUNTIF(tblClean[Session ID],tblClean[[#This Row],[Session ID]])&gt;1,1,0)</f>
        <v>0</v>
      </c>
      <c r="U353" s="24">
        <f>IF(OR(N(tblClean[[#This Row],[Attributed GMV PHP]])&lt;0,N(tblClean[[#This Row],[Items Sold]])&lt;0,N(tblClean[[#This Row],[Livestream Views]])&lt;0,N(tblClean[[#This Row],[New Followers]])&lt;0),1,0)</f>
        <v>0</v>
      </c>
      <c r="V353" s="24">
        <f>IF(ISNUMBER(tblClean[[#This Row],[Duration Hours]]),IF(OR(tblClean[[#This Row],[Duration Hours]]&lt;=0,tblClean[[#This Row],[Duration Hours]]&gt;12),1,0),1)</f>
        <v>0</v>
      </c>
      <c r="W353" s="24">
        <f>IF(COUNTIF(HostRoster,tblClean[[#This Row],[Host Name]])=0,1,0)</f>
        <v>0</v>
      </c>
      <c r="X353" s="24">
        <f>IF(tblClean[[#This Row],[Missing Flag]]+tblClean[[#This Row],[Duplicate Flag]]+tblClean[[#This Row],[Negative Flag]]+tblClean[[#This Row],[Duration Flag]]+tblClean[[#This Row],[Host Flag]]=0,1,0)</f>
        <v>1</v>
      </c>
    </row>
    <row r="354" spans="1:24" x14ac:dyDescent="0.3">
      <c r="A354" s="9" t="str">
        <f>TRIM('Raw Data'!A350)</f>
        <v>LS-0346</v>
      </c>
      <c r="B354" s="10">
        <f>IF(ISNUMBER('Raw Data'!B350),INT('Raw Data'!B350),IFERROR(DATEVALUE('Raw Data'!B350),""))</f>
        <v>45893</v>
      </c>
      <c r="C354" s="9" t="str">
        <f>PROPER(TRIM('Raw Data'!C350))</f>
        <v>Aira Valdez</v>
      </c>
      <c r="D354" s="11">
        <f>IF(ISNUMBER('Raw Data'!D350),MOD('Raw Data'!D350,1),IFERROR(TIMEVALUE('Raw Data'!D350),""))</f>
        <v>0.66666666666666663</v>
      </c>
      <c r="E354" s="11">
        <f>IF(ISNUMBER('Raw Data'!E350),MOD('Raw Data'!E350,1),IFERROR(TIMEVALUE('Raw Data'!E350),""))</f>
        <v>0.75</v>
      </c>
      <c r="F354" s="12">
        <f>IF(ISNUMBER('Raw Data'!F350),'Raw Data'!F350,IFERROR(VALUE(SUBSTITUTE('Raw Data'!F350,",","")),""))</f>
        <v>31272</v>
      </c>
      <c r="G354" s="13">
        <f>IF(ISNUMBER('Raw Data'!G350),'Raw Data'!G350,IFERROR(VALUE(SUBSTITUTE('Raw Data'!G350,",","")),""))</f>
        <v>100</v>
      </c>
      <c r="H354" s="13">
        <f>IF(ISNUMBER('Raw Data'!H350),'Raw Data'!H350,IFERROR(VALUE(SUBSTITUTE('Raw Data'!H350,",","")),""))</f>
        <v>99045</v>
      </c>
      <c r="I354" s="13">
        <f>IF(ISNUMBER('Raw Data'!I350),'Raw Data'!I350,IFERROR(VALUE(SUBSTITUTE('Raw Data'!I350,",","")),""))</f>
        <v>708</v>
      </c>
      <c r="J354" s="21">
        <f>IF(AND(ISNUMBER(tblClean[[#This Row],[Start Time]]),ISNUMBER(tblClean[[#This Row],[End Time]])),ROUND(MOD(tblClean[[#This Row],[End Time]]-tblClean[[#This Row],[Start Time]],1)*24,2),"")</f>
        <v>2</v>
      </c>
      <c r="K354" s="12">
        <f>IF(AND(ISNUMBER(tblClean[[#This Row],[Duration Hours]]),ISNUMBER(tblClean[[#This Row],[Attributed GMV PHP]])),IF(tblClean[[#This Row],[Duration Hours]]&gt;0,tblClean[[#This Row],[Attributed GMV PHP]]/tblClean[[#This Row],[Duration Hours]],""),"")</f>
        <v>15636</v>
      </c>
      <c r="L354" s="22">
        <f>IF(ISNUMBER(tblClean[[#This Row],[Date]]),DATE(YEAR(tblClean[[#This Row],[Date]]),MONTH(tblClean[[#This Row],[Date]]),1),"")</f>
        <v>45870</v>
      </c>
      <c r="M354" s="10">
        <f>IF(ISNUMBER(tblClean[[#This Row],[Date]]),tblClean[[#This Row],[Date]]-WEEKDAY(tblClean[[#This Row],[Date]],2)+1,"")</f>
        <v>45887</v>
      </c>
      <c r="N354" s="23">
        <f>IF(ISNUMBER(tblClean[[#This Row],[Week Start]]),(tblClean[[#This Row],[Week Start]]-MIN(tblClean[Week Start]))/7+1,"")</f>
        <v>12</v>
      </c>
      <c r="O354" s="24" t="str">
        <f>IF(ISNUMBER(tblClean[[#This Row],[Date]]),CHOOSE(WEEKDAY(tblClean[[#This Row],[Date]],2),"Mon","Tue","Wed","Thu","Fri","Sat","Sun"),"")</f>
        <v>Sun</v>
      </c>
      <c r="P354" s="24" t="str">
        <f>IF(ISNUMBER(tblClean[[#This Row],[Date]]),IF(WEEKDAY(tblClean[[#This Row],[Date]],2)&gt;=6,"Weekend","Weekday"),"")</f>
        <v>Weekend</v>
      </c>
      <c r="Q35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54" s="9" t="str">
        <f>IF(ISNUMBER(tblClean[[#This Row],[Duration Hours]]),IF(tblClean[[#This Row],[Duration Hours]]&lt;2,"Short (under 2h)",IF(tblClean[[#This Row],[Duration Hours]]&lt;3,"Standard (2h to under 3h)","Long (3h or more)")),"")</f>
        <v>Standard (2h to under 3h)</v>
      </c>
      <c r="S35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54" s="24">
        <f>IF(COUNTIF(tblClean[Session ID],tblClean[[#This Row],[Session ID]])&gt;1,1,0)</f>
        <v>0</v>
      </c>
      <c r="U354" s="24">
        <f>IF(OR(N(tblClean[[#This Row],[Attributed GMV PHP]])&lt;0,N(tblClean[[#This Row],[Items Sold]])&lt;0,N(tblClean[[#This Row],[Livestream Views]])&lt;0,N(tblClean[[#This Row],[New Followers]])&lt;0),1,0)</f>
        <v>0</v>
      </c>
      <c r="V354" s="24">
        <f>IF(ISNUMBER(tblClean[[#This Row],[Duration Hours]]),IF(OR(tblClean[[#This Row],[Duration Hours]]&lt;=0,tblClean[[#This Row],[Duration Hours]]&gt;12),1,0),1)</f>
        <v>0</v>
      </c>
      <c r="W354" s="24">
        <f>IF(COUNTIF(HostRoster,tblClean[[#This Row],[Host Name]])=0,1,0)</f>
        <v>0</v>
      </c>
      <c r="X354" s="24">
        <f>IF(tblClean[[#This Row],[Missing Flag]]+tblClean[[#This Row],[Duplicate Flag]]+tblClean[[#This Row],[Negative Flag]]+tblClean[[#This Row],[Duration Flag]]+tblClean[[#This Row],[Host Flag]]=0,1,0)</f>
        <v>1</v>
      </c>
    </row>
    <row r="355" spans="1:24" x14ac:dyDescent="0.3">
      <c r="A355" s="9" t="str">
        <f>TRIM('Raw Data'!A351)</f>
        <v>LS-0347</v>
      </c>
      <c r="B355" s="10">
        <f>IF(ISNUMBER('Raw Data'!B351),INT('Raw Data'!B351),IFERROR(DATEVALUE('Raw Data'!B351),""))</f>
        <v>45893</v>
      </c>
      <c r="C355" s="9" t="str">
        <f>PROPER(TRIM('Raw Data'!C351))</f>
        <v>Carlo Mendoza</v>
      </c>
      <c r="D355" s="11">
        <f>IF(ISNUMBER('Raw Data'!D351),MOD('Raw Data'!D351,1),IFERROR(TIMEVALUE('Raw Data'!D351),""))</f>
        <v>0.79166666666666663</v>
      </c>
      <c r="E355" s="11">
        <f>IF(ISNUMBER('Raw Data'!E351),MOD('Raw Data'!E351,1),IFERROR(TIMEVALUE('Raw Data'!E351),""))</f>
        <v>0.89583333333333337</v>
      </c>
      <c r="F355" s="12">
        <f>IF(ISNUMBER('Raw Data'!F351),'Raw Data'!F351,IFERROR(VALUE(SUBSTITUTE('Raw Data'!F351,",","")),""))</f>
        <v>43181</v>
      </c>
      <c r="G355" s="13">
        <f>IF(ISNUMBER('Raw Data'!G351),'Raw Data'!G351,IFERROR(VALUE(SUBSTITUTE('Raw Data'!G351,",","")),""))</f>
        <v>138</v>
      </c>
      <c r="H355" s="13">
        <f>IF(ISNUMBER('Raw Data'!H351),'Raw Data'!H351,IFERROR(VALUE(SUBSTITUTE('Raw Data'!H351,",","")),""))</f>
        <v>86521</v>
      </c>
      <c r="I355" s="13">
        <f>IF(ISNUMBER('Raw Data'!I351),'Raw Data'!I351,IFERROR(VALUE(SUBSTITUTE('Raw Data'!I351,",","")),""))</f>
        <v>500</v>
      </c>
      <c r="J355" s="21">
        <f>IF(AND(ISNUMBER(tblClean[[#This Row],[Start Time]]),ISNUMBER(tblClean[[#This Row],[End Time]])),ROUND(MOD(tblClean[[#This Row],[End Time]]-tblClean[[#This Row],[Start Time]],1)*24,2),"")</f>
        <v>2.5</v>
      </c>
      <c r="K355" s="12">
        <f>IF(AND(ISNUMBER(tblClean[[#This Row],[Duration Hours]]),ISNUMBER(tblClean[[#This Row],[Attributed GMV PHP]])),IF(tblClean[[#This Row],[Duration Hours]]&gt;0,tblClean[[#This Row],[Attributed GMV PHP]]/tblClean[[#This Row],[Duration Hours]],""),"")</f>
        <v>17272.400000000001</v>
      </c>
      <c r="L355" s="22">
        <f>IF(ISNUMBER(tblClean[[#This Row],[Date]]),DATE(YEAR(tblClean[[#This Row],[Date]]),MONTH(tblClean[[#This Row],[Date]]),1),"")</f>
        <v>45870</v>
      </c>
      <c r="M355" s="10">
        <f>IF(ISNUMBER(tblClean[[#This Row],[Date]]),tblClean[[#This Row],[Date]]-WEEKDAY(tblClean[[#This Row],[Date]],2)+1,"")</f>
        <v>45887</v>
      </c>
      <c r="N355" s="23">
        <f>IF(ISNUMBER(tblClean[[#This Row],[Week Start]]),(tblClean[[#This Row],[Week Start]]-MIN(tblClean[Week Start]))/7+1,"")</f>
        <v>12</v>
      </c>
      <c r="O355" s="24" t="str">
        <f>IF(ISNUMBER(tblClean[[#This Row],[Date]]),CHOOSE(WEEKDAY(tblClean[[#This Row],[Date]],2),"Mon","Tue","Wed","Thu","Fri","Sat","Sun"),"")</f>
        <v>Sun</v>
      </c>
      <c r="P355" s="24" t="str">
        <f>IF(ISNUMBER(tblClean[[#This Row],[Date]]),IF(WEEKDAY(tblClean[[#This Row],[Date]],2)&gt;=6,"Weekend","Weekday"),"")</f>
        <v>Weekend</v>
      </c>
      <c r="Q35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55" s="9" t="str">
        <f>IF(ISNUMBER(tblClean[[#This Row],[Duration Hours]]),IF(tblClean[[#This Row],[Duration Hours]]&lt;2,"Short (under 2h)",IF(tblClean[[#This Row],[Duration Hours]]&lt;3,"Standard (2h to under 3h)","Long (3h or more)")),"")</f>
        <v>Standard (2h to under 3h)</v>
      </c>
      <c r="S35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55" s="24">
        <f>IF(COUNTIF(tblClean[Session ID],tblClean[[#This Row],[Session ID]])&gt;1,1,0)</f>
        <v>0</v>
      </c>
      <c r="U355" s="24">
        <f>IF(OR(N(tblClean[[#This Row],[Attributed GMV PHP]])&lt;0,N(tblClean[[#This Row],[Items Sold]])&lt;0,N(tblClean[[#This Row],[Livestream Views]])&lt;0,N(tblClean[[#This Row],[New Followers]])&lt;0),1,0)</f>
        <v>0</v>
      </c>
      <c r="V355" s="24">
        <f>IF(ISNUMBER(tblClean[[#This Row],[Duration Hours]]),IF(OR(tblClean[[#This Row],[Duration Hours]]&lt;=0,tblClean[[#This Row],[Duration Hours]]&gt;12),1,0),1)</f>
        <v>0</v>
      </c>
      <c r="W355" s="24">
        <f>IF(COUNTIF(HostRoster,tblClean[[#This Row],[Host Name]])=0,1,0)</f>
        <v>0</v>
      </c>
      <c r="X355" s="24">
        <f>IF(tblClean[[#This Row],[Missing Flag]]+tblClean[[#This Row],[Duplicate Flag]]+tblClean[[#This Row],[Negative Flag]]+tblClean[[#This Row],[Duration Flag]]+tblClean[[#This Row],[Host Flag]]=0,1,0)</f>
        <v>1</v>
      </c>
    </row>
    <row r="356" spans="1:24" x14ac:dyDescent="0.3">
      <c r="A356" s="9" t="str">
        <f>TRIM('Raw Data'!A352)</f>
        <v>LS-0348</v>
      </c>
      <c r="B356" s="10">
        <f>IF(ISNUMBER('Raw Data'!B352),INT('Raw Data'!B352),IFERROR(DATEVALUE('Raw Data'!B352),""))</f>
        <v>45893</v>
      </c>
      <c r="C356" s="9" t="str">
        <f>PROPER(TRIM('Raw Data'!C352))</f>
        <v>Aira Valdez</v>
      </c>
      <c r="D356" s="11">
        <f>IF(ISNUMBER('Raw Data'!D352),MOD('Raw Data'!D352,1),IFERROR(TIMEVALUE('Raw Data'!D352),""))</f>
        <v>0.91666666666666663</v>
      </c>
      <c r="E356" s="11">
        <f>IF(ISNUMBER('Raw Data'!E352),MOD('Raw Data'!E352,1),IFERROR(TIMEVALUE('Raw Data'!E352),""))</f>
        <v>0.97916666666666663</v>
      </c>
      <c r="F356" s="12">
        <f>IF(ISNUMBER('Raw Data'!F352),'Raw Data'!F352,IFERROR(VALUE(SUBSTITUTE('Raw Data'!F352,",","")),""))</f>
        <v>49662</v>
      </c>
      <c r="G356" s="13">
        <f>IF(ISNUMBER('Raw Data'!G352),'Raw Data'!G352,IFERROR(VALUE(SUBSTITUTE('Raw Data'!G352,",","")),""))</f>
        <v>153</v>
      </c>
      <c r="H356" s="13">
        <f>IF(ISNUMBER('Raw Data'!H352),'Raw Data'!H352,IFERROR(VALUE(SUBSTITUTE('Raw Data'!H352,",","")),""))</f>
        <v>169935</v>
      </c>
      <c r="I356" s="13">
        <f>IF(ISNUMBER('Raw Data'!I352),'Raw Data'!I352,IFERROR(VALUE(SUBSTITUTE('Raw Data'!I352,",","")),""))</f>
        <v>1917</v>
      </c>
      <c r="J356" s="21">
        <f>IF(AND(ISNUMBER(tblClean[[#This Row],[Start Time]]),ISNUMBER(tblClean[[#This Row],[End Time]])),ROUND(MOD(tblClean[[#This Row],[End Time]]-tblClean[[#This Row],[Start Time]],1)*24,2),"")</f>
        <v>1.5</v>
      </c>
      <c r="K356" s="12">
        <f>IF(AND(ISNUMBER(tblClean[[#This Row],[Duration Hours]]),ISNUMBER(tblClean[[#This Row],[Attributed GMV PHP]])),IF(tblClean[[#This Row],[Duration Hours]]&gt;0,tblClean[[#This Row],[Attributed GMV PHP]]/tblClean[[#This Row],[Duration Hours]],""),"")</f>
        <v>33108</v>
      </c>
      <c r="L356" s="22">
        <f>IF(ISNUMBER(tblClean[[#This Row],[Date]]),DATE(YEAR(tblClean[[#This Row],[Date]]),MONTH(tblClean[[#This Row],[Date]]),1),"")</f>
        <v>45870</v>
      </c>
      <c r="M356" s="10">
        <f>IF(ISNUMBER(tblClean[[#This Row],[Date]]),tblClean[[#This Row],[Date]]-WEEKDAY(tblClean[[#This Row],[Date]],2)+1,"")</f>
        <v>45887</v>
      </c>
      <c r="N356" s="23">
        <f>IF(ISNUMBER(tblClean[[#This Row],[Week Start]]),(tblClean[[#This Row],[Week Start]]-MIN(tblClean[Week Start]))/7+1,"")</f>
        <v>12</v>
      </c>
      <c r="O356" s="24" t="str">
        <f>IF(ISNUMBER(tblClean[[#This Row],[Date]]),CHOOSE(WEEKDAY(tblClean[[#This Row],[Date]],2),"Mon","Tue","Wed","Thu","Fri","Sat","Sun"),"")</f>
        <v>Sun</v>
      </c>
      <c r="P356" s="24" t="str">
        <f>IF(ISNUMBER(tblClean[[#This Row],[Date]]),IF(WEEKDAY(tblClean[[#This Row],[Date]],2)&gt;=6,"Weekend","Weekday"),"")</f>
        <v>Weekend</v>
      </c>
      <c r="Q35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56" s="9" t="str">
        <f>IF(ISNUMBER(tblClean[[#This Row],[Duration Hours]]),IF(tblClean[[#This Row],[Duration Hours]]&lt;2,"Short (under 2h)",IF(tblClean[[#This Row],[Duration Hours]]&lt;3,"Standard (2h to under 3h)","Long (3h or more)")),"")</f>
        <v>Short (under 2h)</v>
      </c>
      <c r="S35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56" s="24">
        <f>IF(COUNTIF(tblClean[Session ID],tblClean[[#This Row],[Session ID]])&gt;1,1,0)</f>
        <v>0</v>
      </c>
      <c r="U356" s="24">
        <f>IF(OR(N(tblClean[[#This Row],[Attributed GMV PHP]])&lt;0,N(tblClean[[#This Row],[Items Sold]])&lt;0,N(tblClean[[#This Row],[Livestream Views]])&lt;0,N(tblClean[[#This Row],[New Followers]])&lt;0),1,0)</f>
        <v>0</v>
      </c>
      <c r="V356" s="24">
        <f>IF(ISNUMBER(tblClean[[#This Row],[Duration Hours]]),IF(OR(tblClean[[#This Row],[Duration Hours]]&lt;=0,tblClean[[#This Row],[Duration Hours]]&gt;12),1,0),1)</f>
        <v>0</v>
      </c>
      <c r="W356" s="24">
        <f>IF(COUNTIF(HostRoster,tblClean[[#This Row],[Host Name]])=0,1,0)</f>
        <v>0</v>
      </c>
      <c r="X356" s="24">
        <f>IF(tblClean[[#This Row],[Missing Flag]]+tblClean[[#This Row],[Duplicate Flag]]+tblClean[[#This Row],[Negative Flag]]+tblClean[[#This Row],[Duration Flag]]+tblClean[[#This Row],[Host Flag]]=0,1,0)</f>
        <v>1</v>
      </c>
    </row>
    <row r="357" spans="1:24" x14ac:dyDescent="0.3">
      <c r="A357" s="9" t="str">
        <f>TRIM('Raw Data'!A353)</f>
        <v>LS-0349</v>
      </c>
      <c r="B357" s="10">
        <f>IF(ISNUMBER('Raw Data'!B353),INT('Raw Data'!B353),IFERROR(DATEVALUE('Raw Data'!B353),""))</f>
        <v>45894</v>
      </c>
      <c r="C357" s="9" t="str">
        <f>PROPER(TRIM('Raw Data'!C353))</f>
        <v>Bianca Reyes</v>
      </c>
      <c r="D357" s="11">
        <f>IF(ISNUMBER('Raw Data'!D353),MOD('Raw Data'!D353,1),IFERROR(TIMEVALUE('Raw Data'!D353),""))</f>
        <v>0.41666666666666669</v>
      </c>
      <c r="E357" s="11">
        <f>IF(ISNUMBER('Raw Data'!E353),MOD('Raw Data'!E353,1),IFERROR(TIMEVALUE('Raw Data'!E353),""))</f>
        <v>0.5</v>
      </c>
      <c r="F357" s="12">
        <f>IF(ISNUMBER('Raw Data'!F353),'Raw Data'!F353,IFERROR(VALUE(SUBSTITUTE('Raw Data'!F353,",","")),""))</f>
        <v>17326</v>
      </c>
      <c r="G357" s="13">
        <f>IF(ISNUMBER('Raw Data'!G353),'Raw Data'!G353,IFERROR(VALUE(SUBSTITUTE('Raw Data'!G353,",","")),""))</f>
        <v>50</v>
      </c>
      <c r="H357" s="13">
        <f>IF(ISNUMBER('Raw Data'!H353),'Raw Data'!H353,IFERROR(VALUE(SUBSTITUTE('Raw Data'!H353,",","")),""))</f>
        <v>46400</v>
      </c>
      <c r="I357" s="13">
        <f>IF(ISNUMBER('Raw Data'!I353),'Raw Data'!I353,IFERROR(VALUE(SUBSTITUTE('Raw Data'!I353,",","")),""))</f>
        <v>489</v>
      </c>
      <c r="J357" s="21">
        <f>IF(AND(ISNUMBER(tblClean[[#This Row],[Start Time]]),ISNUMBER(tblClean[[#This Row],[End Time]])),ROUND(MOD(tblClean[[#This Row],[End Time]]-tblClean[[#This Row],[Start Time]],1)*24,2),"")</f>
        <v>2</v>
      </c>
      <c r="K357" s="12">
        <f>IF(AND(ISNUMBER(tblClean[[#This Row],[Duration Hours]]),ISNUMBER(tblClean[[#This Row],[Attributed GMV PHP]])),IF(tblClean[[#This Row],[Duration Hours]]&gt;0,tblClean[[#This Row],[Attributed GMV PHP]]/tblClean[[#This Row],[Duration Hours]],""),"")</f>
        <v>8663</v>
      </c>
      <c r="L357" s="22">
        <f>IF(ISNUMBER(tblClean[[#This Row],[Date]]),DATE(YEAR(tblClean[[#This Row],[Date]]),MONTH(tblClean[[#This Row],[Date]]),1),"")</f>
        <v>45870</v>
      </c>
      <c r="M357" s="10">
        <f>IF(ISNUMBER(tblClean[[#This Row],[Date]]),tblClean[[#This Row],[Date]]-WEEKDAY(tblClean[[#This Row],[Date]],2)+1,"")</f>
        <v>45894</v>
      </c>
      <c r="N357" s="23">
        <f>IF(ISNUMBER(tblClean[[#This Row],[Week Start]]),(tblClean[[#This Row],[Week Start]]-MIN(tblClean[Week Start]))/7+1,"")</f>
        <v>13</v>
      </c>
      <c r="O357" s="24" t="str">
        <f>IF(ISNUMBER(tblClean[[#This Row],[Date]]),CHOOSE(WEEKDAY(tblClean[[#This Row],[Date]],2),"Mon","Tue","Wed","Thu","Fri","Sat","Sun"),"")</f>
        <v>Mon</v>
      </c>
      <c r="P357" s="24" t="str">
        <f>IF(ISNUMBER(tblClean[[#This Row],[Date]]),IF(WEEKDAY(tblClean[[#This Row],[Date]],2)&gt;=6,"Weekend","Weekday"),"")</f>
        <v>Weekday</v>
      </c>
      <c r="Q35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57" s="9" t="str">
        <f>IF(ISNUMBER(tblClean[[#This Row],[Duration Hours]]),IF(tblClean[[#This Row],[Duration Hours]]&lt;2,"Short (under 2h)",IF(tblClean[[#This Row],[Duration Hours]]&lt;3,"Standard (2h to under 3h)","Long (3h or more)")),"")</f>
        <v>Standard (2h to under 3h)</v>
      </c>
      <c r="S35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57" s="24">
        <f>IF(COUNTIF(tblClean[Session ID],tblClean[[#This Row],[Session ID]])&gt;1,1,0)</f>
        <v>0</v>
      </c>
      <c r="U357" s="24">
        <f>IF(OR(N(tblClean[[#This Row],[Attributed GMV PHP]])&lt;0,N(tblClean[[#This Row],[Items Sold]])&lt;0,N(tblClean[[#This Row],[Livestream Views]])&lt;0,N(tblClean[[#This Row],[New Followers]])&lt;0),1,0)</f>
        <v>0</v>
      </c>
      <c r="V357" s="24">
        <f>IF(ISNUMBER(tblClean[[#This Row],[Duration Hours]]),IF(OR(tblClean[[#This Row],[Duration Hours]]&lt;=0,tblClean[[#This Row],[Duration Hours]]&gt;12),1,0),1)</f>
        <v>0</v>
      </c>
      <c r="W357" s="24">
        <f>IF(COUNTIF(HostRoster,tblClean[[#This Row],[Host Name]])=0,1,0)</f>
        <v>0</v>
      </c>
      <c r="X357" s="24">
        <f>IF(tblClean[[#This Row],[Missing Flag]]+tblClean[[#This Row],[Duplicate Flag]]+tblClean[[#This Row],[Negative Flag]]+tblClean[[#This Row],[Duration Flag]]+tblClean[[#This Row],[Host Flag]]=0,1,0)</f>
        <v>1</v>
      </c>
    </row>
    <row r="358" spans="1:24" x14ac:dyDescent="0.3">
      <c r="A358" s="9" t="str">
        <f>TRIM('Raw Data'!A354)</f>
        <v>LS-0350</v>
      </c>
      <c r="B358" s="10">
        <f>IF(ISNUMBER('Raw Data'!B354),INT('Raw Data'!B354),IFERROR(DATEVALUE('Raw Data'!B354),""))</f>
        <v>45894</v>
      </c>
      <c r="C358" s="9" t="str">
        <f>PROPER(TRIM('Raw Data'!C354))</f>
        <v>Bianca Reyes</v>
      </c>
      <c r="D358" s="11">
        <f>IF(ISNUMBER('Raw Data'!D354),MOD('Raw Data'!D354,1),IFERROR(TIMEVALUE('Raw Data'!D354),""))</f>
        <v>0.54166666666666663</v>
      </c>
      <c r="E358" s="11">
        <f>IF(ISNUMBER('Raw Data'!E354),MOD('Raw Data'!E354,1),IFERROR(TIMEVALUE('Raw Data'!E354),""))</f>
        <v>0.66666666666666663</v>
      </c>
      <c r="F358" s="12">
        <f>IF(ISNUMBER('Raw Data'!F354),'Raw Data'!F354,IFERROR(VALUE(SUBSTITUTE('Raw Data'!F354,",","")),""))</f>
        <v>21852</v>
      </c>
      <c r="G358" s="13">
        <f>IF(ISNUMBER('Raw Data'!G354),'Raw Data'!G354,IFERROR(VALUE(SUBSTITUTE('Raw Data'!G354,",","")),""))</f>
        <v>59</v>
      </c>
      <c r="H358" s="13">
        <f>IF(ISNUMBER('Raw Data'!H354),'Raw Data'!H354,IFERROR(VALUE(SUBSTITUTE('Raw Data'!H354,",","")),""))</f>
        <v>63022</v>
      </c>
      <c r="I358" s="13">
        <f>IF(ISNUMBER('Raw Data'!I354),'Raw Data'!I354,IFERROR(VALUE(SUBSTITUTE('Raw Data'!I354,",","")),""))</f>
        <v>780</v>
      </c>
      <c r="J358" s="21">
        <f>IF(AND(ISNUMBER(tblClean[[#This Row],[Start Time]]),ISNUMBER(tblClean[[#This Row],[End Time]])),ROUND(MOD(tblClean[[#This Row],[End Time]]-tblClean[[#This Row],[Start Time]],1)*24,2),"")</f>
        <v>3</v>
      </c>
      <c r="K358" s="12">
        <f>IF(AND(ISNUMBER(tblClean[[#This Row],[Duration Hours]]),ISNUMBER(tblClean[[#This Row],[Attributed GMV PHP]])),IF(tblClean[[#This Row],[Duration Hours]]&gt;0,tblClean[[#This Row],[Attributed GMV PHP]]/tblClean[[#This Row],[Duration Hours]],""),"")</f>
        <v>7284</v>
      </c>
      <c r="L358" s="22">
        <f>IF(ISNUMBER(tblClean[[#This Row],[Date]]),DATE(YEAR(tblClean[[#This Row],[Date]]),MONTH(tblClean[[#This Row],[Date]]),1),"")</f>
        <v>45870</v>
      </c>
      <c r="M358" s="10">
        <f>IF(ISNUMBER(tblClean[[#This Row],[Date]]),tblClean[[#This Row],[Date]]-WEEKDAY(tblClean[[#This Row],[Date]],2)+1,"")</f>
        <v>45894</v>
      </c>
      <c r="N358" s="23">
        <f>IF(ISNUMBER(tblClean[[#This Row],[Week Start]]),(tblClean[[#This Row],[Week Start]]-MIN(tblClean[Week Start]))/7+1,"")</f>
        <v>13</v>
      </c>
      <c r="O358" s="24" t="str">
        <f>IF(ISNUMBER(tblClean[[#This Row],[Date]]),CHOOSE(WEEKDAY(tblClean[[#This Row],[Date]],2),"Mon","Tue","Wed","Thu","Fri","Sat","Sun"),"")</f>
        <v>Mon</v>
      </c>
      <c r="P358" s="24" t="str">
        <f>IF(ISNUMBER(tblClean[[#This Row],[Date]]),IF(WEEKDAY(tblClean[[#This Row],[Date]],2)&gt;=6,"Weekend","Weekday"),"")</f>
        <v>Weekday</v>
      </c>
      <c r="Q35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58" s="9" t="str">
        <f>IF(ISNUMBER(tblClean[[#This Row],[Duration Hours]]),IF(tblClean[[#This Row],[Duration Hours]]&lt;2,"Short (under 2h)",IF(tblClean[[#This Row],[Duration Hours]]&lt;3,"Standard (2h to under 3h)","Long (3h or more)")),"")</f>
        <v>Long (3h or more)</v>
      </c>
      <c r="S35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58" s="24">
        <f>IF(COUNTIF(tblClean[Session ID],tblClean[[#This Row],[Session ID]])&gt;1,1,0)</f>
        <v>0</v>
      </c>
      <c r="U358" s="24">
        <f>IF(OR(N(tblClean[[#This Row],[Attributed GMV PHP]])&lt;0,N(tblClean[[#This Row],[Items Sold]])&lt;0,N(tblClean[[#This Row],[Livestream Views]])&lt;0,N(tblClean[[#This Row],[New Followers]])&lt;0),1,0)</f>
        <v>0</v>
      </c>
      <c r="V358" s="24">
        <f>IF(ISNUMBER(tblClean[[#This Row],[Duration Hours]]),IF(OR(tblClean[[#This Row],[Duration Hours]]&lt;=0,tblClean[[#This Row],[Duration Hours]]&gt;12),1,0),1)</f>
        <v>0</v>
      </c>
      <c r="W358" s="24">
        <f>IF(COUNTIF(HostRoster,tblClean[[#This Row],[Host Name]])=0,1,0)</f>
        <v>0</v>
      </c>
      <c r="X358" s="24">
        <f>IF(tblClean[[#This Row],[Missing Flag]]+tblClean[[#This Row],[Duplicate Flag]]+tblClean[[#This Row],[Negative Flag]]+tblClean[[#This Row],[Duration Flag]]+tblClean[[#This Row],[Host Flag]]=0,1,0)</f>
        <v>1</v>
      </c>
    </row>
    <row r="359" spans="1:24" x14ac:dyDescent="0.3">
      <c r="A359" s="9" t="str">
        <f>TRIM('Raw Data'!A355)</f>
        <v>LS-0351</v>
      </c>
      <c r="B359" s="10">
        <f>IF(ISNUMBER('Raw Data'!B355),INT('Raw Data'!B355),IFERROR(DATEVALUE('Raw Data'!B355),""))</f>
        <v>45894</v>
      </c>
      <c r="C359" s="9" t="str">
        <f>PROPER(TRIM('Raw Data'!C355))</f>
        <v>Dani Villanueva</v>
      </c>
      <c r="D359" s="11">
        <f>IF(ISNUMBER('Raw Data'!D355),MOD('Raw Data'!D355,1),IFERROR(TIMEVALUE('Raw Data'!D355),""))</f>
        <v>0.66666666666666663</v>
      </c>
      <c r="E359" s="11">
        <f>IF(ISNUMBER('Raw Data'!E355),MOD('Raw Data'!E355,1),IFERROR(TIMEVALUE('Raw Data'!E355),""))</f>
        <v>0.77083333333333337</v>
      </c>
      <c r="F359" s="12">
        <f>IF(ISNUMBER('Raw Data'!F355),'Raw Data'!F355,IFERROR(VALUE(SUBSTITUTE('Raw Data'!F355,",","")),""))</f>
        <v>15545</v>
      </c>
      <c r="G359" s="13">
        <f>IF(ISNUMBER('Raw Data'!G355),'Raw Data'!G355,IFERROR(VALUE(SUBSTITUTE('Raw Data'!G355,",","")),""))</f>
        <v>49</v>
      </c>
      <c r="H359" s="13">
        <f>IF(ISNUMBER('Raw Data'!H355),'Raw Data'!H355,IFERROR(VALUE(SUBSTITUTE('Raw Data'!H355,",","")),""))</f>
        <v>65219</v>
      </c>
      <c r="I359" s="13">
        <f>IF(ISNUMBER('Raw Data'!I355),'Raw Data'!I355,IFERROR(VALUE(SUBSTITUTE('Raw Data'!I355,",","")),""))</f>
        <v>616</v>
      </c>
      <c r="J359" s="21">
        <f>IF(AND(ISNUMBER(tblClean[[#This Row],[Start Time]]),ISNUMBER(tblClean[[#This Row],[End Time]])),ROUND(MOD(tblClean[[#This Row],[End Time]]-tblClean[[#This Row],[Start Time]],1)*24,2),"")</f>
        <v>2.5</v>
      </c>
      <c r="K359" s="12">
        <f>IF(AND(ISNUMBER(tblClean[[#This Row],[Duration Hours]]),ISNUMBER(tblClean[[#This Row],[Attributed GMV PHP]])),IF(tblClean[[#This Row],[Duration Hours]]&gt;0,tblClean[[#This Row],[Attributed GMV PHP]]/tblClean[[#This Row],[Duration Hours]],""),"")</f>
        <v>6218</v>
      </c>
      <c r="L359" s="22">
        <f>IF(ISNUMBER(tblClean[[#This Row],[Date]]),DATE(YEAR(tblClean[[#This Row],[Date]]),MONTH(tblClean[[#This Row],[Date]]),1),"")</f>
        <v>45870</v>
      </c>
      <c r="M359" s="10">
        <f>IF(ISNUMBER(tblClean[[#This Row],[Date]]),tblClean[[#This Row],[Date]]-WEEKDAY(tblClean[[#This Row],[Date]],2)+1,"")</f>
        <v>45894</v>
      </c>
      <c r="N359" s="23">
        <f>IF(ISNUMBER(tblClean[[#This Row],[Week Start]]),(tblClean[[#This Row],[Week Start]]-MIN(tblClean[Week Start]))/7+1,"")</f>
        <v>13</v>
      </c>
      <c r="O359" s="24" t="str">
        <f>IF(ISNUMBER(tblClean[[#This Row],[Date]]),CHOOSE(WEEKDAY(tblClean[[#This Row],[Date]],2),"Mon","Tue","Wed","Thu","Fri","Sat","Sun"),"")</f>
        <v>Mon</v>
      </c>
      <c r="P359" s="24" t="str">
        <f>IF(ISNUMBER(tblClean[[#This Row],[Date]]),IF(WEEKDAY(tblClean[[#This Row],[Date]],2)&gt;=6,"Weekend","Weekday"),"")</f>
        <v>Weekday</v>
      </c>
      <c r="Q35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59" s="9" t="str">
        <f>IF(ISNUMBER(tblClean[[#This Row],[Duration Hours]]),IF(tblClean[[#This Row],[Duration Hours]]&lt;2,"Short (under 2h)",IF(tblClean[[#This Row],[Duration Hours]]&lt;3,"Standard (2h to under 3h)","Long (3h or more)")),"")</f>
        <v>Standard (2h to under 3h)</v>
      </c>
      <c r="S35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59" s="24">
        <f>IF(COUNTIF(tblClean[Session ID],tblClean[[#This Row],[Session ID]])&gt;1,1,0)</f>
        <v>0</v>
      </c>
      <c r="U359" s="24">
        <f>IF(OR(N(tblClean[[#This Row],[Attributed GMV PHP]])&lt;0,N(tblClean[[#This Row],[Items Sold]])&lt;0,N(tblClean[[#This Row],[Livestream Views]])&lt;0,N(tblClean[[#This Row],[New Followers]])&lt;0),1,0)</f>
        <v>0</v>
      </c>
      <c r="V359" s="24">
        <f>IF(ISNUMBER(tblClean[[#This Row],[Duration Hours]]),IF(OR(tblClean[[#This Row],[Duration Hours]]&lt;=0,tblClean[[#This Row],[Duration Hours]]&gt;12),1,0),1)</f>
        <v>0</v>
      </c>
      <c r="W359" s="24">
        <f>IF(COUNTIF(HostRoster,tblClean[[#This Row],[Host Name]])=0,1,0)</f>
        <v>0</v>
      </c>
      <c r="X359" s="24">
        <f>IF(tblClean[[#This Row],[Missing Flag]]+tblClean[[#This Row],[Duplicate Flag]]+tblClean[[#This Row],[Negative Flag]]+tblClean[[#This Row],[Duration Flag]]+tblClean[[#This Row],[Host Flag]]=0,1,0)</f>
        <v>1</v>
      </c>
    </row>
    <row r="360" spans="1:24" x14ac:dyDescent="0.3">
      <c r="A360" s="9" t="str">
        <f>TRIM('Raw Data'!A356)</f>
        <v>LS-0352</v>
      </c>
      <c r="B360" s="10">
        <f>IF(ISNUMBER('Raw Data'!B356),INT('Raw Data'!B356),IFERROR(DATEVALUE('Raw Data'!B356),""))</f>
        <v>45894</v>
      </c>
      <c r="C360" s="9" t="str">
        <f>PROPER(TRIM('Raw Data'!C356))</f>
        <v>Aira Valdez</v>
      </c>
      <c r="D360" s="11">
        <f>IF(ISNUMBER('Raw Data'!D356),MOD('Raw Data'!D356,1),IFERROR(TIMEVALUE('Raw Data'!D356),""))</f>
        <v>0.79166666666666663</v>
      </c>
      <c r="E360" s="11">
        <f>IF(ISNUMBER('Raw Data'!E356),MOD('Raw Data'!E356,1),IFERROR(TIMEVALUE('Raw Data'!E356),""))</f>
        <v>0.85416666666666663</v>
      </c>
      <c r="F360" s="12">
        <f>IF(ISNUMBER('Raw Data'!F356),'Raw Data'!F356,IFERROR(VALUE(SUBSTITUTE('Raw Data'!F356,",","")),""))</f>
        <v>32308</v>
      </c>
      <c r="G360" s="13">
        <f>IF(ISNUMBER('Raw Data'!G356),'Raw Data'!G356,IFERROR(VALUE(SUBSTITUTE('Raw Data'!G356,",","")),""))</f>
        <v>102</v>
      </c>
      <c r="H360" s="13">
        <f>IF(ISNUMBER('Raw Data'!H356),'Raw Data'!H356,IFERROR(VALUE(SUBSTITUTE('Raw Data'!H356,",","")),""))</f>
        <v>100552</v>
      </c>
      <c r="I360" s="13">
        <f>IF(ISNUMBER('Raw Data'!I356),'Raw Data'!I356,IFERROR(VALUE(SUBSTITUTE('Raw Data'!I356,",","")),""))</f>
        <v>527</v>
      </c>
      <c r="J360" s="21">
        <f>IF(AND(ISNUMBER(tblClean[[#This Row],[Start Time]]),ISNUMBER(tblClean[[#This Row],[End Time]])),ROUND(MOD(tblClean[[#This Row],[End Time]]-tblClean[[#This Row],[Start Time]],1)*24,2),"")</f>
        <v>1.5</v>
      </c>
      <c r="K360" s="12">
        <f>IF(AND(ISNUMBER(tblClean[[#This Row],[Duration Hours]]),ISNUMBER(tblClean[[#This Row],[Attributed GMV PHP]])),IF(tblClean[[#This Row],[Duration Hours]]&gt;0,tblClean[[#This Row],[Attributed GMV PHP]]/tblClean[[#This Row],[Duration Hours]],""),"")</f>
        <v>21538.666666666668</v>
      </c>
      <c r="L360" s="22">
        <f>IF(ISNUMBER(tblClean[[#This Row],[Date]]),DATE(YEAR(tblClean[[#This Row],[Date]]),MONTH(tblClean[[#This Row],[Date]]),1),"")</f>
        <v>45870</v>
      </c>
      <c r="M360" s="10">
        <f>IF(ISNUMBER(tblClean[[#This Row],[Date]]),tblClean[[#This Row],[Date]]-WEEKDAY(tblClean[[#This Row],[Date]],2)+1,"")</f>
        <v>45894</v>
      </c>
      <c r="N360" s="23">
        <f>IF(ISNUMBER(tblClean[[#This Row],[Week Start]]),(tblClean[[#This Row],[Week Start]]-MIN(tblClean[Week Start]))/7+1,"")</f>
        <v>13</v>
      </c>
      <c r="O360" s="24" t="str">
        <f>IF(ISNUMBER(tblClean[[#This Row],[Date]]),CHOOSE(WEEKDAY(tblClean[[#This Row],[Date]],2),"Mon","Tue","Wed","Thu","Fri","Sat","Sun"),"")</f>
        <v>Mon</v>
      </c>
      <c r="P360" s="24" t="str">
        <f>IF(ISNUMBER(tblClean[[#This Row],[Date]]),IF(WEEKDAY(tblClean[[#This Row],[Date]],2)&gt;=6,"Weekend","Weekday"),"")</f>
        <v>Weekday</v>
      </c>
      <c r="Q36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60" s="9" t="str">
        <f>IF(ISNUMBER(tblClean[[#This Row],[Duration Hours]]),IF(tblClean[[#This Row],[Duration Hours]]&lt;2,"Short (under 2h)",IF(tblClean[[#This Row],[Duration Hours]]&lt;3,"Standard (2h to under 3h)","Long (3h or more)")),"")</f>
        <v>Short (under 2h)</v>
      </c>
      <c r="S36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60" s="24">
        <f>IF(COUNTIF(tblClean[Session ID],tblClean[[#This Row],[Session ID]])&gt;1,1,0)</f>
        <v>0</v>
      </c>
      <c r="U360" s="24">
        <f>IF(OR(N(tblClean[[#This Row],[Attributed GMV PHP]])&lt;0,N(tblClean[[#This Row],[Items Sold]])&lt;0,N(tblClean[[#This Row],[Livestream Views]])&lt;0,N(tblClean[[#This Row],[New Followers]])&lt;0),1,0)</f>
        <v>0</v>
      </c>
      <c r="V360" s="24">
        <f>IF(ISNUMBER(tblClean[[#This Row],[Duration Hours]]),IF(OR(tblClean[[#This Row],[Duration Hours]]&lt;=0,tblClean[[#This Row],[Duration Hours]]&gt;12),1,0),1)</f>
        <v>0</v>
      </c>
      <c r="W360" s="24">
        <f>IF(COUNTIF(HostRoster,tblClean[[#This Row],[Host Name]])=0,1,0)</f>
        <v>0</v>
      </c>
      <c r="X360" s="24">
        <f>IF(tblClean[[#This Row],[Missing Flag]]+tblClean[[#This Row],[Duplicate Flag]]+tblClean[[#This Row],[Negative Flag]]+tblClean[[#This Row],[Duration Flag]]+tblClean[[#This Row],[Host Flag]]=0,1,0)</f>
        <v>1</v>
      </c>
    </row>
    <row r="361" spans="1:24" x14ac:dyDescent="0.3">
      <c r="A361" s="9" t="str">
        <f>TRIM('Raw Data'!A357)</f>
        <v>LS-0353</v>
      </c>
      <c r="B361" s="10">
        <f>IF(ISNUMBER('Raw Data'!B357),INT('Raw Data'!B357),IFERROR(DATEVALUE('Raw Data'!B357),""))</f>
        <v>45895</v>
      </c>
      <c r="C361" s="9" t="str">
        <f>PROPER(TRIM('Raw Data'!C357))</f>
        <v>Dani Villanueva</v>
      </c>
      <c r="D361" s="11">
        <f>IF(ISNUMBER('Raw Data'!D357),MOD('Raw Data'!D357,1),IFERROR(TIMEVALUE('Raw Data'!D357),""))</f>
        <v>0.54166666666666663</v>
      </c>
      <c r="E361" s="11">
        <f>IF(ISNUMBER('Raw Data'!E357),MOD('Raw Data'!E357,1),IFERROR(TIMEVALUE('Raw Data'!E357),""))</f>
        <v>0.66666666666666663</v>
      </c>
      <c r="F361" s="12">
        <f>IF(ISNUMBER('Raw Data'!F357),'Raw Data'!F357,IFERROR(VALUE(SUBSTITUTE('Raw Data'!F357,",","")),""))</f>
        <v>20379</v>
      </c>
      <c r="G361" s="13">
        <f>IF(ISNUMBER('Raw Data'!G357),'Raw Data'!G357,IFERROR(VALUE(SUBSTITUTE('Raw Data'!G357,",","")),""))</f>
        <v>48</v>
      </c>
      <c r="H361" s="13">
        <f>IF(ISNUMBER('Raw Data'!H357),'Raw Data'!H357,IFERROR(VALUE(SUBSTITUTE('Raw Data'!H357,",","")),""))</f>
        <v>60070</v>
      </c>
      <c r="I361" s="13">
        <f>IF(ISNUMBER('Raw Data'!I357),'Raw Data'!I357,IFERROR(VALUE(SUBSTITUTE('Raw Data'!I357,",","")),""))</f>
        <v>511</v>
      </c>
      <c r="J361" s="21">
        <f>IF(AND(ISNUMBER(tblClean[[#This Row],[Start Time]]),ISNUMBER(tblClean[[#This Row],[End Time]])),ROUND(MOD(tblClean[[#This Row],[End Time]]-tblClean[[#This Row],[Start Time]],1)*24,2),"")</f>
        <v>3</v>
      </c>
      <c r="K361" s="12">
        <f>IF(AND(ISNUMBER(tblClean[[#This Row],[Duration Hours]]),ISNUMBER(tblClean[[#This Row],[Attributed GMV PHP]])),IF(tblClean[[#This Row],[Duration Hours]]&gt;0,tblClean[[#This Row],[Attributed GMV PHP]]/tblClean[[#This Row],[Duration Hours]],""),"")</f>
        <v>6793</v>
      </c>
      <c r="L361" s="22">
        <f>IF(ISNUMBER(tblClean[[#This Row],[Date]]),DATE(YEAR(tblClean[[#This Row],[Date]]),MONTH(tblClean[[#This Row],[Date]]),1),"")</f>
        <v>45870</v>
      </c>
      <c r="M361" s="10">
        <f>IF(ISNUMBER(tblClean[[#This Row],[Date]]),tblClean[[#This Row],[Date]]-WEEKDAY(tblClean[[#This Row],[Date]],2)+1,"")</f>
        <v>45894</v>
      </c>
      <c r="N361" s="23">
        <f>IF(ISNUMBER(tblClean[[#This Row],[Week Start]]),(tblClean[[#This Row],[Week Start]]-MIN(tblClean[Week Start]))/7+1,"")</f>
        <v>13</v>
      </c>
      <c r="O361" s="24" t="str">
        <f>IF(ISNUMBER(tblClean[[#This Row],[Date]]),CHOOSE(WEEKDAY(tblClean[[#This Row],[Date]],2),"Mon","Tue","Wed","Thu","Fri","Sat","Sun"),"")</f>
        <v>Tue</v>
      </c>
      <c r="P361" s="24" t="str">
        <f>IF(ISNUMBER(tblClean[[#This Row],[Date]]),IF(WEEKDAY(tblClean[[#This Row],[Date]],2)&gt;=6,"Weekend","Weekday"),"")</f>
        <v>Weekday</v>
      </c>
      <c r="Q36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61" s="9" t="str">
        <f>IF(ISNUMBER(tblClean[[#This Row],[Duration Hours]]),IF(tblClean[[#This Row],[Duration Hours]]&lt;2,"Short (under 2h)",IF(tblClean[[#This Row],[Duration Hours]]&lt;3,"Standard (2h to under 3h)","Long (3h or more)")),"")</f>
        <v>Long (3h or more)</v>
      </c>
      <c r="S36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61" s="24">
        <f>IF(COUNTIF(tblClean[Session ID],tblClean[[#This Row],[Session ID]])&gt;1,1,0)</f>
        <v>0</v>
      </c>
      <c r="U361" s="24">
        <f>IF(OR(N(tblClean[[#This Row],[Attributed GMV PHP]])&lt;0,N(tblClean[[#This Row],[Items Sold]])&lt;0,N(tblClean[[#This Row],[Livestream Views]])&lt;0,N(tblClean[[#This Row],[New Followers]])&lt;0),1,0)</f>
        <v>0</v>
      </c>
      <c r="V361" s="24">
        <f>IF(ISNUMBER(tblClean[[#This Row],[Duration Hours]]),IF(OR(tblClean[[#This Row],[Duration Hours]]&lt;=0,tblClean[[#This Row],[Duration Hours]]&gt;12),1,0),1)</f>
        <v>0</v>
      </c>
      <c r="W361" s="24">
        <f>IF(COUNTIF(HostRoster,tblClean[[#This Row],[Host Name]])=0,1,0)</f>
        <v>0</v>
      </c>
      <c r="X361" s="24">
        <f>IF(tblClean[[#This Row],[Missing Flag]]+tblClean[[#This Row],[Duplicate Flag]]+tblClean[[#This Row],[Negative Flag]]+tblClean[[#This Row],[Duration Flag]]+tblClean[[#This Row],[Host Flag]]=0,1,0)</f>
        <v>1</v>
      </c>
    </row>
    <row r="362" spans="1:24" x14ac:dyDescent="0.3">
      <c r="A362" s="9" t="str">
        <f>TRIM('Raw Data'!A358)</f>
        <v>LS-0354</v>
      </c>
      <c r="B362" s="10">
        <f>IF(ISNUMBER('Raw Data'!B358),INT('Raw Data'!B358),IFERROR(DATEVALUE('Raw Data'!B358),""))</f>
        <v>45895</v>
      </c>
      <c r="C362" s="9" t="str">
        <f>PROPER(TRIM('Raw Data'!C358))</f>
        <v>Carlo Mendoza</v>
      </c>
      <c r="D362" s="11">
        <f>IF(ISNUMBER('Raw Data'!D358),MOD('Raw Data'!D358,1),IFERROR(TIMEVALUE('Raw Data'!D358),""))</f>
        <v>0.66666666666666663</v>
      </c>
      <c r="E362" s="11">
        <f>IF(ISNUMBER('Raw Data'!E358),MOD('Raw Data'!E358,1),IFERROR(TIMEVALUE('Raw Data'!E358),""))</f>
        <v>0.75</v>
      </c>
      <c r="F362" s="12">
        <f>IF(ISNUMBER('Raw Data'!F358),'Raw Data'!F358,IFERROR(VALUE(SUBSTITUTE('Raw Data'!F358,",","")),""))</f>
        <v>16941</v>
      </c>
      <c r="G362" s="13">
        <f>IF(ISNUMBER('Raw Data'!G358),'Raw Data'!G358,IFERROR(VALUE(SUBSTITUTE('Raw Data'!G358,",","")),""))</f>
        <v>44</v>
      </c>
      <c r="H362" s="13">
        <f>IF(ISNUMBER('Raw Data'!H358),'Raw Data'!H358,IFERROR(VALUE(SUBSTITUTE('Raw Data'!H358,",","")),""))</f>
        <v>84149</v>
      </c>
      <c r="I362" s="13">
        <f>IF(ISNUMBER('Raw Data'!I358),'Raw Data'!I358,IFERROR(VALUE(SUBSTITUTE('Raw Data'!I358,",","")),""))</f>
        <v>1038</v>
      </c>
      <c r="J362" s="21">
        <f>IF(AND(ISNUMBER(tblClean[[#This Row],[Start Time]]),ISNUMBER(tblClean[[#This Row],[End Time]])),ROUND(MOD(tblClean[[#This Row],[End Time]]-tblClean[[#This Row],[Start Time]],1)*24,2),"")</f>
        <v>2</v>
      </c>
      <c r="K362" s="12">
        <f>IF(AND(ISNUMBER(tblClean[[#This Row],[Duration Hours]]),ISNUMBER(tblClean[[#This Row],[Attributed GMV PHP]])),IF(tblClean[[#This Row],[Duration Hours]]&gt;0,tblClean[[#This Row],[Attributed GMV PHP]]/tblClean[[#This Row],[Duration Hours]],""),"")</f>
        <v>8470.5</v>
      </c>
      <c r="L362" s="22">
        <f>IF(ISNUMBER(tblClean[[#This Row],[Date]]),DATE(YEAR(tblClean[[#This Row],[Date]]),MONTH(tblClean[[#This Row],[Date]]),1),"")</f>
        <v>45870</v>
      </c>
      <c r="M362" s="10">
        <f>IF(ISNUMBER(tblClean[[#This Row],[Date]]),tblClean[[#This Row],[Date]]-WEEKDAY(tblClean[[#This Row],[Date]],2)+1,"")</f>
        <v>45894</v>
      </c>
      <c r="N362" s="23">
        <f>IF(ISNUMBER(tblClean[[#This Row],[Week Start]]),(tblClean[[#This Row],[Week Start]]-MIN(tblClean[Week Start]))/7+1,"")</f>
        <v>13</v>
      </c>
      <c r="O362" s="24" t="str">
        <f>IF(ISNUMBER(tblClean[[#This Row],[Date]]),CHOOSE(WEEKDAY(tblClean[[#This Row],[Date]],2),"Mon","Tue","Wed","Thu","Fri","Sat","Sun"),"")</f>
        <v>Tue</v>
      </c>
      <c r="P362" s="24" t="str">
        <f>IF(ISNUMBER(tblClean[[#This Row],[Date]]),IF(WEEKDAY(tblClean[[#This Row],[Date]],2)&gt;=6,"Weekend","Weekday"),"")</f>
        <v>Weekday</v>
      </c>
      <c r="Q36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62" s="9" t="str">
        <f>IF(ISNUMBER(tblClean[[#This Row],[Duration Hours]]),IF(tblClean[[#This Row],[Duration Hours]]&lt;2,"Short (under 2h)",IF(tblClean[[#This Row],[Duration Hours]]&lt;3,"Standard (2h to under 3h)","Long (3h or more)")),"")</f>
        <v>Standard (2h to under 3h)</v>
      </c>
      <c r="S36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62" s="24">
        <f>IF(COUNTIF(tblClean[Session ID],tblClean[[#This Row],[Session ID]])&gt;1,1,0)</f>
        <v>0</v>
      </c>
      <c r="U362" s="24">
        <f>IF(OR(N(tblClean[[#This Row],[Attributed GMV PHP]])&lt;0,N(tblClean[[#This Row],[Items Sold]])&lt;0,N(tblClean[[#This Row],[Livestream Views]])&lt;0,N(tblClean[[#This Row],[New Followers]])&lt;0),1,0)</f>
        <v>0</v>
      </c>
      <c r="V362" s="24">
        <f>IF(ISNUMBER(tblClean[[#This Row],[Duration Hours]]),IF(OR(tblClean[[#This Row],[Duration Hours]]&lt;=0,tblClean[[#This Row],[Duration Hours]]&gt;12),1,0),1)</f>
        <v>0</v>
      </c>
      <c r="W362" s="24">
        <f>IF(COUNTIF(HostRoster,tblClean[[#This Row],[Host Name]])=0,1,0)</f>
        <v>0</v>
      </c>
      <c r="X362" s="24">
        <f>IF(tblClean[[#This Row],[Missing Flag]]+tblClean[[#This Row],[Duplicate Flag]]+tblClean[[#This Row],[Negative Flag]]+tblClean[[#This Row],[Duration Flag]]+tblClean[[#This Row],[Host Flag]]=0,1,0)</f>
        <v>1</v>
      </c>
    </row>
    <row r="363" spans="1:24" x14ac:dyDescent="0.3">
      <c r="A363" s="9" t="str">
        <f>TRIM('Raw Data'!A359)</f>
        <v>LS-0355</v>
      </c>
      <c r="B363" s="10">
        <f>IF(ISNUMBER('Raw Data'!B359),INT('Raw Data'!B359),IFERROR(DATEVALUE('Raw Data'!B359),""))</f>
        <v>45895</v>
      </c>
      <c r="C363" s="9" t="str">
        <f>PROPER(TRIM('Raw Data'!C359))</f>
        <v>Carlo Mendoza</v>
      </c>
      <c r="D363" s="11">
        <f>IF(ISNUMBER('Raw Data'!D359),MOD('Raw Data'!D359,1),IFERROR(TIMEVALUE('Raw Data'!D359),""))</f>
        <v>0.79166666666666663</v>
      </c>
      <c r="E363" s="11">
        <f>IF(ISNUMBER('Raw Data'!E359),MOD('Raw Data'!E359,1),IFERROR(TIMEVALUE('Raw Data'!E359),""))</f>
        <v>0.875</v>
      </c>
      <c r="F363" s="12">
        <f>IF(ISNUMBER('Raw Data'!F359),'Raw Data'!F359,IFERROR(VALUE(SUBSTITUTE('Raw Data'!F359,",","")),""))</f>
        <v>36213</v>
      </c>
      <c r="G363" s="13">
        <f>IF(ISNUMBER('Raw Data'!G359),'Raw Data'!G359,IFERROR(VALUE(SUBSTITUTE('Raw Data'!G359,",","")),""))</f>
        <v>95</v>
      </c>
      <c r="H363" s="13">
        <f>IF(ISNUMBER('Raw Data'!H359),'Raw Data'!H359,IFERROR(VALUE(SUBSTITUTE('Raw Data'!H359,",","")),""))</f>
        <v>158591</v>
      </c>
      <c r="I363" s="13">
        <f>IF(ISNUMBER('Raw Data'!I359),'Raw Data'!I359,IFERROR(VALUE(SUBSTITUTE('Raw Data'!I359,",","")),""))</f>
        <v>1480</v>
      </c>
      <c r="J363" s="21">
        <f>IF(AND(ISNUMBER(tblClean[[#This Row],[Start Time]]),ISNUMBER(tblClean[[#This Row],[End Time]])),ROUND(MOD(tblClean[[#This Row],[End Time]]-tblClean[[#This Row],[Start Time]],1)*24,2),"")</f>
        <v>2</v>
      </c>
      <c r="K363" s="12">
        <f>IF(AND(ISNUMBER(tblClean[[#This Row],[Duration Hours]]),ISNUMBER(tblClean[[#This Row],[Attributed GMV PHP]])),IF(tblClean[[#This Row],[Duration Hours]]&gt;0,tblClean[[#This Row],[Attributed GMV PHP]]/tblClean[[#This Row],[Duration Hours]],""),"")</f>
        <v>18106.5</v>
      </c>
      <c r="L363" s="22">
        <f>IF(ISNUMBER(tblClean[[#This Row],[Date]]),DATE(YEAR(tblClean[[#This Row],[Date]]),MONTH(tblClean[[#This Row],[Date]]),1),"")</f>
        <v>45870</v>
      </c>
      <c r="M363" s="10">
        <f>IF(ISNUMBER(tblClean[[#This Row],[Date]]),tblClean[[#This Row],[Date]]-WEEKDAY(tblClean[[#This Row],[Date]],2)+1,"")</f>
        <v>45894</v>
      </c>
      <c r="N363" s="23">
        <f>IF(ISNUMBER(tblClean[[#This Row],[Week Start]]),(tblClean[[#This Row],[Week Start]]-MIN(tblClean[Week Start]))/7+1,"")</f>
        <v>13</v>
      </c>
      <c r="O363" s="24" t="str">
        <f>IF(ISNUMBER(tblClean[[#This Row],[Date]]),CHOOSE(WEEKDAY(tblClean[[#This Row],[Date]],2),"Mon","Tue","Wed","Thu","Fri","Sat","Sun"),"")</f>
        <v>Tue</v>
      </c>
      <c r="P363" s="24" t="str">
        <f>IF(ISNUMBER(tblClean[[#This Row],[Date]]),IF(WEEKDAY(tblClean[[#This Row],[Date]],2)&gt;=6,"Weekend","Weekday"),"")</f>
        <v>Weekday</v>
      </c>
      <c r="Q36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63" s="9" t="str">
        <f>IF(ISNUMBER(tblClean[[#This Row],[Duration Hours]]),IF(tblClean[[#This Row],[Duration Hours]]&lt;2,"Short (under 2h)",IF(tblClean[[#This Row],[Duration Hours]]&lt;3,"Standard (2h to under 3h)","Long (3h or more)")),"")</f>
        <v>Standard (2h to under 3h)</v>
      </c>
      <c r="S36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63" s="24">
        <f>IF(COUNTIF(tblClean[Session ID],tblClean[[#This Row],[Session ID]])&gt;1,1,0)</f>
        <v>0</v>
      </c>
      <c r="U363" s="24">
        <f>IF(OR(N(tblClean[[#This Row],[Attributed GMV PHP]])&lt;0,N(tblClean[[#This Row],[Items Sold]])&lt;0,N(tblClean[[#This Row],[Livestream Views]])&lt;0,N(tblClean[[#This Row],[New Followers]])&lt;0),1,0)</f>
        <v>0</v>
      </c>
      <c r="V363" s="24">
        <f>IF(ISNUMBER(tblClean[[#This Row],[Duration Hours]]),IF(OR(tblClean[[#This Row],[Duration Hours]]&lt;=0,tblClean[[#This Row],[Duration Hours]]&gt;12),1,0),1)</f>
        <v>0</v>
      </c>
      <c r="W363" s="24">
        <f>IF(COUNTIF(HostRoster,tblClean[[#This Row],[Host Name]])=0,1,0)</f>
        <v>0</v>
      </c>
      <c r="X363" s="24">
        <f>IF(tblClean[[#This Row],[Missing Flag]]+tblClean[[#This Row],[Duplicate Flag]]+tblClean[[#This Row],[Negative Flag]]+tblClean[[#This Row],[Duration Flag]]+tblClean[[#This Row],[Host Flag]]=0,1,0)</f>
        <v>1</v>
      </c>
    </row>
    <row r="364" spans="1:24" x14ac:dyDescent="0.3">
      <c r="A364" s="9" t="str">
        <f>TRIM('Raw Data'!A360)</f>
        <v>LS-0356</v>
      </c>
      <c r="B364" s="10">
        <f>IF(ISNUMBER('Raw Data'!B360),INT('Raw Data'!B360),IFERROR(DATEVALUE('Raw Data'!B360),""))</f>
        <v>45896</v>
      </c>
      <c r="C364" s="9" t="str">
        <f>PROPER(TRIM('Raw Data'!C360))</f>
        <v>Bianca Reyes</v>
      </c>
      <c r="D364" s="11">
        <f>IF(ISNUMBER('Raw Data'!D360),MOD('Raw Data'!D360,1),IFERROR(TIMEVALUE('Raw Data'!D360),""))</f>
        <v>0.41666666666666669</v>
      </c>
      <c r="E364" s="11">
        <f>IF(ISNUMBER('Raw Data'!E360),MOD('Raw Data'!E360,1),IFERROR(TIMEVALUE('Raw Data'!E360),""))</f>
        <v>0.52083333333333337</v>
      </c>
      <c r="F364" s="12">
        <f>IF(ISNUMBER('Raw Data'!F360),'Raw Data'!F360,IFERROR(VALUE(SUBSTITUTE('Raw Data'!F360,",","")),""))</f>
        <v>23453</v>
      </c>
      <c r="G364" s="13">
        <f>IF(ISNUMBER('Raw Data'!G360),'Raw Data'!G360,IFERROR(VALUE(SUBSTITUTE('Raw Data'!G360,",","")),""))</f>
        <v>71</v>
      </c>
      <c r="H364" s="13">
        <f>IF(ISNUMBER('Raw Data'!H360),'Raw Data'!H360,IFERROR(VALUE(SUBSTITUTE('Raw Data'!H360,",","")),""))</f>
        <v>95516</v>
      </c>
      <c r="I364" s="13">
        <f>IF(ISNUMBER('Raw Data'!I360),'Raw Data'!I360,IFERROR(VALUE(SUBSTITUTE('Raw Data'!I360,",","")),""))</f>
        <v>959</v>
      </c>
      <c r="J364" s="21">
        <f>IF(AND(ISNUMBER(tblClean[[#This Row],[Start Time]]),ISNUMBER(tblClean[[#This Row],[End Time]])),ROUND(MOD(tblClean[[#This Row],[End Time]]-tblClean[[#This Row],[Start Time]],1)*24,2),"")</f>
        <v>2.5</v>
      </c>
      <c r="K364" s="12">
        <f>IF(AND(ISNUMBER(tblClean[[#This Row],[Duration Hours]]),ISNUMBER(tblClean[[#This Row],[Attributed GMV PHP]])),IF(tblClean[[#This Row],[Duration Hours]]&gt;0,tblClean[[#This Row],[Attributed GMV PHP]]/tblClean[[#This Row],[Duration Hours]],""),"")</f>
        <v>9381.2000000000007</v>
      </c>
      <c r="L364" s="22">
        <f>IF(ISNUMBER(tblClean[[#This Row],[Date]]),DATE(YEAR(tblClean[[#This Row],[Date]]),MONTH(tblClean[[#This Row],[Date]]),1),"")</f>
        <v>45870</v>
      </c>
      <c r="M364" s="10">
        <f>IF(ISNUMBER(tblClean[[#This Row],[Date]]),tblClean[[#This Row],[Date]]-WEEKDAY(tblClean[[#This Row],[Date]],2)+1,"")</f>
        <v>45894</v>
      </c>
      <c r="N364" s="23">
        <f>IF(ISNUMBER(tblClean[[#This Row],[Week Start]]),(tblClean[[#This Row],[Week Start]]-MIN(tblClean[Week Start]))/7+1,"")</f>
        <v>13</v>
      </c>
      <c r="O364" s="24" t="str">
        <f>IF(ISNUMBER(tblClean[[#This Row],[Date]]),CHOOSE(WEEKDAY(tblClean[[#This Row],[Date]],2),"Mon","Tue","Wed","Thu","Fri","Sat","Sun"),"")</f>
        <v>Wed</v>
      </c>
      <c r="P364" s="24" t="str">
        <f>IF(ISNUMBER(tblClean[[#This Row],[Date]]),IF(WEEKDAY(tblClean[[#This Row],[Date]],2)&gt;=6,"Weekend","Weekday"),"")</f>
        <v>Weekday</v>
      </c>
      <c r="Q36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64" s="9" t="str">
        <f>IF(ISNUMBER(tblClean[[#This Row],[Duration Hours]]),IF(tblClean[[#This Row],[Duration Hours]]&lt;2,"Short (under 2h)",IF(tblClean[[#This Row],[Duration Hours]]&lt;3,"Standard (2h to under 3h)","Long (3h or more)")),"")</f>
        <v>Standard (2h to under 3h)</v>
      </c>
      <c r="S36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64" s="24">
        <f>IF(COUNTIF(tblClean[Session ID],tblClean[[#This Row],[Session ID]])&gt;1,1,0)</f>
        <v>0</v>
      </c>
      <c r="U364" s="24">
        <f>IF(OR(N(tblClean[[#This Row],[Attributed GMV PHP]])&lt;0,N(tblClean[[#This Row],[Items Sold]])&lt;0,N(tblClean[[#This Row],[Livestream Views]])&lt;0,N(tblClean[[#This Row],[New Followers]])&lt;0),1,0)</f>
        <v>0</v>
      </c>
      <c r="V364" s="24">
        <f>IF(ISNUMBER(tblClean[[#This Row],[Duration Hours]]),IF(OR(tblClean[[#This Row],[Duration Hours]]&lt;=0,tblClean[[#This Row],[Duration Hours]]&gt;12),1,0),1)</f>
        <v>0</v>
      </c>
      <c r="W364" s="24">
        <f>IF(COUNTIF(HostRoster,tblClean[[#This Row],[Host Name]])=0,1,0)</f>
        <v>0</v>
      </c>
      <c r="X364" s="24">
        <f>IF(tblClean[[#This Row],[Missing Flag]]+tblClean[[#This Row],[Duplicate Flag]]+tblClean[[#This Row],[Negative Flag]]+tblClean[[#This Row],[Duration Flag]]+tblClean[[#This Row],[Host Flag]]=0,1,0)</f>
        <v>1</v>
      </c>
    </row>
    <row r="365" spans="1:24" x14ac:dyDescent="0.3">
      <c r="A365" s="9" t="str">
        <f>TRIM('Raw Data'!A361)</f>
        <v>LS-0357</v>
      </c>
      <c r="B365" s="10">
        <f>IF(ISNUMBER('Raw Data'!B361),INT('Raw Data'!B361),IFERROR(DATEVALUE('Raw Data'!B361),""))</f>
        <v>45896</v>
      </c>
      <c r="C365" s="9" t="str">
        <f>PROPER(TRIM('Raw Data'!C361))</f>
        <v>Elise Navarro</v>
      </c>
      <c r="D365" s="11">
        <f>IF(ISNUMBER('Raw Data'!D361),MOD('Raw Data'!D361,1),IFERROR(TIMEVALUE('Raw Data'!D361),""))</f>
        <v>0.54166666666666663</v>
      </c>
      <c r="E365" s="11">
        <f>IF(ISNUMBER('Raw Data'!E361),MOD('Raw Data'!E361,1),IFERROR(TIMEVALUE('Raw Data'!E361),""))</f>
        <v>0.625</v>
      </c>
      <c r="F365" s="12">
        <f>IF(ISNUMBER('Raw Data'!F361),'Raw Data'!F361,IFERROR(VALUE(SUBSTITUTE('Raw Data'!F361,",","")),""))</f>
        <v>39922</v>
      </c>
      <c r="G365" s="13">
        <f>IF(ISNUMBER('Raw Data'!G361),'Raw Data'!G361,IFERROR(VALUE(SUBSTITUTE('Raw Data'!G361,",","")),""))</f>
        <v>124</v>
      </c>
      <c r="H365" s="13">
        <f>IF(ISNUMBER('Raw Data'!H361),'Raw Data'!H361,IFERROR(VALUE(SUBSTITUTE('Raw Data'!H361,",","")),""))</f>
        <v>181951</v>
      </c>
      <c r="I365" s="13">
        <f>IF(ISNUMBER('Raw Data'!I361),'Raw Data'!I361,IFERROR(VALUE(SUBSTITUTE('Raw Data'!I361,",","")),""))</f>
        <v>1004</v>
      </c>
      <c r="J365" s="21">
        <f>IF(AND(ISNUMBER(tblClean[[#This Row],[Start Time]]),ISNUMBER(tblClean[[#This Row],[End Time]])),ROUND(MOD(tblClean[[#This Row],[End Time]]-tblClean[[#This Row],[Start Time]],1)*24,2),"")</f>
        <v>2</v>
      </c>
      <c r="K365" s="12">
        <f>IF(AND(ISNUMBER(tblClean[[#This Row],[Duration Hours]]),ISNUMBER(tblClean[[#This Row],[Attributed GMV PHP]])),IF(tblClean[[#This Row],[Duration Hours]]&gt;0,tblClean[[#This Row],[Attributed GMV PHP]]/tblClean[[#This Row],[Duration Hours]],""),"")</f>
        <v>19961</v>
      </c>
      <c r="L365" s="22">
        <f>IF(ISNUMBER(tblClean[[#This Row],[Date]]),DATE(YEAR(tblClean[[#This Row],[Date]]),MONTH(tblClean[[#This Row],[Date]]),1),"")</f>
        <v>45870</v>
      </c>
      <c r="M365" s="10">
        <f>IF(ISNUMBER(tblClean[[#This Row],[Date]]),tblClean[[#This Row],[Date]]-WEEKDAY(tblClean[[#This Row],[Date]],2)+1,"")</f>
        <v>45894</v>
      </c>
      <c r="N365" s="23">
        <f>IF(ISNUMBER(tblClean[[#This Row],[Week Start]]),(tblClean[[#This Row],[Week Start]]-MIN(tblClean[Week Start]))/7+1,"")</f>
        <v>13</v>
      </c>
      <c r="O365" s="24" t="str">
        <f>IF(ISNUMBER(tblClean[[#This Row],[Date]]),CHOOSE(WEEKDAY(tblClean[[#This Row],[Date]],2),"Mon","Tue","Wed","Thu","Fri","Sat","Sun"),"")</f>
        <v>Wed</v>
      </c>
      <c r="P365" s="24" t="str">
        <f>IF(ISNUMBER(tblClean[[#This Row],[Date]]),IF(WEEKDAY(tblClean[[#This Row],[Date]],2)&gt;=6,"Weekend","Weekday"),"")</f>
        <v>Weekday</v>
      </c>
      <c r="Q36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65" s="9" t="str">
        <f>IF(ISNUMBER(tblClean[[#This Row],[Duration Hours]]),IF(tblClean[[#This Row],[Duration Hours]]&lt;2,"Short (under 2h)",IF(tblClean[[#This Row],[Duration Hours]]&lt;3,"Standard (2h to under 3h)","Long (3h or more)")),"")</f>
        <v>Standard (2h to under 3h)</v>
      </c>
      <c r="S36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65" s="24">
        <f>IF(COUNTIF(tblClean[Session ID],tblClean[[#This Row],[Session ID]])&gt;1,1,0)</f>
        <v>0</v>
      </c>
      <c r="U365" s="24">
        <f>IF(OR(N(tblClean[[#This Row],[Attributed GMV PHP]])&lt;0,N(tblClean[[#This Row],[Items Sold]])&lt;0,N(tblClean[[#This Row],[Livestream Views]])&lt;0,N(tblClean[[#This Row],[New Followers]])&lt;0),1,0)</f>
        <v>0</v>
      </c>
      <c r="V365" s="24">
        <f>IF(ISNUMBER(tblClean[[#This Row],[Duration Hours]]),IF(OR(tblClean[[#This Row],[Duration Hours]]&lt;=0,tblClean[[#This Row],[Duration Hours]]&gt;12),1,0),1)</f>
        <v>0</v>
      </c>
      <c r="W365" s="24">
        <f>IF(COUNTIF(HostRoster,tblClean[[#This Row],[Host Name]])=0,1,0)</f>
        <v>0</v>
      </c>
      <c r="X365" s="24">
        <f>IF(tblClean[[#This Row],[Missing Flag]]+tblClean[[#This Row],[Duplicate Flag]]+tblClean[[#This Row],[Negative Flag]]+tblClean[[#This Row],[Duration Flag]]+tblClean[[#This Row],[Host Flag]]=0,1,0)</f>
        <v>1</v>
      </c>
    </row>
    <row r="366" spans="1:24" x14ac:dyDescent="0.3">
      <c r="A366" s="9" t="str">
        <f>TRIM('Raw Data'!A362)</f>
        <v>LS-0358</v>
      </c>
      <c r="B366" s="10">
        <f>IF(ISNUMBER('Raw Data'!B362),INT('Raw Data'!B362),IFERROR(DATEVALUE('Raw Data'!B362),""))</f>
        <v>45896</v>
      </c>
      <c r="C366" s="9" t="str">
        <f>PROPER(TRIM('Raw Data'!C362))</f>
        <v>Elise Navarro</v>
      </c>
      <c r="D366" s="11">
        <f>IF(ISNUMBER('Raw Data'!D362),MOD('Raw Data'!D362,1),IFERROR(TIMEVALUE('Raw Data'!D362),""))</f>
        <v>0.66666666666666663</v>
      </c>
      <c r="E366" s="11">
        <f>IF(ISNUMBER('Raw Data'!E362),MOD('Raw Data'!E362,1),IFERROR(TIMEVALUE('Raw Data'!E362),""))</f>
        <v>0.75</v>
      </c>
      <c r="F366" s="12">
        <f>IF(ISNUMBER('Raw Data'!F362),'Raw Data'!F362,IFERROR(VALUE(SUBSTITUTE('Raw Data'!F362,",","")),""))</f>
        <v>38853</v>
      </c>
      <c r="G366" s="13">
        <f>IF(ISNUMBER('Raw Data'!G362),'Raw Data'!G362,IFERROR(VALUE(SUBSTITUTE('Raw Data'!G362,",","")),""))</f>
        <v>109</v>
      </c>
      <c r="H366" s="13">
        <f>IF(ISNUMBER('Raw Data'!H362),'Raw Data'!H362,IFERROR(VALUE(SUBSTITUTE('Raw Data'!H362,",","")),""))</f>
        <v>123380</v>
      </c>
      <c r="I366" s="13">
        <f>IF(ISNUMBER('Raw Data'!I362),'Raw Data'!I362,IFERROR(VALUE(SUBSTITUTE('Raw Data'!I362,",","")),""))</f>
        <v>1519</v>
      </c>
      <c r="J366" s="21">
        <f>IF(AND(ISNUMBER(tblClean[[#This Row],[Start Time]]),ISNUMBER(tblClean[[#This Row],[End Time]])),ROUND(MOD(tblClean[[#This Row],[End Time]]-tblClean[[#This Row],[Start Time]],1)*24,2),"")</f>
        <v>2</v>
      </c>
      <c r="K366" s="12">
        <f>IF(AND(ISNUMBER(tblClean[[#This Row],[Duration Hours]]),ISNUMBER(tblClean[[#This Row],[Attributed GMV PHP]])),IF(tblClean[[#This Row],[Duration Hours]]&gt;0,tblClean[[#This Row],[Attributed GMV PHP]]/tblClean[[#This Row],[Duration Hours]],""),"")</f>
        <v>19426.5</v>
      </c>
      <c r="L366" s="22">
        <f>IF(ISNUMBER(tblClean[[#This Row],[Date]]),DATE(YEAR(tblClean[[#This Row],[Date]]),MONTH(tblClean[[#This Row],[Date]]),1),"")</f>
        <v>45870</v>
      </c>
      <c r="M366" s="10">
        <f>IF(ISNUMBER(tblClean[[#This Row],[Date]]),tblClean[[#This Row],[Date]]-WEEKDAY(tblClean[[#This Row],[Date]],2)+1,"")</f>
        <v>45894</v>
      </c>
      <c r="N366" s="23">
        <f>IF(ISNUMBER(tblClean[[#This Row],[Week Start]]),(tblClean[[#This Row],[Week Start]]-MIN(tblClean[Week Start]))/7+1,"")</f>
        <v>13</v>
      </c>
      <c r="O366" s="24" t="str">
        <f>IF(ISNUMBER(tblClean[[#This Row],[Date]]),CHOOSE(WEEKDAY(tblClean[[#This Row],[Date]],2),"Mon","Tue","Wed","Thu","Fri","Sat","Sun"),"")</f>
        <v>Wed</v>
      </c>
      <c r="P366" s="24" t="str">
        <f>IF(ISNUMBER(tblClean[[#This Row],[Date]]),IF(WEEKDAY(tblClean[[#This Row],[Date]],2)&gt;=6,"Weekend","Weekday"),"")</f>
        <v>Weekday</v>
      </c>
      <c r="Q36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66" s="9" t="str">
        <f>IF(ISNUMBER(tblClean[[#This Row],[Duration Hours]]),IF(tblClean[[#This Row],[Duration Hours]]&lt;2,"Short (under 2h)",IF(tblClean[[#This Row],[Duration Hours]]&lt;3,"Standard (2h to under 3h)","Long (3h or more)")),"")</f>
        <v>Standard (2h to under 3h)</v>
      </c>
      <c r="S36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66" s="24">
        <f>IF(COUNTIF(tblClean[Session ID],tblClean[[#This Row],[Session ID]])&gt;1,1,0)</f>
        <v>0</v>
      </c>
      <c r="U366" s="24">
        <f>IF(OR(N(tblClean[[#This Row],[Attributed GMV PHP]])&lt;0,N(tblClean[[#This Row],[Items Sold]])&lt;0,N(tblClean[[#This Row],[Livestream Views]])&lt;0,N(tblClean[[#This Row],[New Followers]])&lt;0),1,0)</f>
        <v>0</v>
      </c>
      <c r="V366" s="24">
        <f>IF(ISNUMBER(tblClean[[#This Row],[Duration Hours]]),IF(OR(tblClean[[#This Row],[Duration Hours]]&lt;=0,tblClean[[#This Row],[Duration Hours]]&gt;12),1,0),1)</f>
        <v>0</v>
      </c>
      <c r="W366" s="24">
        <f>IF(COUNTIF(HostRoster,tblClean[[#This Row],[Host Name]])=0,1,0)</f>
        <v>0</v>
      </c>
      <c r="X366" s="24">
        <f>IF(tblClean[[#This Row],[Missing Flag]]+tblClean[[#This Row],[Duplicate Flag]]+tblClean[[#This Row],[Negative Flag]]+tblClean[[#This Row],[Duration Flag]]+tblClean[[#This Row],[Host Flag]]=0,1,0)</f>
        <v>1</v>
      </c>
    </row>
    <row r="367" spans="1:24" x14ac:dyDescent="0.3">
      <c r="A367" s="9" t="str">
        <f>TRIM('Raw Data'!A363)</f>
        <v>LS-0359</v>
      </c>
      <c r="B367" s="10">
        <f>IF(ISNUMBER('Raw Data'!B363),INT('Raw Data'!B363),IFERROR(DATEVALUE('Raw Data'!B363),""))</f>
        <v>45896</v>
      </c>
      <c r="C367" s="9" t="str">
        <f>PROPER(TRIM('Raw Data'!C363))</f>
        <v>Carlo Mendoza</v>
      </c>
      <c r="D367" s="11">
        <f>IF(ISNUMBER('Raw Data'!D363),MOD('Raw Data'!D363,1),IFERROR(TIMEVALUE('Raw Data'!D363),""))</f>
        <v>0.79166666666666663</v>
      </c>
      <c r="E367" s="11">
        <f>IF(ISNUMBER('Raw Data'!E363),MOD('Raw Data'!E363,1),IFERROR(TIMEVALUE('Raw Data'!E363),""))</f>
        <v>0.89583333333333337</v>
      </c>
      <c r="F367" s="12">
        <f>IF(ISNUMBER('Raw Data'!F363),'Raw Data'!F363,IFERROR(VALUE(SUBSTITUTE('Raw Data'!F363,",","")),""))</f>
        <v>10338</v>
      </c>
      <c r="G367" s="13">
        <f>IF(ISNUMBER('Raw Data'!G363),'Raw Data'!G363,IFERROR(VALUE(SUBSTITUTE('Raw Data'!G363,",","")),""))</f>
        <v>35</v>
      </c>
      <c r="H367" s="13">
        <f>IF(ISNUMBER('Raw Data'!H363),'Raw Data'!H363,IFERROR(VALUE(SUBSTITUTE('Raw Data'!H363,",","")),""))</f>
        <v>28558</v>
      </c>
      <c r="I367" s="13">
        <f>IF(ISNUMBER('Raw Data'!I363),'Raw Data'!I363,IFERROR(VALUE(SUBSTITUTE('Raw Data'!I363,",","")),""))</f>
        <v>271</v>
      </c>
      <c r="J367" s="21">
        <f>IF(AND(ISNUMBER(tblClean[[#This Row],[Start Time]]),ISNUMBER(tblClean[[#This Row],[End Time]])),ROUND(MOD(tblClean[[#This Row],[End Time]]-tblClean[[#This Row],[Start Time]],1)*24,2),"")</f>
        <v>2.5</v>
      </c>
      <c r="K367" s="12">
        <f>IF(AND(ISNUMBER(tblClean[[#This Row],[Duration Hours]]),ISNUMBER(tblClean[[#This Row],[Attributed GMV PHP]])),IF(tblClean[[#This Row],[Duration Hours]]&gt;0,tblClean[[#This Row],[Attributed GMV PHP]]/tblClean[[#This Row],[Duration Hours]],""),"")</f>
        <v>4135.2</v>
      </c>
      <c r="L367" s="22">
        <f>IF(ISNUMBER(tblClean[[#This Row],[Date]]),DATE(YEAR(tblClean[[#This Row],[Date]]),MONTH(tblClean[[#This Row],[Date]]),1),"")</f>
        <v>45870</v>
      </c>
      <c r="M367" s="10">
        <f>IF(ISNUMBER(tblClean[[#This Row],[Date]]),tblClean[[#This Row],[Date]]-WEEKDAY(tblClean[[#This Row],[Date]],2)+1,"")</f>
        <v>45894</v>
      </c>
      <c r="N367" s="23">
        <f>IF(ISNUMBER(tblClean[[#This Row],[Week Start]]),(tblClean[[#This Row],[Week Start]]-MIN(tblClean[Week Start]))/7+1,"")</f>
        <v>13</v>
      </c>
      <c r="O367" s="24" t="str">
        <f>IF(ISNUMBER(tblClean[[#This Row],[Date]]),CHOOSE(WEEKDAY(tblClean[[#This Row],[Date]],2),"Mon","Tue","Wed","Thu","Fri","Sat","Sun"),"")</f>
        <v>Wed</v>
      </c>
      <c r="P367" s="24" t="str">
        <f>IF(ISNUMBER(tblClean[[#This Row],[Date]]),IF(WEEKDAY(tblClean[[#This Row],[Date]],2)&gt;=6,"Weekend","Weekday"),"")</f>
        <v>Weekday</v>
      </c>
      <c r="Q36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67" s="9" t="str">
        <f>IF(ISNUMBER(tblClean[[#This Row],[Duration Hours]]),IF(tblClean[[#This Row],[Duration Hours]]&lt;2,"Short (under 2h)",IF(tblClean[[#This Row],[Duration Hours]]&lt;3,"Standard (2h to under 3h)","Long (3h or more)")),"")</f>
        <v>Standard (2h to under 3h)</v>
      </c>
      <c r="S36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67" s="24">
        <f>IF(COUNTIF(tblClean[Session ID],tblClean[[#This Row],[Session ID]])&gt;1,1,0)</f>
        <v>0</v>
      </c>
      <c r="U367" s="24">
        <f>IF(OR(N(tblClean[[#This Row],[Attributed GMV PHP]])&lt;0,N(tblClean[[#This Row],[Items Sold]])&lt;0,N(tblClean[[#This Row],[Livestream Views]])&lt;0,N(tblClean[[#This Row],[New Followers]])&lt;0),1,0)</f>
        <v>0</v>
      </c>
      <c r="V367" s="24">
        <f>IF(ISNUMBER(tblClean[[#This Row],[Duration Hours]]),IF(OR(tblClean[[#This Row],[Duration Hours]]&lt;=0,tblClean[[#This Row],[Duration Hours]]&gt;12),1,0),1)</f>
        <v>0</v>
      </c>
      <c r="W367" s="24">
        <f>IF(COUNTIF(HostRoster,tblClean[[#This Row],[Host Name]])=0,1,0)</f>
        <v>0</v>
      </c>
      <c r="X367" s="24">
        <f>IF(tblClean[[#This Row],[Missing Flag]]+tblClean[[#This Row],[Duplicate Flag]]+tblClean[[#This Row],[Negative Flag]]+tblClean[[#This Row],[Duration Flag]]+tblClean[[#This Row],[Host Flag]]=0,1,0)</f>
        <v>1</v>
      </c>
    </row>
    <row r="368" spans="1:24" x14ac:dyDescent="0.3">
      <c r="A368" s="9" t="str">
        <f>TRIM('Raw Data'!A364)</f>
        <v>LS-0360</v>
      </c>
      <c r="B368" s="10">
        <f>IF(ISNUMBER('Raw Data'!B364),INT('Raw Data'!B364),IFERROR(DATEVALUE('Raw Data'!B364),""))</f>
        <v>45896</v>
      </c>
      <c r="C368" s="9" t="str">
        <f>PROPER(TRIM('Raw Data'!C364))</f>
        <v>Bianca Reyes</v>
      </c>
      <c r="D368" s="11">
        <f>IF(ISNUMBER('Raw Data'!D364),MOD('Raw Data'!D364,1),IFERROR(TIMEVALUE('Raw Data'!D364),""))</f>
        <v>0.91666666666666663</v>
      </c>
      <c r="E368" s="11">
        <f>IF(ISNUMBER('Raw Data'!E364),MOD('Raw Data'!E364,1),IFERROR(TIMEVALUE('Raw Data'!E364),""))</f>
        <v>2.0833333333333329E-2</v>
      </c>
      <c r="F368" s="12">
        <f>IF(ISNUMBER('Raw Data'!F364),'Raw Data'!F364,IFERROR(VALUE(SUBSTITUTE('Raw Data'!F364,",","")),""))</f>
        <v>23079</v>
      </c>
      <c r="G368" s="13">
        <f>IF(ISNUMBER('Raw Data'!G364),'Raw Data'!G364,IFERROR(VALUE(SUBSTITUTE('Raw Data'!G364,",","")),""))</f>
        <v>75</v>
      </c>
      <c r="H368" s="13">
        <f>IF(ISNUMBER('Raw Data'!H364),'Raw Data'!H364,IFERROR(VALUE(SUBSTITUTE('Raw Data'!H364,",","")),""))</f>
        <v>97363</v>
      </c>
      <c r="I368" s="13">
        <f>IF(ISNUMBER('Raw Data'!I364),'Raw Data'!I364,IFERROR(VALUE(SUBSTITUTE('Raw Data'!I364,",","")),""))</f>
        <v>982</v>
      </c>
      <c r="J368" s="21">
        <f>IF(AND(ISNUMBER(tblClean[[#This Row],[Start Time]]),ISNUMBER(tblClean[[#This Row],[End Time]])),ROUND(MOD(tblClean[[#This Row],[End Time]]-tblClean[[#This Row],[Start Time]],1)*24,2),"")</f>
        <v>2.5</v>
      </c>
      <c r="K368" s="12">
        <f>IF(AND(ISNUMBER(tblClean[[#This Row],[Duration Hours]]),ISNUMBER(tblClean[[#This Row],[Attributed GMV PHP]])),IF(tblClean[[#This Row],[Duration Hours]]&gt;0,tblClean[[#This Row],[Attributed GMV PHP]]/tblClean[[#This Row],[Duration Hours]],""),"")</f>
        <v>9231.6</v>
      </c>
      <c r="L368" s="22">
        <f>IF(ISNUMBER(tblClean[[#This Row],[Date]]),DATE(YEAR(tblClean[[#This Row],[Date]]),MONTH(tblClean[[#This Row],[Date]]),1),"")</f>
        <v>45870</v>
      </c>
      <c r="M368" s="10">
        <f>IF(ISNUMBER(tblClean[[#This Row],[Date]]),tblClean[[#This Row],[Date]]-WEEKDAY(tblClean[[#This Row],[Date]],2)+1,"")</f>
        <v>45894</v>
      </c>
      <c r="N368" s="23">
        <f>IF(ISNUMBER(tblClean[[#This Row],[Week Start]]),(tblClean[[#This Row],[Week Start]]-MIN(tblClean[Week Start]))/7+1,"")</f>
        <v>13</v>
      </c>
      <c r="O368" s="24" t="str">
        <f>IF(ISNUMBER(tblClean[[#This Row],[Date]]),CHOOSE(WEEKDAY(tblClean[[#This Row],[Date]],2),"Mon","Tue","Wed","Thu","Fri","Sat","Sun"),"")</f>
        <v>Wed</v>
      </c>
      <c r="P368" s="24" t="str">
        <f>IF(ISNUMBER(tblClean[[#This Row],[Date]]),IF(WEEKDAY(tblClean[[#This Row],[Date]],2)&gt;=6,"Weekend","Weekday"),"")</f>
        <v>Weekday</v>
      </c>
      <c r="Q36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68" s="9" t="str">
        <f>IF(ISNUMBER(tblClean[[#This Row],[Duration Hours]]),IF(tblClean[[#This Row],[Duration Hours]]&lt;2,"Short (under 2h)",IF(tblClean[[#This Row],[Duration Hours]]&lt;3,"Standard (2h to under 3h)","Long (3h or more)")),"")</f>
        <v>Standard (2h to under 3h)</v>
      </c>
      <c r="S36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68" s="24">
        <f>IF(COUNTIF(tblClean[Session ID],tblClean[[#This Row],[Session ID]])&gt;1,1,0)</f>
        <v>0</v>
      </c>
      <c r="U368" s="24">
        <f>IF(OR(N(tblClean[[#This Row],[Attributed GMV PHP]])&lt;0,N(tblClean[[#This Row],[Items Sold]])&lt;0,N(tblClean[[#This Row],[Livestream Views]])&lt;0,N(tblClean[[#This Row],[New Followers]])&lt;0),1,0)</f>
        <v>0</v>
      </c>
      <c r="V368" s="24">
        <f>IF(ISNUMBER(tblClean[[#This Row],[Duration Hours]]),IF(OR(tblClean[[#This Row],[Duration Hours]]&lt;=0,tblClean[[#This Row],[Duration Hours]]&gt;12),1,0),1)</f>
        <v>0</v>
      </c>
      <c r="W368" s="24">
        <f>IF(COUNTIF(HostRoster,tblClean[[#This Row],[Host Name]])=0,1,0)</f>
        <v>0</v>
      </c>
      <c r="X368" s="24">
        <f>IF(tblClean[[#This Row],[Missing Flag]]+tblClean[[#This Row],[Duplicate Flag]]+tblClean[[#This Row],[Negative Flag]]+tblClean[[#This Row],[Duration Flag]]+tblClean[[#This Row],[Host Flag]]=0,1,0)</f>
        <v>1</v>
      </c>
    </row>
    <row r="369" spans="1:24" x14ac:dyDescent="0.3">
      <c r="A369" s="9" t="str">
        <f>TRIM('Raw Data'!A365)</f>
        <v>LS-0361</v>
      </c>
      <c r="B369" s="10">
        <f>IF(ISNUMBER('Raw Data'!B365),INT('Raw Data'!B365),IFERROR(DATEVALUE('Raw Data'!B365),""))</f>
        <v>45897</v>
      </c>
      <c r="C369" s="9" t="str">
        <f>PROPER(TRIM('Raw Data'!C365))</f>
        <v>Dani Villanueva</v>
      </c>
      <c r="D369" s="11">
        <f>IF(ISNUMBER('Raw Data'!D365),MOD('Raw Data'!D365,1),IFERROR(TIMEVALUE('Raw Data'!D365),""))</f>
        <v>0.41666666666666669</v>
      </c>
      <c r="E369" s="11">
        <f>IF(ISNUMBER('Raw Data'!E365),MOD('Raw Data'!E365,1),IFERROR(TIMEVALUE('Raw Data'!E365),""))</f>
        <v>0.54166666666666663</v>
      </c>
      <c r="F369" s="12">
        <f>IF(ISNUMBER('Raw Data'!F365),'Raw Data'!F365,IFERROR(VALUE(SUBSTITUTE('Raw Data'!F365,",","")),""))</f>
        <v>16229</v>
      </c>
      <c r="G369" s="13">
        <f>IF(ISNUMBER('Raw Data'!G365),'Raw Data'!G365,IFERROR(VALUE(SUBSTITUTE('Raw Data'!G365,",","")),""))</f>
        <v>43</v>
      </c>
      <c r="H369" s="13">
        <f>IF(ISNUMBER('Raw Data'!H365),'Raw Data'!H365,IFERROR(VALUE(SUBSTITUTE('Raw Data'!H365,",","")),""))</f>
        <v>57135</v>
      </c>
      <c r="I369" s="13">
        <f>IF(ISNUMBER('Raw Data'!I365),'Raw Data'!I365,IFERROR(VALUE(SUBSTITUTE('Raw Data'!I365,",","")),""))</f>
        <v>286</v>
      </c>
      <c r="J369" s="21">
        <f>IF(AND(ISNUMBER(tblClean[[#This Row],[Start Time]]),ISNUMBER(tblClean[[#This Row],[End Time]])),ROUND(MOD(tblClean[[#This Row],[End Time]]-tblClean[[#This Row],[Start Time]],1)*24,2),"")</f>
        <v>3</v>
      </c>
      <c r="K369" s="12">
        <f>IF(AND(ISNUMBER(tblClean[[#This Row],[Duration Hours]]),ISNUMBER(tblClean[[#This Row],[Attributed GMV PHP]])),IF(tblClean[[#This Row],[Duration Hours]]&gt;0,tblClean[[#This Row],[Attributed GMV PHP]]/tblClean[[#This Row],[Duration Hours]],""),"")</f>
        <v>5409.666666666667</v>
      </c>
      <c r="L369" s="22">
        <f>IF(ISNUMBER(tblClean[[#This Row],[Date]]),DATE(YEAR(tblClean[[#This Row],[Date]]),MONTH(tblClean[[#This Row],[Date]]),1),"")</f>
        <v>45870</v>
      </c>
      <c r="M369" s="10">
        <f>IF(ISNUMBER(tblClean[[#This Row],[Date]]),tblClean[[#This Row],[Date]]-WEEKDAY(tblClean[[#This Row],[Date]],2)+1,"")</f>
        <v>45894</v>
      </c>
      <c r="N369" s="23">
        <f>IF(ISNUMBER(tblClean[[#This Row],[Week Start]]),(tblClean[[#This Row],[Week Start]]-MIN(tblClean[Week Start]))/7+1,"")</f>
        <v>13</v>
      </c>
      <c r="O369" s="24" t="str">
        <f>IF(ISNUMBER(tblClean[[#This Row],[Date]]),CHOOSE(WEEKDAY(tblClean[[#This Row],[Date]],2),"Mon","Tue","Wed","Thu","Fri","Sat","Sun"),"")</f>
        <v>Thu</v>
      </c>
      <c r="P369" s="24" t="str">
        <f>IF(ISNUMBER(tblClean[[#This Row],[Date]]),IF(WEEKDAY(tblClean[[#This Row],[Date]],2)&gt;=6,"Weekend","Weekday"),"")</f>
        <v>Weekday</v>
      </c>
      <c r="Q36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69" s="9" t="str">
        <f>IF(ISNUMBER(tblClean[[#This Row],[Duration Hours]]),IF(tblClean[[#This Row],[Duration Hours]]&lt;2,"Short (under 2h)",IF(tblClean[[#This Row],[Duration Hours]]&lt;3,"Standard (2h to under 3h)","Long (3h or more)")),"")</f>
        <v>Long (3h or more)</v>
      </c>
      <c r="S36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69" s="24">
        <f>IF(COUNTIF(tblClean[Session ID],tblClean[[#This Row],[Session ID]])&gt;1,1,0)</f>
        <v>0</v>
      </c>
      <c r="U369" s="24">
        <f>IF(OR(N(tblClean[[#This Row],[Attributed GMV PHP]])&lt;0,N(tblClean[[#This Row],[Items Sold]])&lt;0,N(tblClean[[#This Row],[Livestream Views]])&lt;0,N(tblClean[[#This Row],[New Followers]])&lt;0),1,0)</f>
        <v>0</v>
      </c>
      <c r="V369" s="24">
        <f>IF(ISNUMBER(tblClean[[#This Row],[Duration Hours]]),IF(OR(tblClean[[#This Row],[Duration Hours]]&lt;=0,tblClean[[#This Row],[Duration Hours]]&gt;12),1,0),1)</f>
        <v>0</v>
      </c>
      <c r="W369" s="24">
        <f>IF(COUNTIF(HostRoster,tblClean[[#This Row],[Host Name]])=0,1,0)</f>
        <v>0</v>
      </c>
      <c r="X369" s="24">
        <f>IF(tblClean[[#This Row],[Missing Flag]]+tblClean[[#This Row],[Duplicate Flag]]+tblClean[[#This Row],[Negative Flag]]+tblClean[[#This Row],[Duration Flag]]+tblClean[[#This Row],[Host Flag]]=0,1,0)</f>
        <v>1</v>
      </c>
    </row>
    <row r="370" spans="1:24" x14ac:dyDescent="0.3">
      <c r="A370" s="9" t="str">
        <f>TRIM('Raw Data'!A366)</f>
        <v>LS-0362</v>
      </c>
      <c r="B370" s="10">
        <f>IF(ISNUMBER('Raw Data'!B366),INT('Raw Data'!B366),IFERROR(DATEVALUE('Raw Data'!B366),""))</f>
        <v>45897</v>
      </c>
      <c r="C370" s="9" t="str">
        <f>PROPER(TRIM('Raw Data'!C366))</f>
        <v>Bianca Reyes</v>
      </c>
      <c r="D370" s="11">
        <f>IF(ISNUMBER('Raw Data'!D366),MOD('Raw Data'!D366,1),IFERROR(TIMEVALUE('Raw Data'!D366),""))</f>
        <v>0.54166666666666663</v>
      </c>
      <c r="E370" s="11">
        <f>IF(ISNUMBER('Raw Data'!E366),MOD('Raw Data'!E366,1),IFERROR(TIMEVALUE('Raw Data'!E366),""))</f>
        <v>0.64583333333333337</v>
      </c>
      <c r="F370" s="12">
        <f>IF(ISNUMBER('Raw Data'!F366),'Raw Data'!F366,IFERROR(VALUE(SUBSTITUTE('Raw Data'!F366,",","")),""))</f>
        <v>17128</v>
      </c>
      <c r="G370" s="13">
        <f>IF(ISNUMBER('Raw Data'!G366),'Raw Data'!G366,IFERROR(VALUE(SUBSTITUTE('Raw Data'!G366,",","")),""))</f>
        <v>47</v>
      </c>
      <c r="H370" s="13">
        <f>IF(ISNUMBER('Raw Data'!H366),'Raw Data'!H366,IFERROR(VALUE(SUBSTITUTE('Raw Data'!H366,",","")),""))</f>
        <v>81045</v>
      </c>
      <c r="I370" s="13">
        <f>IF(ISNUMBER('Raw Data'!I366),'Raw Data'!I366,IFERROR(VALUE(SUBSTITUTE('Raw Data'!I366,",","")),""))</f>
        <v>738</v>
      </c>
      <c r="J370" s="21">
        <f>IF(AND(ISNUMBER(tblClean[[#This Row],[Start Time]]),ISNUMBER(tblClean[[#This Row],[End Time]])),ROUND(MOD(tblClean[[#This Row],[End Time]]-tblClean[[#This Row],[Start Time]],1)*24,2),"")</f>
        <v>2.5</v>
      </c>
      <c r="K370" s="12">
        <f>IF(AND(ISNUMBER(tblClean[[#This Row],[Duration Hours]]),ISNUMBER(tblClean[[#This Row],[Attributed GMV PHP]])),IF(tblClean[[#This Row],[Duration Hours]]&gt;0,tblClean[[#This Row],[Attributed GMV PHP]]/tblClean[[#This Row],[Duration Hours]],""),"")</f>
        <v>6851.2</v>
      </c>
      <c r="L370" s="22">
        <f>IF(ISNUMBER(tblClean[[#This Row],[Date]]),DATE(YEAR(tblClean[[#This Row],[Date]]),MONTH(tblClean[[#This Row],[Date]]),1),"")</f>
        <v>45870</v>
      </c>
      <c r="M370" s="10">
        <f>IF(ISNUMBER(tblClean[[#This Row],[Date]]),tblClean[[#This Row],[Date]]-WEEKDAY(tblClean[[#This Row],[Date]],2)+1,"")</f>
        <v>45894</v>
      </c>
      <c r="N370" s="23">
        <f>IF(ISNUMBER(tblClean[[#This Row],[Week Start]]),(tblClean[[#This Row],[Week Start]]-MIN(tblClean[Week Start]))/7+1,"")</f>
        <v>13</v>
      </c>
      <c r="O370" s="24" t="str">
        <f>IF(ISNUMBER(tblClean[[#This Row],[Date]]),CHOOSE(WEEKDAY(tblClean[[#This Row],[Date]],2),"Mon","Tue","Wed","Thu","Fri","Sat","Sun"),"")</f>
        <v>Thu</v>
      </c>
      <c r="P370" s="24" t="str">
        <f>IF(ISNUMBER(tblClean[[#This Row],[Date]]),IF(WEEKDAY(tblClean[[#This Row],[Date]],2)&gt;=6,"Weekend","Weekday"),"")</f>
        <v>Weekday</v>
      </c>
      <c r="Q37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70" s="9" t="str">
        <f>IF(ISNUMBER(tblClean[[#This Row],[Duration Hours]]),IF(tblClean[[#This Row],[Duration Hours]]&lt;2,"Short (under 2h)",IF(tblClean[[#This Row],[Duration Hours]]&lt;3,"Standard (2h to under 3h)","Long (3h or more)")),"")</f>
        <v>Standard (2h to under 3h)</v>
      </c>
      <c r="S37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70" s="24">
        <f>IF(COUNTIF(tblClean[Session ID],tblClean[[#This Row],[Session ID]])&gt;1,1,0)</f>
        <v>0</v>
      </c>
      <c r="U370" s="24">
        <f>IF(OR(N(tblClean[[#This Row],[Attributed GMV PHP]])&lt;0,N(tblClean[[#This Row],[Items Sold]])&lt;0,N(tblClean[[#This Row],[Livestream Views]])&lt;0,N(tblClean[[#This Row],[New Followers]])&lt;0),1,0)</f>
        <v>0</v>
      </c>
      <c r="V370" s="24">
        <f>IF(ISNUMBER(tblClean[[#This Row],[Duration Hours]]),IF(OR(tblClean[[#This Row],[Duration Hours]]&lt;=0,tblClean[[#This Row],[Duration Hours]]&gt;12),1,0),1)</f>
        <v>0</v>
      </c>
      <c r="W370" s="24">
        <f>IF(COUNTIF(HostRoster,tblClean[[#This Row],[Host Name]])=0,1,0)</f>
        <v>0</v>
      </c>
      <c r="X370" s="24">
        <f>IF(tblClean[[#This Row],[Missing Flag]]+tblClean[[#This Row],[Duplicate Flag]]+tblClean[[#This Row],[Negative Flag]]+tblClean[[#This Row],[Duration Flag]]+tblClean[[#This Row],[Host Flag]]=0,1,0)</f>
        <v>1</v>
      </c>
    </row>
    <row r="371" spans="1:24" x14ac:dyDescent="0.3">
      <c r="A371" s="9" t="str">
        <f>TRIM('Raw Data'!A367)</f>
        <v>LS-0363</v>
      </c>
      <c r="B371" s="10">
        <f>IF(ISNUMBER('Raw Data'!B367),INT('Raw Data'!B367),IFERROR(DATEVALUE('Raw Data'!B367),""))</f>
        <v>45897</v>
      </c>
      <c r="C371" s="9" t="str">
        <f>PROPER(TRIM('Raw Data'!C367))</f>
        <v>Bianca Reyes</v>
      </c>
      <c r="D371" s="11">
        <f>IF(ISNUMBER('Raw Data'!D367),MOD('Raw Data'!D367,1),IFERROR(TIMEVALUE('Raw Data'!D367),""))</f>
        <v>0.66666666666666663</v>
      </c>
      <c r="E371" s="11">
        <f>IF(ISNUMBER('Raw Data'!E367),MOD('Raw Data'!E367,1),IFERROR(TIMEVALUE('Raw Data'!E367),""))</f>
        <v>0.75</v>
      </c>
      <c r="F371" s="12">
        <f>IF(ISNUMBER('Raw Data'!F367),'Raw Data'!F367,IFERROR(VALUE(SUBSTITUTE('Raw Data'!F367,",","")),""))</f>
        <v>20714</v>
      </c>
      <c r="G371" s="13">
        <f>IF(ISNUMBER('Raw Data'!G367),'Raw Data'!G367,IFERROR(VALUE(SUBSTITUTE('Raw Data'!G367,",","")),""))</f>
        <v>58</v>
      </c>
      <c r="H371" s="13">
        <f>IF(ISNUMBER('Raw Data'!H367),'Raw Data'!H367,IFERROR(VALUE(SUBSTITUTE('Raw Data'!H367,",","")),""))</f>
        <v>77928</v>
      </c>
      <c r="I371" s="13">
        <f>IF(ISNUMBER('Raw Data'!I367),'Raw Data'!I367,IFERROR(VALUE(SUBSTITUTE('Raw Data'!I367,",","")),""))</f>
        <v>433</v>
      </c>
      <c r="J371" s="21">
        <f>IF(AND(ISNUMBER(tblClean[[#This Row],[Start Time]]),ISNUMBER(tblClean[[#This Row],[End Time]])),ROUND(MOD(tblClean[[#This Row],[End Time]]-tblClean[[#This Row],[Start Time]],1)*24,2),"")</f>
        <v>2</v>
      </c>
      <c r="K371" s="12">
        <f>IF(AND(ISNUMBER(tblClean[[#This Row],[Duration Hours]]),ISNUMBER(tblClean[[#This Row],[Attributed GMV PHP]])),IF(tblClean[[#This Row],[Duration Hours]]&gt;0,tblClean[[#This Row],[Attributed GMV PHP]]/tblClean[[#This Row],[Duration Hours]],""),"")</f>
        <v>10357</v>
      </c>
      <c r="L371" s="22">
        <f>IF(ISNUMBER(tblClean[[#This Row],[Date]]),DATE(YEAR(tblClean[[#This Row],[Date]]),MONTH(tblClean[[#This Row],[Date]]),1),"")</f>
        <v>45870</v>
      </c>
      <c r="M371" s="10">
        <f>IF(ISNUMBER(tblClean[[#This Row],[Date]]),tblClean[[#This Row],[Date]]-WEEKDAY(tblClean[[#This Row],[Date]],2)+1,"")</f>
        <v>45894</v>
      </c>
      <c r="N371" s="23">
        <f>IF(ISNUMBER(tblClean[[#This Row],[Week Start]]),(tblClean[[#This Row],[Week Start]]-MIN(tblClean[Week Start]))/7+1,"")</f>
        <v>13</v>
      </c>
      <c r="O371" s="24" t="str">
        <f>IF(ISNUMBER(tblClean[[#This Row],[Date]]),CHOOSE(WEEKDAY(tblClean[[#This Row],[Date]],2),"Mon","Tue","Wed","Thu","Fri","Sat","Sun"),"")</f>
        <v>Thu</v>
      </c>
      <c r="P371" s="24" t="str">
        <f>IF(ISNUMBER(tblClean[[#This Row],[Date]]),IF(WEEKDAY(tblClean[[#This Row],[Date]],2)&gt;=6,"Weekend","Weekday"),"")</f>
        <v>Weekday</v>
      </c>
      <c r="Q37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71" s="9" t="str">
        <f>IF(ISNUMBER(tblClean[[#This Row],[Duration Hours]]),IF(tblClean[[#This Row],[Duration Hours]]&lt;2,"Short (under 2h)",IF(tblClean[[#This Row],[Duration Hours]]&lt;3,"Standard (2h to under 3h)","Long (3h or more)")),"")</f>
        <v>Standard (2h to under 3h)</v>
      </c>
      <c r="S37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71" s="24">
        <f>IF(COUNTIF(tblClean[Session ID],tblClean[[#This Row],[Session ID]])&gt;1,1,0)</f>
        <v>0</v>
      </c>
      <c r="U371" s="24">
        <f>IF(OR(N(tblClean[[#This Row],[Attributed GMV PHP]])&lt;0,N(tblClean[[#This Row],[Items Sold]])&lt;0,N(tblClean[[#This Row],[Livestream Views]])&lt;0,N(tblClean[[#This Row],[New Followers]])&lt;0),1,0)</f>
        <v>0</v>
      </c>
      <c r="V371" s="24">
        <f>IF(ISNUMBER(tblClean[[#This Row],[Duration Hours]]),IF(OR(tblClean[[#This Row],[Duration Hours]]&lt;=0,tblClean[[#This Row],[Duration Hours]]&gt;12),1,0),1)</f>
        <v>0</v>
      </c>
      <c r="W371" s="24">
        <f>IF(COUNTIF(HostRoster,tblClean[[#This Row],[Host Name]])=0,1,0)</f>
        <v>0</v>
      </c>
      <c r="X371" s="24">
        <f>IF(tblClean[[#This Row],[Missing Flag]]+tblClean[[#This Row],[Duplicate Flag]]+tblClean[[#This Row],[Negative Flag]]+tblClean[[#This Row],[Duration Flag]]+tblClean[[#This Row],[Host Flag]]=0,1,0)</f>
        <v>1</v>
      </c>
    </row>
    <row r="372" spans="1:24" x14ac:dyDescent="0.3">
      <c r="A372" s="9" t="str">
        <f>TRIM('Raw Data'!A368)</f>
        <v>LS-0364</v>
      </c>
      <c r="B372" s="10">
        <f>IF(ISNUMBER('Raw Data'!B368),INT('Raw Data'!B368),IFERROR(DATEVALUE('Raw Data'!B368),""))</f>
        <v>45897</v>
      </c>
      <c r="C372" s="9" t="str">
        <f>PROPER(TRIM('Raw Data'!C368))</f>
        <v>Aira Valdez</v>
      </c>
      <c r="D372" s="11">
        <f>IF(ISNUMBER('Raw Data'!D368),MOD('Raw Data'!D368,1),IFERROR(TIMEVALUE('Raw Data'!D368),""))</f>
        <v>0.79166666666666663</v>
      </c>
      <c r="E372" s="11">
        <f>IF(ISNUMBER('Raw Data'!E368),MOD('Raw Data'!E368,1),IFERROR(TIMEVALUE('Raw Data'!E368),""))</f>
        <v>0.875</v>
      </c>
      <c r="F372" s="12">
        <f>IF(ISNUMBER('Raw Data'!F368),'Raw Data'!F368,IFERROR(VALUE(SUBSTITUTE('Raw Data'!F368,",","")),""))</f>
        <v>61963</v>
      </c>
      <c r="G372" s="13">
        <f>IF(ISNUMBER('Raw Data'!G368),'Raw Data'!G368,IFERROR(VALUE(SUBSTITUTE('Raw Data'!G368,",","")),""))</f>
        <v>207</v>
      </c>
      <c r="H372" s="13">
        <f>IF(ISNUMBER('Raw Data'!H368),'Raw Data'!H368,IFERROR(VALUE(SUBSTITUTE('Raw Data'!H368,",","")),""))</f>
        <v>179449</v>
      </c>
      <c r="I372" s="13">
        <f>IF(ISNUMBER('Raw Data'!I368),'Raw Data'!I368,IFERROR(VALUE(SUBSTITUTE('Raw Data'!I368,",","")),""))</f>
        <v>1807</v>
      </c>
      <c r="J372" s="21">
        <f>IF(AND(ISNUMBER(tblClean[[#This Row],[Start Time]]),ISNUMBER(tblClean[[#This Row],[End Time]])),ROUND(MOD(tblClean[[#This Row],[End Time]]-tblClean[[#This Row],[Start Time]],1)*24,2),"")</f>
        <v>2</v>
      </c>
      <c r="K372" s="12">
        <f>IF(AND(ISNUMBER(tblClean[[#This Row],[Duration Hours]]),ISNUMBER(tblClean[[#This Row],[Attributed GMV PHP]])),IF(tblClean[[#This Row],[Duration Hours]]&gt;0,tblClean[[#This Row],[Attributed GMV PHP]]/tblClean[[#This Row],[Duration Hours]],""),"")</f>
        <v>30981.5</v>
      </c>
      <c r="L372" s="22">
        <f>IF(ISNUMBER(tblClean[[#This Row],[Date]]),DATE(YEAR(tblClean[[#This Row],[Date]]),MONTH(tblClean[[#This Row],[Date]]),1),"")</f>
        <v>45870</v>
      </c>
      <c r="M372" s="10">
        <f>IF(ISNUMBER(tblClean[[#This Row],[Date]]),tblClean[[#This Row],[Date]]-WEEKDAY(tblClean[[#This Row],[Date]],2)+1,"")</f>
        <v>45894</v>
      </c>
      <c r="N372" s="23">
        <f>IF(ISNUMBER(tblClean[[#This Row],[Week Start]]),(tblClean[[#This Row],[Week Start]]-MIN(tblClean[Week Start]))/7+1,"")</f>
        <v>13</v>
      </c>
      <c r="O372" s="24" t="str">
        <f>IF(ISNUMBER(tblClean[[#This Row],[Date]]),CHOOSE(WEEKDAY(tblClean[[#This Row],[Date]],2),"Mon","Tue","Wed","Thu","Fri","Sat","Sun"),"")</f>
        <v>Thu</v>
      </c>
      <c r="P372" s="24" t="str">
        <f>IF(ISNUMBER(tblClean[[#This Row],[Date]]),IF(WEEKDAY(tblClean[[#This Row],[Date]],2)&gt;=6,"Weekend","Weekday"),"")</f>
        <v>Weekday</v>
      </c>
      <c r="Q37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72" s="9" t="str">
        <f>IF(ISNUMBER(tblClean[[#This Row],[Duration Hours]]),IF(tblClean[[#This Row],[Duration Hours]]&lt;2,"Short (under 2h)",IF(tblClean[[#This Row],[Duration Hours]]&lt;3,"Standard (2h to under 3h)","Long (3h or more)")),"")</f>
        <v>Standard (2h to under 3h)</v>
      </c>
      <c r="S37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72" s="24">
        <f>IF(COUNTIF(tblClean[Session ID],tblClean[[#This Row],[Session ID]])&gt;1,1,0)</f>
        <v>0</v>
      </c>
      <c r="U372" s="24">
        <f>IF(OR(N(tblClean[[#This Row],[Attributed GMV PHP]])&lt;0,N(tblClean[[#This Row],[Items Sold]])&lt;0,N(tblClean[[#This Row],[Livestream Views]])&lt;0,N(tblClean[[#This Row],[New Followers]])&lt;0),1,0)</f>
        <v>0</v>
      </c>
      <c r="V372" s="24">
        <f>IF(ISNUMBER(tblClean[[#This Row],[Duration Hours]]),IF(OR(tblClean[[#This Row],[Duration Hours]]&lt;=0,tblClean[[#This Row],[Duration Hours]]&gt;12),1,0),1)</f>
        <v>0</v>
      </c>
      <c r="W372" s="24">
        <f>IF(COUNTIF(HostRoster,tblClean[[#This Row],[Host Name]])=0,1,0)</f>
        <v>0</v>
      </c>
      <c r="X372" s="24">
        <f>IF(tblClean[[#This Row],[Missing Flag]]+tblClean[[#This Row],[Duplicate Flag]]+tblClean[[#This Row],[Negative Flag]]+tblClean[[#This Row],[Duration Flag]]+tblClean[[#This Row],[Host Flag]]=0,1,0)</f>
        <v>1</v>
      </c>
    </row>
    <row r="373" spans="1:24" x14ac:dyDescent="0.3">
      <c r="A373" s="9" t="str">
        <f>TRIM('Raw Data'!A369)</f>
        <v>LS-0365</v>
      </c>
      <c r="B373" s="10">
        <f>IF(ISNUMBER('Raw Data'!B369),INT('Raw Data'!B369),IFERROR(DATEVALUE('Raw Data'!B369),""))</f>
        <v>45898</v>
      </c>
      <c r="C373" s="9" t="str">
        <f>PROPER(TRIM('Raw Data'!C369))</f>
        <v>Bianca Reyes</v>
      </c>
      <c r="D373" s="11">
        <f>IF(ISNUMBER('Raw Data'!D369),MOD('Raw Data'!D369,1),IFERROR(TIMEVALUE('Raw Data'!D369),""))</f>
        <v>0.41666666666666669</v>
      </c>
      <c r="E373" s="11">
        <f>IF(ISNUMBER('Raw Data'!E369),MOD('Raw Data'!E369,1),IFERROR(TIMEVALUE('Raw Data'!E369),""))</f>
        <v>0.5</v>
      </c>
      <c r="F373" s="12">
        <f>IF(ISNUMBER('Raw Data'!F369),'Raw Data'!F369,IFERROR(VALUE(SUBSTITUTE('Raw Data'!F369,",","")),""))</f>
        <v>25387</v>
      </c>
      <c r="G373" s="13">
        <f>IF(ISNUMBER('Raw Data'!G369),'Raw Data'!G369,IFERROR(VALUE(SUBSTITUTE('Raw Data'!G369,",","")),""))</f>
        <v>76</v>
      </c>
      <c r="H373" s="13">
        <f>IF(ISNUMBER('Raw Data'!H369),'Raw Data'!H369,IFERROR(VALUE(SUBSTITUTE('Raw Data'!H369,",","")),""))</f>
        <v>62312</v>
      </c>
      <c r="I373" s="13">
        <f>IF(ISNUMBER('Raw Data'!I369),'Raw Data'!I369,IFERROR(VALUE(SUBSTITUTE('Raw Data'!I369,",","")),""))</f>
        <v>793</v>
      </c>
      <c r="J373" s="21">
        <f>IF(AND(ISNUMBER(tblClean[[#This Row],[Start Time]]),ISNUMBER(tblClean[[#This Row],[End Time]])),ROUND(MOD(tblClean[[#This Row],[End Time]]-tblClean[[#This Row],[Start Time]],1)*24,2),"")</f>
        <v>2</v>
      </c>
      <c r="K373" s="12">
        <f>IF(AND(ISNUMBER(tblClean[[#This Row],[Duration Hours]]),ISNUMBER(tblClean[[#This Row],[Attributed GMV PHP]])),IF(tblClean[[#This Row],[Duration Hours]]&gt;0,tblClean[[#This Row],[Attributed GMV PHP]]/tblClean[[#This Row],[Duration Hours]],""),"")</f>
        <v>12693.5</v>
      </c>
      <c r="L373" s="22">
        <f>IF(ISNUMBER(tblClean[[#This Row],[Date]]),DATE(YEAR(tblClean[[#This Row],[Date]]),MONTH(tblClean[[#This Row],[Date]]),1),"")</f>
        <v>45870</v>
      </c>
      <c r="M373" s="10">
        <f>IF(ISNUMBER(tblClean[[#This Row],[Date]]),tblClean[[#This Row],[Date]]-WEEKDAY(tblClean[[#This Row],[Date]],2)+1,"")</f>
        <v>45894</v>
      </c>
      <c r="N373" s="23">
        <f>IF(ISNUMBER(tblClean[[#This Row],[Week Start]]),(tblClean[[#This Row],[Week Start]]-MIN(tblClean[Week Start]))/7+1,"")</f>
        <v>13</v>
      </c>
      <c r="O373" s="24" t="str">
        <f>IF(ISNUMBER(tblClean[[#This Row],[Date]]),CHOOSE(WEEKDAY(tblClean[[#This Row],[Date]],2),"Mon","Tue","Wed","Thu","Fri","Sat","Sun"),"")</f>
        <v>Fri</v>
      </c>
      <c r="P373" s="24" t="str">
        <f>IF(ISNUMBER(tblClean[[#This Row],[Date]]),IF(WEEKDAY(tblClean[[#This Row],[Date]],2)&gt;=6,"Weekend","Weekday"),"")</f>
        <v>Weekday</v>
      </c>
      <c r="Q373"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73" s="9" t="str">
        <f>IF(ISNUMBER(tblClean[[#This Row],[Duration Hours]]),IF(tblClean[[#This Row],[Duration Hours]]&lt;2,"Short (under 2h)",IF(tblClean[[#This Row],[Duration Hours]]&lt;3,"Standard (2h to under 3h)","Long (3h or more)")),"")</f>
        <v>Standard (2h to under 3h)</v>
      </c>
      <c r="S373"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73" s="24">
        <f>IF(COUNTIF(tblClean[Session ID],tblClean[[#This Row],[Session ID]])&gt;1,1,0)</f>
        <v>0</v>
      </c>
      <c r="U373" s="24">
        <f>IF(OR(N(tblClean[[#This Row],[Attributed GMV PHP]])&lt;0,N(tblClean[[#This Row],[Items Sold]])&lt;0,N(tblClean[[#This Row],[Livestream Views]])&lt;0,N(tblClean[[#This Row],[New Followers]])&lt;0),1,0)</f>
        <v>0</v>
      </c>
      <c r="V373" s="24">
        <f>IF(ISNUMBER(tblClean[[#This Row],[Duration Hours]]),IF(OR(tblClean[[#This Row],[Duration Hours]]&lt;=0,tblClean[[#This Row],[Duration Hours]]&gt;12),1,0),1)</f>
        <v>0</v>
      </c>
      <c r="W373" s="24">
        <f>IF(COUNTIF(HostRoster,tblClean[[#This Row],[Host Name]])=0,1,0)</f>
        <v>0</v>
      </c>
      <c r="X373" s="24">
        <f>IF(tblClean[[#This Row],[Missing Flag]]+tblClean[[#This Row],[Duplicate Flag]]+tblClean[[#This Row],[Negative Flag]]+tblClean[[#This Row],[Duration Flag]]+tblClean[[#This Row],[Host Flag]]=0,1,0)</f>
        <v>1</v>
      </c>
    </row>
    <row r="374" spans="1:24" x14ac:dyDescent="0.3">
      <c r="A374" s="9" t="str">
        <f>TRIM('Raw Data'!A370)</f>
        <v>LS-0366</v>
      </c>
      <c r="B374" s="10">
        <f>IF(ISNUMBER('Raw Data'!B370),INT('Raw Data'!B370),IFERROR(DATEVALUE('Raw Data'!B370),""))</f>
        <v>45898</v>
      </c>
      <c r="C374" s="9" t="str">
        <f>PROPER(TRIM('Raw Data'!C370))</f>
        <v>Elise Navarro</v>
      </c>
      <c r="D374" s="11">
        <f>IF(ISNUMBER('Raw Data'!D370),MOD('Raw Data'!D370,1),IFERROR(TIMEVALUE('Raw Data'!D370),""))</f>
        <v>0.66666666666666663</v>
      </c>
      <c r="E374" s="11">
        <f>IF(ISNUMBER('Raw Data'!E370),MOD('Raw Data'!E370,1),IFERROR(TIMEVALUE('Raw Data'!E370),""))</f>
        <v>0.77083333333333337</v>
      </c>
      <c r="F374" s="12">
        <f>IF(ISNUMBER('Raw Data'!F370),'Raw Data'!F370,IFERROR(VALUE(SUBSTITUTE('Raw Data'!F370,",","")),""))</f>
        <v>36750</v>
      </c>
      <c r="G374" s="13">
        <f>IF(ISNUMBER('Raw Data'!G370),'Raw Data'!G370,IFERROR(VALUE(SUBSTITUTE('Raw Data'!G370,",","")),""))</f>
        <v>106</v>
      </c>
      <c r="H374" s="13">
        <f>IF(ISNUMBER('Raw Data'!H370),'Raw Data'!H370,IFERROR(VALUE(SUBSTITUTE('Raw Data'!H370,",","")),""))</f>
        <v>99539</v>
      </c>
      <c r="I374" s="13">
        <f>IF(ISNUMBER('Raw Data'!I370),'Raw Data'!I370,IFERROR(VALUE(SUBSTITUTE('Raw Data'!I370,",","")),""))</f>
        <v>698</v>
      </c>
      <c r="J374" s="21">
        <f>IF(AND(ISNUMBER(tblClean[[#This Row],[Start Time]]),ISNUMBER(tblClean[[#This Row],[End Time]])),ROUND(MOD(tblClean[[#This Row],[End Time]]-tblClean[[#This Row],[Start Time]],1)*24,2),"")</f>
        <v>2.5</v>
      </c>
      <c r="K374" s="12">
        <f>IF(AND(ISNUMBER(tblClean[[#This Row],[Duration Hours]]),ISNUMBER(tblClean[[#This Row],[Attributed GMV PHP]])),IF(tblClean[[#This Row],[Duration Hours]]&gt;0,tblClean[[#This Row],[Attributed GMV PHP]]/tblClean[[#This Row],[Duration Hours]],""),"")</f>
        <v>14700</v>
      </c>
      <c r="L374" s="22">
        <f>IF(ISNUMBER(tblClean[[#This Row],[Date]]),DATE(YEAR(tblClean[[#This Row],[Date]]),MONTH(tblClean[[#This Row],[Date]]),1),"")</f>
        <v>45870</v>
      </c>
      <c r="M374" s="10">
        <f>IF(ISNUMBER(tblClean[[#This Row],[Date]]),tblClean[[#This Row],[Date]]-WEEKDAY(tblClean[[#This Row],[Date]],2)+1,"")</f>
        <v>45894</v>
      </c>
      <c r="N374" s="23">
        <f>IF(ISNUMBER(tblClean[[#This Row],[Week Start]]),(tblClean[[#This Row],[Week Start]]-MIN(tblClean[Week Start]))/7+1,"")</f>
        <v>13</v>
      </c>
      <c r="O374" s="24" t="str">
        <f>IF(ISNUMBER(tblClean[[#This Row],[Date]]),CHOOSE(WEEKDAY(tblClean[[#This Row],[Date]],2),"Mon","Tue","Wed","Thu","Fri","Sat","Sun"),"")</f>
        <v>Fri</v>
      </c>
      <c r="P374" s="24" t="str">
        <f>IF(ISNUMBER(tblClean[[#This Row],[Date]]),IF(WEEKDAY(tblClean[[#This Row],[Date]],2)&gt;=6,"Weekend","Weekday"),"")</f>
        <v>Weekday</v>
      </c>
      <c r="Q374"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74" s="9" t="str">
        <f>IF(ISNUMBER(tblClean[[#This Row],[Duration Hours]]),IF(tblClean[[#This Row],[Duration Hours]]&lt;2,"Short (under 2h)",IF(tblClean[[#This Row],[Duration Hours]]&lt;3,"Standard (2h to under 3h)","Long (3h or more)")),"")</f>
        <v>Standard (2h to under 3h)</v>
      </c>
      <c r="S374"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74" s="24">
        <f>IF(COUNTIF(tblClean[Session ID],tblClean[[#This Row],[Session ID]])&gt;1,1,0)</f>
        <v>0</v>
      </c>
      <c r="U374" s="24">
        <f>IF(OR(N(tblClean[[#This Row],[Attributed GMV PHP]])&lt;0,N(tblClean[[#This Row],[Items Sold]])&lt;0,N(tblClean[[#This Row],[Livestream Views]])&lt;0,N(tblClean[[#This Row],[New Followers]])&lt;0),1,0)</f>
        <v>0</v>
      </c>
      <c r="V374" s="24">
        <f>IF(ISNUMBER(tblClean[[#This Row],[Duration Hours]]),IF(OR(tblClean[[#This Row],[Duration Hours]]&lt;=0,tblClean[[#This Row],[Duration Hours]]&gt;12),1,0),1)</f>
        <v>0</v>
      </c>
      <c r="W374" s="24">
        <f>IF(COUNTIF(HostRoster,tblClean[[#This Row],[Host Name]])=0,1,0)</f>
        <v>0</v>
      </c>
      <c r="X374" s="24">
        <f>IF(tblClean[[#This Row],[Missing Flag]]+tblClean[[#This Row],[Duplicate Flag]]+tblClean[[#This Row],[Negative Flag]]+tblClean[[#This Row],[Duration Flag]]+tblClean[[#This Row],[Host Flag]]=0,1,0)</f>
        <v>1</v>
      </c>
    </row>
    <row r="375" spans="1:24" x14ac:dyDescent="0.3">
      <c r="A375" s="9" t="str">
        <f>TRIM('Raw Data'!A371)</f>
        <v>LS-0367</v>
      </c>
      <c r="B375" s="10">
        <f>IF(ISNUMBER('Raw Data'!B371),INT('Raw Data'!B371),IFERROR(DATEVALUE('Raw Data'!B371),""))</f>
        <v>45898</v>
      </c>
      <c r="C375" s="9" t="str">
        <f>PROPER(TRIM('Raw Data'!C371))</f>
        <v>Bianca Reyes</v>
      </c>
      <c r="D375" s="11">
        <f>IF(ISNUMBER('Raw Data'!D371),MOD('Raw Data'!D371,1),IFERROR(TIMEVALUE('Raw Data'!D371),""))</f>
        <v>0.79166666666666663</v>
      </c>
      <c r="E375" s="11">
        <f>IF(ISNUMBER('Raw Data'!E371),MOD('Raw Data'!E371,1),IFERROR(TIMEVALUE('Raw Data'!E371),""))</f>
        <v>0.91666666666666663</v>
      </c>
      <c r="F375" s="12">
        <f>IF(ISNUMBER('Raw Data'!F371),'Raw Data'!F371,IFERROR(VALUE(SUBSTITUTE('Raw Data'!F371,",","")),""))</f>
        <v>50810</v>
      </c>
      <c r="G375" s="13">
        <f>IF(ISNUMBER('Raw Data'!G371),'Raw Data'!G371,IFERROR(VALUE(SUBSTITUTE('Raw Data'!G371,",","")),""))</f>
        <v>153</v>
      </c>
      <c r="H375" s="13">
        <f>IF(ISNUMBER('Raw Data'!H371),'Raw Data'!H371,IFERROR(VALUE(SUBSTITUTE('Raw Data'!H371,",","")),""))</f>
        <v>128056</v>
      </c>
      <c r="I375" s="13">
        <f>IF(ISNUMBER('Raw Data'!I371),'Raw Data'!I371,IFERROR(VALUE(SUBSTITUTE('Raw Data'!I371,",","")),""))</f>
        <v>589</v>
      </c>
      <c r="J375" s="21">
        <f>IF(AND(ISNUMBER(tblClean[[#This Row],[Start Time]]),ISNUMBER(tblClean[[#This Row],[End Time]])),ROUND(MOD(tblClean[[#This Row],[End Time]]-tblClean[[#This Row],[Start Time]],1)*24,2),"")</f>
        <v>3</v>
      </c>
      <c r="K375" s="12">
        <f>IF(AND(ISNUMBER(tblClean[[#This Row],[Duration Hours]]),ISNUMBER(tblClean[[#This Row],[Attributed GMV PHP]])),IF(tblClean[[#This Row],[Duration Hours]]&gt;0,tblClean[[#This Row],[Attributed GMV PHP]]/tblClean[[#This Row],[Duration Hours]],""),"")</f>
        <v>16936.666666666668</v>
      </c>
      <c r="L375" s="22">
        <f>IF(ISNUMBER(tblClean[[#This Row],[Date]]),DATE(YEAR(tblClean[[#This Row],[Date]]),MONTH(tblClean[[#This Row],[Date]]),1),"")</f>
        <v>45870</v>
      </c>
      <c r="M375" s="10">
        <f>IF(ISNUMBER(tblClean[[#This Row],[Date]]),tblClean[[#This Row],[Date]]-WEEKDAY(tblClean[[#This Row],[Date]],2)+1,"")</f>
        <v>45894</v>
      </c>
      <c r="N375" s="23">
        <f>IF(ISNUMBER(tblClean[[#This Row],[Week Start]]),(tblClean[[#This Row],[Week Start]]-MIN(tblClean[Week Start]))/7+1,"")</f>
        <v>13</v>
      </c>
      <c r="O375" s="24" t="str">
        <f>IF(ISNUMBER(tblClean[[#This Row],[Date]]),CHOOSE(WEEKDAY(tblClean[[#This Row],[Date]],2),"Mon","Tue","Wed","Thu","Fri","Sat","Sun"),"")</f>
        <v>Fri</v>
      </c>
      <c r="P375" s="24" t="str">
        <f>IF(ISNUMBER(tblClean[[#This Row],[Date]]),IF(WEEKDAY(tblClean[[#This Row],[Date]],2)&gt;=6,"Weekend","Weekday"),"")</f>
        <v>Weekday</v>
      </c>
      <c r="Q375"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75" s="9" t="str">
        <f>IF(ISNUMBER(tblClean[[#This Row],[Duration Hours]]),IF(tblClean[[#This Row],[Duration Hours]]&lt;2,"Short (under 2h)",IF(tblClean[[#This Row],[Duration Hours]]&lt;3,"Standard (2h to under 3h)","Long (3h or more)")),"")</f>
        <v>Long (3h or more)</v>
      </c>
      <c r="S375"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75" s="24">
        <f>IF(COUNTIF(tblClean[Session ID],tblClean[[#This Row],[Session ID]])&gt;1,1,0)</f>
        <v>0</v>
      </c>
      <c r="U375" s="24">
        <f>IF(OR(N(tblClean[[#This Row],[Attributed GMV PHP]])&lt;0,N(tblClean[[#This Row],[Items Sold]])&lt;0,N(tblClean[[#This Row],[Livestream Views]])&lt;0,N(tblClean[[#This Row],[New Followers]])&lt;0),1,0)</f>
        <v>0</v>
      </c>
      <c r="V375" s="24">
        <f>IF(ISNUMBER(tblClean[[#This Row],[Duration Hours]]),IF(OR(tblClean[[#This Row],[Duration Hours]]&lt;=0,tblClean[[#This Row],[Duration Hours]]&gt;12),1,0),1)</f>
        <v>0</v>
      </c>
      <c r="W375" s="24">
        <f>IF(COUNTIF(HostRoster,tblClean[[#This Row],[Host Name]])=0,1,0)</f>
        <v>0</v>
      </c>
      <c r="X375" s="24">
        <f>IF(tblClean[[#This Row],[Missing Flag]]+tblClean[[#This Row],[Duplicate Flag]]+tblClean[[#This Row],[Negative Flag]]+tblClean[[#This Row],[Duration Flag]]+tblClean[[#This Row],[Host Flag]]=0,1,0)</f>
        <v>1</v>
      </c>
    </row>
    <row r="376" spans="1:24" x14ac:dyDescent="0.3">
      <c r="A376" s="9" t="str">
        <f>TRIM('Raw Data'!A372)</f>
        <v>LS-0368</v>
      </c>
      <c r="B376" s="10">
        <f>IF(ISNUMBER('Raw Data'!B372),INT('Raw Data'!B372),IFERROR(DATEVALUE('Raw Data'!B372),""))</f>
        <v>45899</v>
      </c>
      <c r="C376" s="9" t="str">
        <f>PROPER(TRIM('Raw Data'!C372))</f>
        <v>Bianca Reyes</v>
      </c>
      <c r="D376" s="11">
        <f>IF(ISNUMBER('Raw Data'!D372),MOD('Raw Data'!D372,1),IFERROR(TIMEVALUE('Raw Data'!D372),""))</f>
        <v>0.41666666666666669</v>
      </c>
      <c r="E376" s="11">
        <f>IF(ISNUMBER('Raw Data'!E372),MOD('Raw Data'!E372,1),IFERROR(TIMEVALUE('Raw Data'!E372),""))</f>
        <v>0.5</v>
      </c>
      <c r="F376" s="12">
        <f>IF(ISNUMBER('Raw Data'!F372),'Raw Data'!F372,IFERROR(VALUE(SUBSTITUTE('Raw Data'!F372,",","")),""))</f>
        <v>30119</v>
      </c>
      <c r="G376" s="13">
        <f>IF(ISNUMBER('Raw Data'!G372),'Raw Data'!G372,IFERROR(VALUE(SUBSTITUTE('Raw Data'!G372,",","")),""))</f>
        <v>79</v>
      </c>
      <c r="H376" s="13">
        <f>IF(ISNUMBER('Raw Data'!H372),'Raw Data'!H372,IFERROR(VALUE(SUBSTITUTE('Raw Data'!H372,",","")),""))</f>
        <v>74416</v>
      </c>
      <c r="I376" s="13">
        <f>IF(ISNUMBER('Raw Data'!I372),'Raw Data'!I372,IFERROR(VALUE(SUBSTITUTE('Raw Data'!I372,",","")),""))</f>
        <v>946</v>
      </c>
      <c r="J376" s="21">
        <f>IF(AND(ISNUMBER(tblClean[[#This Row],[Start Time]]),ISNUMBER(tblClean[[#This Row],[End Time]])),ROUND(MOD(tblClean[[#This Row],[End Time]]-tblClean[[#This Row],[Start Time]],1)*24,2),"")</f>
        <v>2</v>
      </c>
      <c r="K376" s="12">
        <f>IF(AND(ISNUMBER(tblClean[[#This Row],[Duration Hours]]),ISNUMBER(tblClean[[#This Row],[Attributed GMV PHP]])),IF(tblClean[[#This Row],[Duration Hours]]&gt;0,tblClean[[#This Row],[Attributed GMV PHP]]/tblClean[[#This Row],[Duration Hours]],""),"")</f>
        <v>15059.5</v>
      </c>
      <c r="L376" s="22">
        <f>IF(ISNUMBER(tblClean[[#This Row],[Date]]),DATE(YEAR(tblClean[[#This Row],[Date]]),MONTH(tblClean[[#This Row],[Date]]),1),"")</f>
        <v>45870</v>
      </c>
      <c r="M376" s="10">
        <f>IF(ISNUMBER(tblClean[[#This Row],[Date]]),tblClean[[#This Row],[Date]]-WEEKDAY(tblClean[[#This Row],[Date]],2)+1,"")</f>
        <v>45894</v>
      </c>
      <c r="N376" s="23">
        <f>IF(ISNUMBER(tblClean[[#This Row],[Week Start]]),(tblClean[[#This Row],[Week Start]]-MIN(tblClean[Week Start]))/7+1,"")</f>
        <v>13</v>
      </c>
      <c r="O376" s="24" t="str">
        <f>IF(ISNUMBER(tblClean[[#This Row],[Date]]),CHOOSE(WEEKDAY(tblClean[[#This Row],[Date]],2),"Mon","Tue","Wed","Thu","Fri","Sat","Sun"),"")</f>
        <v>Sat</v>
      </c>
      <c r="P376" s="24" t="str">
        <f>IF(ISNUMBER(tblClean[[#This Row],[Date]]),IF(WEEKDAY(tblClean[[#This Row],[Date]],2)&gt;=6,"Weekend","Weekday"),"")</f>
        <v>Weekend</v>
      </c>
      <c r="Q376"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Morning</v>
      </c>
      <c r="R376" s="9" t="str">
        <f>IF(ISNUMBER(tblClean[[#This Row],[Duration Hours]]),IF(tblClean[[#This Row],[Duration Hours]]&lt;2,"Short (under 2h)",IF(tblClean[[#This Row],[Duration Hours]]&lt;3,"Standard (2h to under 3h)","Long (3h or more)")),"")</f>
        <v>Standard (2h to under 3h)</v>
      </c>
      <c r="S376"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76" s="24">
        <f>IF(COUNTIF(tblClean[Session ID],tblClean[[#This Row],[Session ID]])&gt;1,1,0)</f>
        <v>0</v>
      </c>
      <c r="U376" s="24">
        <f>IF(OR(N(tblClean[[#This Row],[Attributed GMV PHP]])&lt;0,N(tblClean[[#This Row],[Items Sold]])&lt;0,N(tblClean[[#This Row],[Livestream Views]])&lt;0,N(tblClean[[#This Row],[New Followers]])&lt;0),1,0)</f>
        <v>0</v>
      </c>
      <c r="V376" s="24">
        <f>IF(ISNUMBER(tblClean[[#This Row],[Duration Hours]]),IF(OR(tblClean[[#This Row],[Duration Hours]]&lt;=0,tblClean[[#This Row],[Duration Hours]]&gt;12),1,0),1)</f>
        <v>0</v>
      </c>
      <c r="W376" s="24">
        <f>IF(COUNTIF(HostRoster,tblClean[[#This Row],[Host Name]])=0,1,0)</f>
        <v>0</v>
      </c>
      <c r="X376" s="24">
        <f>IF(tblClean[[#This Row],[Missing Flag]]+tblClean[[#This Row],[Duplicate Flag]]+tblClean[[#This Row],[Negative Flag]]+tblClean[[#This Row],[Duration Flag]]+tblClean[[#This Row],[Host Flag]]=0,1,0)</f>
        <v>1</v>
      </c>
    </row>
    <row r="377" spans="1:24" x14ac:dyDescent="0.3">
      <c r="A377" s="9" t="str">
        <f>TRIM('Raw Data'!A373)</f>
        <v>LS-0369</v>
      </c>
      <c r="B377" s="10">
        <f>IF(ISNUMBER('Raw Data'!B373),INT('Raw Data'!B373),IFERROR(DATEVALUE('Raw Data'!B373),""))</f>
        <v>45899</v>
      </c>
      <c r="C377" s="9" t="str">
        <f>PROPER(TRIM('Raw Data'!C373))</f>
        <v>Elise Navarro</v>
      </c>
      <c r="D377" s="11">
        <f>IF(ISNUMBER('Raw Data'!D373),MOD('Raw Data'!D373,1),IFERROR(TIMEVALUE('Raw Data'!D373),""))</f>
        <v>0.54166666666666663</v>
      </c>
      <c r="E377" s="11">
        <f>IF(ISNUMBER('Raw Data'!E373),MOD('Raw Data'!E373,1),IFERROR(TIMEVALUE('Raw Data'!E373),""))</f>
        <v>0.625</v>
      </c>
      <c r="F377" s="12">
        <f>IF(ISNUMBER('Raw Data'!F373),'Raw Data'!F373,IFERROR(VALUE(SUBSTITUTE('Raw Data'!F373,",","")),""))</f>
        <v>26079</v>
      </c>
      <c r="G377" s="13">
        <f>IF(ISNUMBER('Raw Data'!G373),'Raw Data'!G373,IFERROR(VALUE(SUBSTITUTE('Raw Data'!G373,",","")),""))</f>
        <v>81</v>
      </c>
      <c r="H377" s="13">
        <f>IF(ISNUMBER('Raw Data'!H373),'Raw Data'!H373,IFERROR(VALUE(SUBSTITUTE('Raw Data'!H373,",","")),""))</f>
        <v>110574</v>
      </c>
      <c r="I377" s="13">
        <f>IF(ISNUMBER('Raw Data'!I373),'Raw Data'!I373,IFERROR(VALUE(SUBSTITUTE('Raw Data'!I373,",","")),""))</f>
        <v>1075</v>
      </c>
      <c r="J377" s="21">
        <f>IF(AND(ISNUMBER(tblClean[[#This Row],[Start Time]]),ISNUMBER(tblClean[[#This Row],[End Time]])),ROUND(MOD(tblClean[[#This Row],[End Time]]-tblClean[[#This Row],[Start Time]],1)*24,2),"")</f>
        <v>2</v>
      </c>
      <c r="K377" s="12">
        <f>IF(AND(ISNUMBER(tblClean[[#This Row],[Duration Hours]]),ISNUMBER(tblClean[[#This Row],[Attributed GMV PHP]])),IF(tblClean[[#This Row],[Duration Hours]]&gt;0,tblClean[[#This Row],[Attributed GMV PHP]]/tblClean[[#This Row],[Duration Hours]],""),"")</f>
        <v>13039.5</v>
      </c>
      <c r="L377" s="22">
        <f>IF(ISNUMBER(tblClean[[#This Row],[Date]]),DATE(YEAR(tblClean[[#This Row],[Date]]),MONTH(tblClean[[#This Row],[Date]]),1),"")</f>
        <v>45870</v>
      </c>
      <c r="M377" s="10">
        <f>IF(ISNUMBER(tblClean[[#This Row],[Date]]),tblClean[[#This Row],[Date]]-WEEKDAY(tblClean[[#This Row],[Date]],2)+1,"")</f>
        <v>45894</v>
      </c>
      <c r="N377" s="23">
        <f>IF(ISNUMBER(tblClean[[#This Row],[Week Start]]),(tblClean[[#This Row],[Week Start]]-MIN(tblClean[Week Start]))/7+1,"")</f>
        <v>13</v>
      </c>
      <c r="O377" s="24" t="str">
        <f>IF(ISNUMBER(tblClean[[#This Row],[Date]]),CHOOSE(WEEKDAY(tblClean[[#This Row],[Date]],2),"Mon","Tue","Wed","Thu","Fri","Sat","Sun"),"")</f>
        <v>Sat</v>
      </c>
      <c r="P377" s="24" t="str">
        <f>IF(ISNUMBER(tblClean[[#This Row],[Date]]),IF(WEEKDAY(tblClean[[#This Row],[Date]],2)&gt;=6,"Weekend","Weekday"),"")</f>
        <v>Weekend</v>
      </c>
      <c r="Q377"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77" s="9" t="str">
        <f>IF(ISNUMBER(tblClean[[#This Row],[Duration Hours]]),IF(tblClean[[#This Row],[Duration Hours]]&lt;2,"Short (under 2h)",IF(tblClean[[#This Row],[Duration Hours]]&lt;3,"Standard (2h to under 3h)","Long (3h or more)")),"")</f>
        <v>Standard (2h to under 3h)</v>
      </c>
      <c r="S377"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77" s="24">
        <f>IF(COUNTIF(tblClean[Session ID],tblClean[[#This Row],[Session ID]])&gt;1,1,0)</f>
        <v>0</v>
      </c>
      <c r="U377" s="24">
        <f>IF(OR(N(tblClean[[#This Row],[Attributed GMV PHP]])&lt;0,N(tblClean[[#This Row],[Items Sold]])&lt;0,N(tblClean[[#This Row],[Livestream Views]])&lt;0,N(tblClean[[#This Row],[New Followers]])&lt;0),1,0)</f>
        <v>0</v>
      </c>
      <c r="V377" s="24">
        <f>IF(ISNUMBER(tblClean[[#This Row],[Duration Hours]]),IF(OR(tblClean[[#This Row],[Duration Hours]]&lt;=0,tblClean[[#This Row],[Duration Hours]]&gt;12),1,0),1)</f>
        <v>0</v>
      </c>
      <c r="W377" s="24">
        <f>IF(COUNTIF(HostRoster,tblClean[[#This Row],[Host Name]])=0,1,0)</f>
        <v>0</v>
      </c>
      <c r="X377" s="24">
        <f>IF(tblClean[[#This Row],[Missing Flag]]+tblClean[[#This Row],[Duplicate Flag]]+tblClean[[#This Row],[Negative Flag]]+tblClean[[#This Row],[Duration Flag]]+tblClean[[#This Row],[Host Flag]]=0,1,0)</f>
        <v>1</v>
      </c>
    </row>
    <row r="378" spans="1:24" x14ac:dyDescent="0.3">
      <c r="A378" s="9" t="str">
        <f>TRIM('Raw Data'!A374)</f>
        <v>LS-0370</v>
      </c>
      <c r="B378" s="10">
        <f>IF(ISNUMBER('Raw Data'!B374),INT('Raw Data'!B374),IFERROR(DATEVALUE('Raw Data'!B374),""))</f>
        <v>45899</v>
      </c>
      <c r="C378" s="9" t="str">
        <f>PROPER(TRIM('Raw Data'!C374))</f>
        <v>Aira Valdez</v>
      </c>
      <c r="D378" s="11">
        <f>IF(ISNUMBER('Raw Data'!D374),MOD('Raw Data'!D374,1),IFERROR(TIMEVALUE('Raw Data'!D374),""))</f>
        <v>0.66666666666666663</v>
      </c>
      <c r="E378" s="11">
        <f>IF(ISNUMBER('Raw Data'!E374),MOD('Raw Data'!E374,1),IFERROR(TIMEVALUE('Raw Data'!E374),""))</f>
        <v>0.75</v>
      </c>
      <c r="F378" s="12">
        <f>IF(ISNUMBER('Raw Data'!F374),'Raw Data'!F374,IFERROR(VALUE(SUBSTITUTE('Raw Data'!F374,",","")),""))</f>
        <v>49151</v>
      </c>
      <c r="G378" s="13">
        <f>IF(ISNUMBER('Raw Data'!G374),'Raw Data'!G374,IFERROR(VALUE(SUBSTITUTE('Raw Data'!G374,",","")),""))</f>
        <v>164</v>
      </c>
      <c r="H378" s="13">
        <f>IF(ISNUMBER('Raw Data'!H374),'Raw Data'!H374,IFERROR(VALUE(SUBSTITUTE('Raw Data'!H374,",","")),""))</f>
        <v>227569</v>
      </c>
      <c r="I378" s="13">
        <f>IF(ISNUMBER('Raw Data'!I374),'Raw Data'!I374,IFERROR(VALUE(SUBSTITUTE('Raw Data'!I374,",","")),""))</f>
        <v>2729</v>
      </c>
      <c r="J378" s="21">
        <f>IF(AND(ISNUMBER(tblClean[[#This Row],[Start Time]]),ISNUMBER(tblClean[[#This Row],[End Time]])),ROUND(MOD(tblClean[[#This Row],[End Time]]-tblClean[[#This Row],[Start Time]],1)*24,2),"")</f>
        <v>2</v>
      </c>
      <c r="K378" s="12">
        <f>IF(AND(ISNUMBER(tblClean[[#This Row],[Duration Hours]]),ISNUMBER(tblClean[[#This Row],[Attributed GMV PHP]])),IF(tblClean[[#This Row],[Duration Hours]]&gt;0,tblClean[[#This Row],[Attributed GMV PHP]]/tblClean[[#This Row],[Duration Hours]],""),"")</f>
        <v>24575.5</v>
      </c>
      <c r="L378" s="22">
        <f>IF(ISNUMBER(tblClean[[#This Row],[Date]]),DATE(YEAR(tblClean[[#This Row],[Date]]),MONTH(tblClean[[#This Row],[Date]]),1),"")</f>
        <v>45870</v>
      </c>
      <c r="M378" s="10">
        <f>IF(ISNUMBER(tblClean[[#This Row],[Date]]),tblClean[[#This Row],[Date]]-WEEKDAY(tblClean[[#This Row],[Date]],2)+1,"")</f>
        <v>45894</v>
      </c>
      <c r="N378" s="23">
        <f>IF(ISNUMBER(tblClean[[#This Row],[Week Start]]),(tblClean[[#This Row],[Week Start]]-MIN(tblClean[Week Start]))/7+1,"")</f>
        <v>13</v>
      </c>
      <c r="O378" s="24" t="str">
        <f>IF(ISNUMBER(tblClean[[#This Row],[Date]]),CHOOSE(WEEKDAY(tblClean[[#This Row],[Date]],2),"Mon","Tue","Wed","Thu","Fri","Sat","Sun"),"")</f>
        <v>Sat</v>
      </c>
      <c r="P378" s="24" t="str">
        <f>IF(ISNUMBER(tblClean[[#This Row],[Date]]),IF(WEEKDAY(tblClean[[#This Row],[Date]],2)&gt;=6,"Weekend","Weekday"),"")</f>
        <v>Weekend</v>
      </c>
      <c r="Q378"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Early Evening</v>
      </c>
      <c r="R378" s="9" t="str">
        <f>IF(ISNUMBER(tblClean[[#This Row],[Duration Hours]]),IF(tblClean[[#This Row],[Duration Hours]]&lt;2,"Short (under 2h)",IF(tblClean[[#This Row],[Duration Hours]]&lt;3,"Standard (2h to under 3h)","Long (3h or more)")),"")</f>
        <v>Standard (2h to under 3h)</v>
      </c>
      <c r="S378"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78" s="24">
        <f>IF(COUNTIF(tblClean[Session ID],tblClean[[#This Row],[Session ID]])&gt;1,1,0)</f>
        <v>0</v>
      </c>
      <c r="U378" s="24">
        <f>IF(OR(N(tblClean[[#This Row],[Attributed GMV PHP]])&lt;0,N(tblClean[[#This Row],[Items Sold]])&lt;0,N(tblClean[[#This Row],[Livestream Views]])&lt;0,N(tblClean[[#This Row],[New Followers]])&lt;0),1,0)</f>
        <v>0</v>
      </c>
      <c r="V378" s="24">
        <f>IF(ISNUMBER(tblClean[[#This Row],[Duration Hours]]),IF(OR(tblClean[[#This Row],[Duration Hours]]&lt;=0,tblClean[[#This Row],[Duration Hours]]&gt;12),1,0),1)</f>
        <v>0</v>
      </c>
      <c r="W378" s="24">
        <f>IF(COUNTIF(HostRoster,tblClean[[#This Row],[Host Name]])=0,1,0)</f>
        <v>0</v>
      </c>
      <c r="X378" s="24">
        <f>IF(tblClean[[#This Row],[Missing Flag]]+tblClean[[#This Row],[Duplicate Flag]]+tblClean[[#This Row],[Negative Flag]]+tblClean[[#This Row],[Duration Flag]]+tblClean[[#This Row],[Host Flag]]=0,1,0)</f>
        <v>1</v>
      </c>
    </row>
    <row r="379" spans="1:24" x14ac:dyDescent="0.3">
      <c r="A379" s="9" t="str">
        <f>TRIM('Raw Data'!A375)</f>
        <v>LS-0371</v>
      </c>
      <c r="B379" s="10">
        <f>IF(ISNUMBER('Raw Data'!B375),INT('Raw Data'!B375),IFERROR(DATEVALUE('Raw Data'!B375),""))</f>
        <v>45899</v>
      </c>
      <c r="C379" s="9" t="str">
        <f>PROPER(TRIM('Raw Data'!C375))</f>
        <v>Dani Villanueva</v>
      </c>
      <c r="D379" s="11">
        <f>IF(ISNUMBER('Raw Data'!D375),MOD('Raw Data'!D375,1),IFERROR(TIMEVALUE('Raw Data'!D375),""))</f>
        <v>0.79166666666666663</v>
      </c>
      <c r="E379" s="11">
        <f>IF(ISNUMBER('Raw Data'!E375),MOD('Raw Data'!E375,1),IFERROR(TIMEVALUE('Raw Data'!E375),""))</f>
        <v>0.85416666666666663</v>
      </c>
      <c r="F379" s="12">
        <f>IF(ISNUMBER('Raw Data'!F375),'Raw Data'!F375,IFERROR(VALUE(SUBSTITUTE('Raw Data'!F375,",","")),""))</f>
        <v>27486</v>
      </c>
      <c r="G379" s="13">
        <f>IF(ISNUMBER('Raw Data'!G375),'Raw Data'!G375,IFERROR(VALUE(SUBSTITUTE('Raw Data'!G375,",","")),""))</f>
        <v>71</v>
      </c>
      <c r="H379" s="13">
        <f>IF(ISNUMBER('Raw Data'!H375),'Raw Data'!H375,IFERROR(VALUE(SUBSTITUTE('Raw Data'!H375,",","")),""))</f>
        <v>104723</v>
      </c>
      <c r="I379" s="13">
        <f>IF(ISNUMBER('Raw Data'!I375),'Raw Data'!I375,IFERROR(VALUE(SUBSTITUTE('Raw Data'!I375,",","")),""))</f>
        <v>1147</v>
      </c>
      <c r="J379" s="21">
        <f>IF(AND(ISNUMBER(tblClean[[#This Row],[Start Time]]),ISNUMBER(tblClean[[#This Row],[End Time]])),ROUND(MOD(tblClean[[#This Row],[End Time]]-tblClean[[#This Row],[Start Time]],1)*24,2),"")</f>
        <v>1.5</v>
      </c>
      <c r="K379" s="12">
        <f>IF(AND(ISNUMBER(tblClean[[#This Row],[Duration Hours]]),ISNUMBER(tblClean[[#This Row],[Attributed GMV PHP]])),IF(tblClean[[#This Row],[Duration Hours]]&gt;0,tblClean[[#This Row],[Attributed GMV PHP]]/tblClean[[#This Row],[Duration Hours]],""),"")</f>
        <v>18324</v>
      </c>
      <c r="L379" s="22">
        <f>IF(ISNUMBER(tblClean[[#This Row],[Date]]),DATE(YEAR(tblClean[[#This Row],[Date]]),MONTH(tblClean[[#This Row],[Date]]),1),"")</f>
        <v>45870</v>
      </c>
      <c r="M379" s="10">
        <f>IF(ISNUMBER(tblClean[[#This Row],[Date]]),tblClean[[#This Row],[Date]]-WEEKDAY(tblClean[[#This Row],[Date]],2)+1,"")</f>
        <v>45894</v>
      </c>
      <c r="N379" s="23">
        <f>IF(ISNUMBER(tblClean[[#This Row],[Week Start]]),(tblClean[[#This Row],[Week Start]]-MIN(tblClean[Week Start]))/7+1,"")</f>
        <v>13</v>
      </c>
      <c r="O379" s="24" t="str">
        <f>IF(ISNUMBER(tblClean[[#This Row],[Date]]),CHOOSE(WEEKDAY(tblClean[[#This Row],[Date]],2),"Mon","Tue","Wed","Thu","Fri","Sat","Sun"),"")</f>
        <v>Sat</v>
      </c>
      <c r="P379" s="24" t="str">
        <f>IF(ISNUMBER(tblClean[[#This Row],[Date]]),IF(WEEKDAY(tblClean[[#This Row],[Date]],2)&gt;=6,"Weekend","Weekday"),"")</f>
        <v>Weekend</v>
      </c>
      <c r="Q379"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79" s="9" t="str">
        <f>IF(ISNUMBER(tblClean[[#This Row],[Duration Hours]]),IF(tblClean[[#This Row],[Duration Hours]]&lt;2,"Short (under 2h)",IF(tblClean[[#This Row],[Duration Hours]]&lt;3,"Standard (2h to under 3h)","Long (3h or more)")),"")</f>
        <v>Short (under 2h)</v>
      </c>
      <c r="S379"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79" s="24">
        <f>IF(COUNTIF(tblClean[Session ID],tblClean[[#This Row],[Session ID]])&gt;1,1,0)</f>
        <v>0</v>
      </c>
      <c r="U379" s="24">
        <f>IF(OR(N(tblClean[[#This Row],[Attributed GMV PHP]])&lt;0,N(tblClean[[#This Row],[Items Sold]])&lt;0,N(tblClean[[#This Row],[Livestream Views]])&lt;0,N(tblClean[[#This Row],[New Followers]])&lt;0),1,0)</f>
        <v>0</v>
      </c>
      <c r="V379" s="24">
        <f>IF(ISNUMBER(tblClean[[#This Row],[Duration Hours]]),IF(OR(tblClean[[#This Row],[Duration Hours]]&lt;=0,tblClean[[#This Row],[Duration Hours]]&gt;12),1,0),1)</f>
        <v>0</v>
      </c>
      <c r="W379" s="24">
        <f>IF(COUNTIF(HostRoster,tblClean[[#This Row],[Host Name]])=0,1,0)</f>
        <v>0</v>
      </c>
      <c r="X379" s="24">
        <f>IF(tblClean[[#This Row],[Missing Flag]]+tblClean[[#This Row],[Duplicate Flag]]+tblClean[[#This Row],[Negative Flag]]+tblClean[[#This Row],[Duration Flag]]+tblClean[[#This Row],[Host Flag]]=0,1,0)</f>
        <v>1</v>
      </c>
    </row>
    <row r="380" spans="1:24" x14ac:dyDescent="0.3">
      <c r="A380" s="9" t="str">
        <f>TRIM('Raw Data'!A376)</f>
        <v>LS-0372</v>
      </c>
      <c r="B380" s="10">
        <f>IF(ISNUMBER('Raw Data'!B376),INT('Raw Data'!B376),IFERROR(DATEVALUE('Raw Data'!B376),""))</f>
        <v>45900</v>
      </c>
      <c r="C380" s="9" t="str">
        <f>PROPER(TRIM('Raw Data'!C376))</f>
        <v>Elise Navarro</v>
      </c>
      <c r="D380" s="11">
        <f>IF(ISNUMBER('Raw Data'!D376),MOD('Raw Data'!D376,1),IFERROR(TIMEVALUE('Raw Data'!D376),""))</f>
        <v>0.54166666666666663</v>
      </c>
      <c r="E380" s="11">
        <f>IF(ISNUMBER('Raw Data'!E376),MOD('Raw Data'!E376,1),IFERROR(TIMEVALUE('Raw Data'!E376),""))</f>
        <v>0.625</v>
      </c>
      <c r="F380" s="12">
        <f>IF(ISNUMBER('Raw Data'!F376),'Raw Data'!F376,IFERROR(VALUE(SUBSTITUTE('Raw Data'!F376,",","")),""))</f>
        <v>43387</v>
      </c>
      <c r="G380" s="13">
        <f>IF(ISNUMBER('Raw Data'!G376),'Raw Data'!G376,IFERROR(VALUE(SUBSTITUTE('Raw Data'!G376,",","")),""))</f>
        <v>126</v>
      </c>
      <c r="H380" s="13">
        <f>IF(ISNUMBER('Raw Data'!H376),'Raw Data'!H376,IFERROR(VALUE(SUBSTITUTE('Raw Data'!H376,",","")),""))</f>
        <v>141347</v>
      </c>
      <c r="I380" s="13">
        <f>IF(ISNUMBER('Raw Data'!I376),'Raw Data'!I376,IFERROR(VALUE(SUBSTITUTE('Raw Data'!I376,",","")),""))</f>
        <v>601</v>
      </c>
      <c r="J380" s="21">
        <f>IF(AND(ISNUMBER(tblClean[[#This Row],[Start Time]]),ISNUMBER(tblClean[[#This Row],[End Time]])),ROUND(MOD(tblClean[[#This Row],[End Time]]-tblClean[[#This Row],[Start Time]],1)*24,2),"")</f>
        <v>2</v>
      </c>
      <c r="K380" s="12">
        <f>IF(AND(ISNUMBER(tblClean[[#This Row],[Duration Hours]]),ISNUMBER(tblClean[[#This Row],[Attributed GMV PHP]])),IF(tblClean[[#This Row],[Duration Hours]]&gt;0,tblClean[[#This Row],[Attributed GMV PHP]]/tblClean[[#This Row],[Duration Hours]],""),"")</f>
        <v>21693.5</v>
      </c>
      <c r="L380" s="22">
        <f>IF(ISNUMBER(tblClean[[#This Row],[Date]]),DATE(YEAR(tblClean[[#This Row],[Date]]),MONTH(tblClean[[#This Row],[Date]]),1),"")</f>
        <v>45870</v>
      </c>
      <c r="M380" s="10">
        <f>IF(ISNUMBER(tblClean[[#This Row],[Date]]),tblClean[[#This Row],[Date]]-WEEKDAY(tblClean[[#This Row],[Date]],2)+1,"")</f>
        <v>45894</v>
      </c>
      <c r="N380" s="23">
        <f>IF(ISNUMBER(tblClean[[#This Row],[Week Start]]),(tblClean[[#This Row],[Week Start]]-MIN(tblClean[Week Start]))/7+1,"")</f>
        <v>13</v>
      </c>
      <c r="O380" s="24" t="str">
        <f>IF(ISNUMBER(tblClean[[#This Row],[Date]]),CHOOSE(WEEKDAY(tblClean[[#This Row],[Date]],2),"Mon","Tue","Wed","Thu","Fri","Sat","Sun"),"")</f>
        <v>Sun</v>
      </c>
      <c r="P380" s="24" t="str">
        <f>IF(ISNUMBER(tblClean[[#This Row],[Date]]),IF(WEEKDAY(tblClean[[#This Row],[Date]],2)&gt;=6,"Weekend","Weekday"),"")</f>
        <v>Weekend</v>
      </c>
      <c r="Q380"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Afternoon</v>
      </c>
      <c r="R380" s="9" t="str">
        <f>IF(ISNUMBER(tblClean[[#This Row],[Duration Hours]]),IF(tblClean[[#This Row],[Duration Hours]]&lt;2,"Short (under 2h)",IF(tblClean[[#This Row],[Duration Hours]]&lt;3,"Standard (2h to under 3h)","Long (3h or more)")),"")</f>
        <v>Standard (2h to under 3h)</v>
      </c>
      <c r="S380"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80" s="24">
        <f>IF(COUNTIF(tblClean[Session ID],tblClean[[#This Row],[Session ID]])&gt;1,1,0)</f>
        <v>0</v>
      </c>
      <c r="U380" s="24">
        <f>IF(OR(N(tblClean[[#This Row],[Attributed GMV PHP]])&lt;0,N(tblClean[[#This Row],[Items Sold]])&lt;0,N(tblClean[[#This Row],[Livestream Views]])&lt;0,N(tblClean[[#This Row],[New Followers]])&lt;0),1,0)</f>
        <v>0</v>
      </c>
      <c r="V380" s="24">
        <f>IF(ISNUMBER(tblClean[[#This Row],[Duration Hours]]),IF(OR(tblClean[[#This Row],[Duration Hours]]&lt;=0,tblClean[[#This Row],[Duration Hours]]&gt;12),1,0),1)</f>
        <v>0</v>
      </c>
      <c r="W380" s="24">
        <f>IF(COUNTIF(HostRoster,tblClean[[#This Row],[Host Name]])=0,1,0)</f>
        <v>0</v>
      </c>
      <c r="X380" s="24">
        <f>IF(tblClean[[#This Row],[Missing Flag]]+tblClean[[#This Row],[Duplicate Flag]]+tblClean[[#This Row],[Negative Flag]]+tblClean[[#This Row],[Duration Flag]]+tblClean[[#This Row],[Host Flag]]=0,1,0)</f>
        <v>1</v>
      </c>
    </row>
    <row r="381" spans="1:24" x14ac:dyDescent="0.3">
      <c r="A381" s="9" t="str">
        <f>TRIM('Raw Data'!A377)</f>
        <v>LS-0373</v>
      </c>
      <c r="B381" s="10">
        <f>IF(ISNUMBER('Raw Data'!B377),INT('Raw Data'!B377),IFERROR(DATEVALUE('Raw Data'!B377),""))</f>
        <v>45900</v>
      </c>
      <c r="C381" s="9" t="str">
        <f>PROPER(TRIM('Raw Data'!C377))</f>
        <v>Carlo Mendoza</v>
      </c>
      <c r="D381" s="11">
        <f>IF(ISNUMBER('Raw Data'!D377),MOD('Raw Data'!D377,1),IFERROR(TIMEVALUE('Raw Data'!D377),""))</f>
        <v>0.79166666666666663</v>
      </c>
      <c r="E381" s="11">
        <f>IF(ISNUMBER('Raw Data'!E377),MOD('Raw Data'!E377,1),IFERROR(TIMEVALUE('Raw Data'!E377),""))</f>
        <v>0.85416666666666663</v>
      </c>
      <c r="F381" s="12">
        <f>IF(ISNUMBER('Raw Data'!F377),'Raw Data'!F377,IFERROR(VALUE(SUBSTITUTE('Raw Data'!F377,",","")),""))</f>
        <v>40573</v>
      </c>
      <c r="G381" s="13">
        <f>IF(ISNUMBER('Raw Data'!G377),'Raw Data'!G377,IFERROR(VALUE(SUBSTITUTE('Raw Data'!G377,",","")),""))</f>
        <v>120</v>
      </c>
      <c r="H381" s="13">
        <f>IF(ISNUMBER('Raw Data'!H377),'Raw Data'!H377,IFERROR(VALUE(SUBSTITUTE('Raw Data'!H377,",","")),""))</f>
        <v>176299</v>
      </c>
      <c r="I381" s="13">
        <f>IF(ISNUMBER('Raw Data'!I377),'Raw Data'!I377,IFERROR(VALUE(SUBSTITUTE('Raw Data'!I377,",","")),""))</f>
        <v>2122</v>
      </c>
      <c r="J381" s="21">
        <f>IF(AND(ISNUMBER(tblClean[[#This Row],[Start Time]]),ISNUMBER(tblClean[[#This Row],[End Time]])),ROUND(MOD(tblClean[[#This Row],[End Time]]-tblClean[[#This Row],[Start Time]],1)*24,2),"")</f>
        <v>1.5</v>
      </c>
      <c r="K381" s="12">
        <f>IF(AND(ISNUMBER(tblClean[[#This Row],[Duration Hours]]),ISNUMBER(tblClean[[#This Row],[Attributed GMV PHP]])),IF(tblClean[[#This Row],[Duration Hours]]&gt;0,tblClean[[#This Row],[Attributed GMV PHP]]/tblClean[[#This Row],[Duration Hours]],""),"")</f>
        <v>27048.666666666668</v>
      </c>
      <c r="L381" s="22">
        <f>IF(ISNUMBER(tblClean[[#This Row],[Date]]),DATE(YEAR(tblClean[[#This Row],[Date]]),MONTH(tblClean[[#This Row],[Date]]),1),"")</f>
        <v>45870</v>
      </c>
      <c r="M381" s="10">
        <f>IF(ISNUMBER(tblClean[[#This Row],[Date]]),tblClean[[#This Row],[Date]]-WEEKDAY(tblClean[[#This Row],[Date]],2)+1,"")</f>
        <v>45894</v>
      </c>
      <c r="N381" s="23">
        <f>IF(ISNUMBER(tblClean[[#This Row],[Week Start]]),(tblClean[[#This Row],[Week Start]]-MIN(tblClean[Week Start]))/7+1,"")</f>
        <v>13</v>
      </c>
      <c r="O381" s="24" t="str">
        <f>IF(ISNUMBER(tblClean[[#This Row],[Date]]),CHOOSE(WEEKDAY(tblClean[[#This Row],[Date]],2),"Mon","Tue","Wed","Thu","Fri","Sat","Sun"),"")</f>
        <v>Sun</v>
      </c>
      <c r="P381" s="24" t="str">
        <f>IF(ISNUMBER(tblClean[[#This Row],[Date]]),IF(WEEKDAY(tblClean[[#This Row],[Date]],2)&gt;=6,"Weekend","Weekday"),"")</f>
        <v>Weekend</v>
      </c>
      <c r="Q381"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Prime Time</v>
      </c>
      <c r="R381" s="9" t="str">
        <f>IF(ISNUMBER(tblClean[[#This Row],[Duration Hours]]),IF(tblClean[[#This Row],[Duration Hours]]&lt;2,"Short (under 2h)",IF(tblClean[[#This Row],[Duration Hours]]&lt;3,"Standard (2h to under 3h)","Long (3h or more)")),"")</f>
        <v>Short (under 2h)</v>
      </c>
      <c r="S381"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81" s="24">
        <f>IF(COUNTIF(tblClean[Session ID],tblClean[[#This Row],[Session ID]])&gt;1,1,0)</f>
        <v>0</v>
      </c>
      <c r="U381" s="24">
        <f>IF(OR(N(tblClean[[#This Row],[Attributed GMV PHP]])&lt;0,N(tblClean[[#This Row],[Items Sold]])&lt;0,N(tblClean[[#This Row],[Livestream Views]])&lt;0,N(tblClean[[#This Row],[New Followers]])&lt;0),1,0)</f>
        <v>0</v>
      </c>
      <c r="V381" s="24">
        <f>IF(ISNUMBER(tblClean[[#This Row],[Duration Hours]]),IF(OR(tblClean[[#This Row],[Duration Hours]]&lt;=0,tblClean[[#This Row],[Duration Hours]]&gt;12),1,0),1)</f>
        <v>0</v>
      </c>
      <c r="W381" s="24">
        <f>IF(COUNTIF(HostRoster,tblClean[[#This Row],[Host Name]])=0,1,0)</f>
        <v>0</v>
      </c>
      <c r="X381" s="24">
        <f>IF(tblClean[[#This Row],[Missing Flag]]+tblClean[[#This Row],[Duplicate Flag]]+tblClean[[#This Row],[Negative Flag]]+tblClean[[#This Row],[Duration Flag]]+tblClean[[#This Row],[Host Flag]]=0,1,0)</f>
        <v>1</v>
      </c>
    </row>
    <row r="382" spans="1:24" x14ac:dyDescent="0.3">
      <c r="A382" s="9" t="str">
        <f>TRIM('Raw Data'!A378)</f>
        <v>LS-0374</v>
      </c>
      <c r="B382" s="10">
        <f>IF(ISNUMBER('Raw Data'!B378),INT('Raw Data'!B378),IFERROR(DATEVALUE('Raw Data'!B378),""))</f>
        <v>45900</v>
      </c>
      <c r="C382" s="9" t="str">
        <f>PROPER(TRIM('Raw Data'!C378))</f>
        <v>Carlo Mendoza</v>
      </c>
      <c r="D382" s="11">
        <f>IF(ISNUMBER('Raw Data'!D378),MOD('Raw Data'!D378,1),IFERROR(TIMEVALUE('Raw Data'!D378),""))</f>
        <v>0.91666666666666663</v>
      </c>
      <c r="E382" s="11">
        <f>IF(ISNUMBER('Raw Data'!E378),MOD('Raw Data'!E378,1),IFERROR(TIMEVALUE('Raw Data'!E378),""))</f>
        <v>2.0833333333333329E-2</v>
      </c>
      <c r="F382" s="12">
        <f>IF(ISNUMBER('Raw Data'!F378),'Raw Data'!F378,IFERROR(VALUE(SUBSTITUTE('Raw Data'!F378,",","")),""))</f>
        <v>51021</v>
      </c>
      <c r="G382" s="13">
        <f>IF(ISNUMBER('Raw Data'!G378),'Raw Data'!G378,IFERROR(VALUE(SUBSTITUTE('Raw Data'!G378,",","")),""))</f>
        <v>139</v>
      </c>
      <c r="H382" s="13">
        <f>IF(ISNUMBER('Raw Data'!H378),'Raw Data'!H378,IFERROR(VALUE(SUBSTITUTE('Raw Data'!H378,",","")),""))</f>
        <v>216876</v>
      </c>
      <c r="I382" s="13">
        <f>IF(ISNUMBER('Raw Data'!I378),'Raw Data'!I378,IFERROR(VALUE(SUBSTITUTE('Raw Data'!I378,",","")),""))</f>
        <v>1414</v>
      </c>
      <c r="J382" s="21">
        <f>IF(AND(ISNUMBER(tblClean[[#This Row],[Start Time]]),ISNUMBER(tblClean[[#This Row],[End Time]])),ROUND(MOD(tblClean[[#This Row],[End Time]]-tblClean[[#This Row],[Start Time]],1)*24,2),"")</f>
        <v>2.5</v>
      </c>
      <c r="K382" s="12">
        <f>IF(AND(ISNUMBER(tblClean[[#This Row],[Duration Hours]]),ISNUMBER(tblClean[[#This Row],[Attributed GMV PHP]])),IF(tblClean[[#This Row],[Duration Hours]]&gt;0,tblClean[[#This Row],[Attributed GMV PHP]]/tblClean[[#This Row],[Duration Hours]],""),"")</f>
        <v>20408.400000000001</v>
      </c>
      <c r="L382" s="22">
        <f>IF(ISNUMBER(tblClean[[#This Row],[Date]]),DATE(YEAR(tblClean[[#This Row],[Date]]),MONTH(tblClean[[#This Row],[Date]]),1),"")</f>
        <v>45870</v>
      </c>
      <c r="M382" s="10">
        <f>IF(ISNUMBER(tblClean[[#This Row],[Date]]),tblClean[[#This Row],[Date]]-WEEKDAY(tblClean[[#This Row],[Date]],2)+1,"")</f>
        <v>45894</v>
      </c>
      <c r="N382" s="23">
        <f>IF(ISNUMBER(tblClean[[#This Row],[Week Start]]),(tblClean[[#This Row],[Week Start]]-MIN(tblClean[Week Start]))/7+1,"")</f>
        <v>13</v>
      </c>
      <c r="O382" s="24" t="str">
        <f>IF(ISNUMBER(tblClean[[#This Row],[Date]]),CHOOSE(WEEKDAY(tblClean[[#This Row],[Date]],2),"Mon","Tue","Wed","Thu","Fri","Sat","Sun"),"")</f>
        <v>Sun</v>
      </c>
      <c r="P382" s="24" t="str">
        <f>IF(ISNUMBER(tblClean[[#This Row],[Date]]),IF(WEEKDAY(tblClean[[#This Row],[Date]],2)&gt;=6,"Weekend","Weekday"),"")</f>
        <v>Weekend</v>
      </c>
      <c r="Q382" s="9" t="str">
        <f>IF(ISNUMBER(tblClean[[#This Row],[Start Time]]),IF(tblClean[[#This Row],[Start Time]]&lt;TIME(6,0,0),"Late Night",IF(tblClean[[#This Row],[Start Time]]&lt;TIME(12,0,0),"Morning",IF(tblClean[[#This Row],[Start Time]]&lt;TIME(16,0,0),"Afternoon",IF(tblClean[[#This Row],[Start Time]]&lt;TIME(19,0,0),"Early Evening",IF(tblClean[[#This Row],[Start Time]]&lt;TIME(22,0,0),"Prime Time","Late Night"))))),"")</f>
        <v>Late Night</v>
      </c>
      <c r="R382" s="9" t="str">
        <f>IF(ISNUMBER(tblClean[[#This Row],[Duration Hours]]),IF(tblClean[[#This Row],[Duration Hours]]&lt;2,"Short (under 2h)",IF(tblClean[[#This Row],[Duration Hours]]&lt;3,"Standard (2h to under 3h)","Long (3h or more)")),"")</f>
        <v>Standard (2h to under 3h)</v>
      </c>
      <c r="S382" s="24">
        <f>IF(OR(NOT(ISNUMBER(tblClean[[#This Row],[Date]])),NOT(ISNUMBER(tblClean[[#This Row],[Start Time]])),NOT(ISNUMBER(tblClean[[#This Row],[End Time]])),NOT(ISNUMBER(tblClean[[#This Row],[Attributed GMV PHP]])),NOT(ISNUMBER(tblClean[[#This Row],[Items Sold]])),NOT(ISNUMBER(tblClean[[#This Row],[Livestream Views]])),NOT(ISNUMBER(tblClean[[#This Row],[New Followers]])),tblClean[[#This Row],[Host Name]]="",tblClean[[#This Row],[Session ID]]=""),1,0)</f>
        <v>0</v>
      </c>
      <c r="T382" s="24">
        <f>IF(COUNTIF(tblClean[Session ID],tblClean[[#This Row],[Session ID]])&gt;1,1,0)</f>
        <v>0</v>
      </c>
      <c r="U382" s="24">
        <f>IF(OR(N(tblClean[[#This Row],[Attributed GMV PHP]])&lt;0,N(tblClean[[#This Row],[Items Sold]])&lt;0,N(tblClean[[#This Row],[Livestream Views]])&lt;0,N(tblClean[[#This Row],[New Followers]])&lt;0),1,0)</f>
        <v>0</v>
      </c>
      <c r="V382" s="24">
        <f>IF(ISNUMBER(tblClean[[#This Row],[Duration Hours]]),IF(OR(tblClean[[#This Row],[Duration Hours]]&lt;=0,tblClean[[#This Row],[Duration Hours]]&gt;12),1,0),1)</f>
        <v>0</v>
      </c>
      <c r="W382" s="24">
        <f>IF(COUNTIF(HostRoster,tblClean[[#This Row],[Host Name]])=0,1,0)</f>
        <v>0</v>
      </c>
      <c r="X382" s="24">
        <f>IF(tblClean[[#This Row],[Missing Flag]]+tblClean[[#This Row],[Duplicate Flag]]+tblClean[[#This Row],[Negative Flag]]+tblClean[[#This Row],[Duration Flag]]+tblClean[[#This Row],[Host Flag]]=0,1,0)</f>
        <v>1</v>
      </c>
    </row>
  </sheetData>
  <mergeCells count="2">
    <mergeCell ref="A1:N1"/>
    <mergeCell ref="A2:N2"/>
  </mergeCells>
  <conditionalFormatting sqref="A6:I6">
    <cfRule type="cellIs" dxfId="7" priority="1" operator="equal">
      <formula>"PASS"</formula>
    </cfRule>
    <cfRule type="cellIs" dxfId="6" priority="2" operator="equal">
      <formula>"REVIEW"</formula>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7DB1"/>
  </sheetPr>
  <dimension ref="A1:H99"/>
  <sheetViews>
    <sheetView showGridLines="0" workbookViewId="0">
      <pane ySplit="5" topLeftCell="A6" activePane="bottomLeft" state="frozen"/>
      <selection pane="bottomLeft" activeCell="A2" sqref="A2:H2"/>
    </sheetView>
  </sheetViews>
  <sheetFormatPr defaultRowHeight="14.4" x14ac:dyDescent="0.3"/>
  <cols>
    <col min="1" max="1" width="16" customWidth="1"/>
    <col min="2" max="2" width="8" customWidth="1"/>
    <col min="3" max="3" width="11" customWidth="1"/>
    <col min="4" max="4" width="14" customWidth="1"/>
    <col min="5" max="5" width="16" customWidth="1"/>
    <col min="6" max="6" width="12" customWidth="1"/>
    <col min="7" max="8" width="16" customWidth="1"/>
    <col min="9" max="9" width="3" customWidth="1"/>
  </cols>
  <sheetData>
    <row r="1" spans="1:8" ht="28.05" customHeight="1" x14ac:dyDescent="0.3">
      <c r="A1" s="101" t="s">
        <v>540</v>
      </c>
      <c r="B1" s="101"/>
      <c r="C1" s="101"/>
      <c r="D1" s="101"/>
      <c r="E1" s="101"/>
      <c r="F1" s="101"/>
      <c r="G1" s="101"/>
      <c r="H1" s="101"/>
    </row>
    <row r="2" spans="1:8" ht="18" customHeight="1" x14ac:dyDescent="0.3">
      <c r="A2" s="102" t="s">
        <v>541</v>
      </c>
      <c r="B2" s="102"/>
      <c r="C2" s="102"/>
      <c r="D2" s="102"/>
      <c r="E2" s="102"/>
      <c r="F2" s="102"/>
      <c r="G2" s="102"/>
      <c r="H2" s="102"/>
    </row>
    <row r="3" spans="1:8" x14ac:dyDescent="0.3">
      <c r="A3" s="27" t="s">
        <v>542</v>
      </c>
    </row>
    <row r="5" spans="1:8" ht="30" customHeight="1" x14ac:dyDescent="0.3">
      <c r="A5" s="5" t="s">
        <v>66</v>
      </c>
      <c r="B5" s="5" t="s">
        <v>543</v>
      </c>
      <c r="C5" s="5" t="s">
        <v>544</v>
      </c>
      <c r="D5" s="5" t="s">
        <v>545</v>
      </c>
      <c r="E5" s="5" t="s">
        <v>546</v>
      </c>
      <c r="F5" s="5" t="s">
        <v>29</v>
      </c>
      <c r="G5" s="5" t="s">
        <v>33</v>
      </c>
      <c r="H5" s="5" t="s">
        <v>547</v>
      </c>
    </row>
    <row r="6" spans="1:8" x14ac:dyDescent="0.3">
      <c r="A6" s="28">
        <f>MIN(tblClean[Date])</f>
        <v>45810</v>
      </c>
      <c r="B6" s="29" t="str">
        <f t="shared" ref="B6:B37" si="0">CHOOSE(WEEKDAY(A6,2),"Mon","Tue","Wed","Thu","Fri","Sat","Sun")</f>
        <v>Mon</v>
      </c>
      <c r="C6" s="30">
        <f>COUNTIFS(tblClean[Date],$A6,tblClean[Include],1)</f>
        <v>3</v>
      </c>
      <c r="D6" s="31">
        <f>SUMIFS(tblClean[Duration Hours],tblClean[Date],$A6,tblClean[Include],1)</f>
        <v>7.5</v>
      </c>
      <c r="E6" s="32">
        <f>SUMIFS(tblClean[Attributed GMV PHP],tblClean[Date],$A6,tblClean[Include],1)</f>
        <v>85426</v>
      </c>
      <c r="F6" s="30">
        <f>SUMIFS(tblClean[Items Sold],tblClean[Date],$A6,tblClean[Include],1)</f>
        <v>234</v>
      </c>
      <c r="G6" s="32">
        <f t="shared" ref="G6:G37" si="1">IF(D6&gt;0,E6/D6,"n/a")</f>
        <v>11390.133333333333</v>
      </c>
      <c r="H6" s="32">
        <f>AVERAGE(INDEX($E$6:$E$96,MAX(1,ROW()-ROW($E$6)-5)):E6)</f>
        <v>85426</v>
      </c>
    </row>
    <row r="7" spans="1:8" x14ac:dyDescent="0.3">
      <c r="A7" s="28">
        <f t="shared" ref="A7:A38" si="2">A6+1</f>
        <v>45811</v>
      </c>
      <c r="B7" s="29" t="str">
        <f t="shared" si="0"/>
        <v>Tue</v>
      </c>
      <c r="C7" s="30">
        <f>COUNTIFS(tblClean[Date],$A7,tblClean[Include],1)</f>
        <v>5</v>
      </c>
      <c r="D7" s="31">
        <f>SUMIFS(tblClean[Duration Hours],tblClean[Date],$A7,tblClean[Include],1)</f>
        <v>12</v>
      </c>
      <c r="E7" s="32">
        <f>SUMIFS(tblClean[Attributed GMV PHP],tblClean[Date],$A7,tblClean[Include],1)</f>
        <v>177219</v>
      </c>
      <c r="F7" s="30">
        <f>SUMIFS(tblClean[Items Sold],tblClean[Date],$A7,tblClean[Include],1)</f>
        <v>523</v>
      </c>
      <c r="G7" s="32">
        <f t="shared" si="1"/>
        <v>14768.25</v>
      </c>
      <c r="H7" s="32">
        <f>AVERAGE(INDEX($E$6:$E$96,MAX(1,ROW()-ROW($E$6)-5)):E7)</f>
        <v>131322.5</v>
      </c>
    </row>
    <row r="8" spans="1:8" x14ac:dyDescent="0.3">
      <c r="A8" s="28">
        <f t="shared" si="2"/>
        <v>45812</v>
      </c>
      <c r="B8" s="29" t="str">
        <f t="shared" si="0"/>
        <v>Wed</v>
      </c>
      <c r="C8" s="30">
        <f>COUNTIFS(tblClean[Date],$A8,tblClean[Include],1)</f>
        <v>3</v>
      </c>
      <c r="D8" s="31">
        <f>SUMIFS(tblClean[Duration Hours],tblClean[Date],$A8,tblClean[Include],1)</f>
        <v>8.5</v>
      </c>
      <c r="E8" s="32">
        <f>SUMIFS(tblClean[Attributed GMV PHP],tblClean[Date],$A8,tblClean[Include],1)</f>
        <v>59562</v>
      </c>
      <c r="F8" s="30">
        <f>SUMIFS(tblClean[Items Sold],tblClean[Date],$A8,tblClean[Include],1)</f>
        <v>172</v>
      </c>
      <c r="G8" s="32">
        <f t="shared" si="1"/>
        <v>7007.2941176470586</v>
      </c>
      <c r="H8" s="32">
        <f>AVERAGE(INDEX($E$6:$E$96,MAX(1,ROW()-ROW($E$6)-5)):E8)</f>
        <v>107402.33333333333</v>
      </c>
    </row>
    <row r="9" spans="1:8" x14ac:dyDescent="0.3">
      <c r="A9" s="28">
        <f t="shared" si="2"/>
        <v>45813</v>
      </c>
      <c r="B9" s="29" t="str">
        <f t="shared" si="0"/>
        <v>Thu</v>
      </c>
      <c r="C9" s="30">
        <f>COUNTIFS(tblClean[Date],$A9,tblClean[Include],1)</f>
        <v>4</v>
      </c>
      <c r="D9" s="31">
        <f>SUMIFS(tblClean[Duration Hours],tblClean[Date],$A9,tblClean[Include],1)</f>
        <v>9</v>
      </c>
      <c r="E9" s="32">
        <f>SUMIFS(tblClean[Attributed GMV PHP],tblClean[Date],$A9,tblClean[Include],1)</f>
        <v>84165</v>
      </c>
      <c r="F9" s="30">
        <f>SUMIFS(tblClean[Items Sold],tblClean[Date],$A9,tblClean[Include],1)</f>
        <v>228</v>
      </c>
      <c r="G9" s="32">
        <f t="shared" si="1"/>
        <v>9351.6666666666661</v>
      </c>
      <c r="H9" s="32">
        <f>AVERAGE(INDEX($E$6:$E$96,MAX(1,ROW()-ROW($E$6)-5)):E9)</f>
        <v>101593</v>
      </c>
    </row>
    <row r="10" spans="1:8" x14ac:dyDescent="0.3">
      <c r="A10" s="28">
        <f t="shared" si="2"/>
        <v>45814</v>
      </c>
      <c r="B10" s="29" t="str">
        <f t="shared" si="0"/>
        <v>Fri</v>
      </c>
      <c r="C10" s="30">
        <f>COUNTIFS(tblClean[Date],$A10,tblClean[Include],1)</f>
        <v>5</v>
      </c>
      <c r="D10" s="31">
        <f>SUMIFS(tblClean[Duration Hours],tblClean[Date],$A10,tblClean[Include],1)</f>
        <v>11.5</v>
      </c>
      <c r="E10" s="32">
        <f>SUMIFS(tblClean[Attributed GMV PHP],tblClean[Date],$A10,tblClean[Include],1)</f>
        <v>176989</v>
      </c>
      <c r="F10" s="30">
        <f>SUMIFS(tblClean[Items Sold],tblClean[Date],$A10,tblClean[Include],1)</f>
        <v>548</v>
      </c>
      <c r="G10" s="32">
        <f t="shared" si="1"/>
        <v>15390.347826086956</v>
      </c>
      <c r="H10" s="32">
        <f>AVERAGE(INDEX($E$6:$E$96,MAX(1,ROW()-ROW($E$6)-5)):E10)</f>
        <v>116672.2</v>
      </c>
    </row>
    <row r="11" spans="1:8" x14ac:dyDescent="0.3">
      <c r="A11" s="28">
        <f t="shared" si="2"/>
        <v>45815</v>
      </c>
      <c r="B11" s="29" t="str">
        <f t="shared" si="0"/>
        <v>Sat</v>
      </c>
      <c r="C11" s="30">
        <f>COUNTIFS(tblClean[Date],$A11,tblClean[Include],1)</f>
        <v>5</v>
      </c>
      <c r="D11" s="31">
        <f>SUMIFS(tblClean[Duration Hours],tblClean[Date],$A11,tblClean[Include],1)</f>
        <v>9.5</v>
      </c>
      <c r="E11" s="32">
        <f>SUMIFS(tblClean[Attributed GMV PHP],tblClean[Date],$A11,tblClean[Include],1)</f>
        <v>116380</v>
      </c>
      <c r="F11" s="30">
        <f>SUMIFS(tblClean[Items Sold],tblClean[Date],$A11,tblClean[Include],1)</f>
        <v>355</v>
      </c>
      <c r="G11" s="32">
        <f t="shared" si="1"/>
        <v>12250.526315789473</v>
      </c>
      <c r="H11" s="32">
        <f>AVERAGE(INDEX($E$6:$E$96,MAX(1,ROW()-ROW($E$6)-5)):E11)</f>
        <v>116623.5</v>
      </c>
    </row>
    <row r="12" spans="1:8" x14ac:dyDescent="0.3">
      <c r="A12" s="28">
        <f t="shared" si="2"/>
        <v>45816</v>
      </c>
      <c r="B12" s="29" t="str">
        <f t="shared" si="0"/>
        <v>Sun</v>
      </c>
      <c r="C12" s="30">
        <f>COUNTIFS(tblClean[Date],$A12,tblClean[Include],1)</f>
        <v>4</v>
      </c>
      <c r="D12" s="31">
        <f>SUMIFS(tblClean[Duration Hours],tblClean[Date],$A12,tblClean[Include],1)</f>
        <v>10</v>
      </c>
      <c r="E12" s="32">
        <f>SUMIFS(tblClean[Attributed GMV PHP],tblClean[Date],$A12,tblClean[Include],1)</f>
        <v>68562</v>
      </c>
      <c r="F12" s="30">
        <f>SUMIFS(tblClean[Items Sold],tblClean[Date],$A12,tblClean[Include],1)</f>
        <v>208</v>
      </c>
      <c r="G12" s="32">
        <f t="shared" si="1"/>
        <v>6856.2</v>
      </c>
      <c r="H12" s="32">
        <f>AVERAGE(INDEX($E$6:$E$96,MAX(1,ROW()-ROW($E$6)-5)):E12)</f>
        <v>109757.57142857143</v>
      </c>
    </row>
    <row r="13" spans="1:8" x14ac:dyDescent="0.3">
      <c r="A13" s="28">
        <f t="shared" si="2"/>
        <v>45817</v>
      </c>
      <c r="B13" s="29" t="str">
        <f t="shared" si="0"/>
        <v>Mon</v>
      </c>
      <c r="C13" s="30">
        <f>COUNTIFS(tblClean[Date],$A13,tblClean[Include],1)</f>
        <v>3</v>
      </c>
      <c r="D13" s="31">
        <f>SUMIFS(tblClean[Duration Hours],tblClean[Date],$A13,tblClean[Include],1)</f>
        <v>7.5</v>
      </c>
      <c r="E13" s="32">
        <f>SUMIFS(tblClean[Attributed GMV PHP],tblClean[Date],$A13,tblClean[Include],1)</f>
        <v>92331</v>
      </c>
      <c r="F13" s="30">
        <f>SUMIFS(tblClean[Items Sold],tblClean[Date],$A13,tblClean[Include],1)</f>
        <v>317</v>
      </c>
      <c r="G13" s="32">
        <f t="shared" si="1"/>
        <v>12310.8</v>
      </c>
      <c r="H13" s="32">
        <f>AVERAGE(INDEX($E$6:$E$96,MAX(1,ROW()-ROW($E$6)-5)):E13)</f>
        <v>110744</v>
      </c>
    </row>
    <row r="14" spans="1:8" x14ac:dyDescent="0.3">
      <c r="A14" s="28">
        <f t="shared" si="2"/>
        <v>45818</v>
      </c>
      <c r="B14" s="29" t="str">
        <f t="shared" si="0"/>
        <v>Tue</v>
      </c>
      <c r="C14" s="30">
        <f>COUNTIFS(tblClean[Date],$A14,tblClean[Include],1)</f>
        <v>5</v>
      </c>
      <c r="D14" s="31">
        <f>SUMIFS(tblClean[Duration Hours],tblClean[Date],$A14,tblClean[Include],1)</f>
        <v>12</v>
      </c>
      <c r="E14" s="32">
        <f>SUMIFS(tblClean[Attributed GMV PHP],tblClean[Date],$A14,tblClean[Include],1)</f>
        <v>111327</v>
      </c>
      <c r="F14" s="30">
        <f>SUMIFS(tblClean[Items Sold],tblClean[Date],$A14,tblClean[Include],1)</f>
        <v>318</v>
      </c>
      <c r="G14" s="32">
        <f t="shared" si="1"/>
        <v>9277.25</v>
      </c>
      <c r="H14" s="32">
        <f>AVERAGE(INDEX($E$6:$E$96,MAX(1,ROW()-ROW($E$6)-5)):E14)</f>
        <v>101330.85714285714</v>
      </c>
    </row>
    <row r="15" spans="1:8" x14ac:dyDescent="0.3">
      <c r="A15" s="28">
        <f t="shared" si="2"/>
        <v>45819</v>
      </c>
      <c r="B15" s="29" t="str">
        <f t="shared" si="0"/>
        <v>Wed</v>
      </c>
      <c r="C15" s="30">
        <f>COUNTIFS(tblClean[Date],$A15,tblClean[Include],1)</f>
        <v>5</v>
      </c>
      <c r="D15" s="31">
        <f>SUMIFS(tblClean[Duration Hours],tblClean[Date],$A15,tblClean[Include],1)</f>
        <v>11</v>
      </c>
      <c r="E15" s="32">
        <f>SUMIFS(tblClean[Attributed GMV PHP],tblClean[Date],$A15,tblClean[Include],1)</f>
        <v>93704</v>
      </c>
      <c r="F15" s="30">
        <f>SUMIFS(tblClean[Items Sold],tblClean[Date],$A15,tblClean[Include],1)</f>
        <v>269</v>
      </c>
      <c r="G15" s="32">
        <f t="shared" si="1"/>
        <v>8518.545454545454</v>
      </c>
      <c r="H15" s="32">
        <f>AVERAGE(INDEX($E$6:$E$96,MAX(1,ROW()-ROW($E$6)-5)):E15)</f>
        <v>106208.28571428571</v>
      </c>
    </row>
    <row r="16" spans="1:8" x14ac:dyDescent="0.3">
      <c r="A16" s="28">
        <f t="shared" si="2"/>
        <v>45820</v>
      </c>
      <c r="B16" s="29" t="str">
        <f t="shared" si="0"/>
        <v>Thu</v>
      </c>
      <c r="C16" s="30">
        <f>COUNTIFS(tblClean[Date],$A16,tblClean[Include],1)</f>
        <v>3</v>
      </c>
      <c r="D16" s="31">
        <f>SUMIFS(tblClean[Duration Hours],tblClean[Date],$A16,tblClean[Include],1)</f>
        <v>8</v>
      </c>
      <c r="E16" s="32">
        <f>SUMIFS(tblClean[Attributed GMV PHP],tblClean[Date],$A16,tblClean[Include],1)</f>
        <v>36562</v>
      </c>
      <c r="F16" s="30">
        <f>SUMIFS(tblClean[Items Sold],tblClean[Date],$A16,tblClean[Include],1)</f>
        <v>105</v>
      </c>
      <c r="G16" s="32">
        <f t="shared" si="1"/>
        <v>4570.25</v>
      </c>
      <c r="H16" s="32">
        <f>AVERAGE(INDEX($E$6:$E$96,MAX(1,ROW()-ROW($E$6)-5)):E16)</f>
        <v>99407.857142857145</v>
      </c>
    </row>
    <row r="17" spans="1:8" x14ac:dyDescent="0.3">
      <c r="A17" s="28">
        <f t="shared" si="2"/>
        <v>45821</v>
      </c>
      <c r="B17" s="29" t="str">
        <f t="shared" si="0"/>
        <v>Fri</v>
      </c>
      <c r="C17" s="30">
        <f>COUNTIFS(tblClean[Date],$A17,tblClean[Include],1)</f>
        <v>4</v>
      </c>
      <c r="D17" s="31">
        <f>SUMIFS(tblClean[Duration Hours],tblClean[Date],$A17,tblClean[Include],1)</f>
        <v>10.5</v>
      </c>
      <c r="E17" s="32">
        <f>SUMIFS(tblClean[Attributed GMV PHP],tblClean[Date],$A17,tblClean[Include],1)</f>
        <v>123902</v>
      </c>
      <c r="F17" s="30">
        <f>SUMIFS(tblClean[Items Sold],tblClean[Date],$A17,tblClean[Include],1)</f>
        <v>356</v>
      </c>
      <c r="G17" s="32">
        <f t="shared" si="1"/>
        <v>11800.190476190477</v>
      </c>
      <c r="H17" s="32">
        <f>AVERAGE(INDEX($E$6:$E$96,MAX(1,ROW()-ROW($E$6)-5)):E17)</f>
        <v>91824</v>
      </c>
    </row>
    <row r="18" spans="1:8" x14ac:dyDescent="0.3">
      <c r="A18" s="28">
        <f t="shared" si="2"/>
        <v>45822</v>
      </c>
      <c r="B18" s="29" t="str">
        <f t="shared" si="0"/>
        <v>Sat</v>
      </c>
      <c r="C18" s="30">
        <f>COUNTIFS(tblClean[Date],$A18,tblClean[Include],1)</f>
        <v>4</v>
      </c>
      <c r="D18" s="31">
        <f>SUMIFS(tblClean[Duration Hours],tblClean[Date],$A18,tblClean[Include],1)</f>
        <v>9</v>
      </c>
      <c r="E18" s="32">
        <f>SUMIFS(tblClean[Attributed GMV PHP],tblClean[Date],$A18,tblClean[Include],1)</f>
        <v>134548</v>
      </c>
      <c r="F18" s="30">
        <f>SUMIFS(tblClean[Items Sold],tblClean[Date],$A18,tblClean[Include],1)</f>
        <v>417</v>
      </c>
      <c r="G18" s="32">
        <f t="shared" si="1"/>
        <v>14949.777777777777</v>
      </c>
      <c r="H18" s="32">
        <f>AVERAGE(INDEX($E$6:$E$96,MAX(1,ROW()-ROW($E$6)-5)):E18)</f>
        <v>94419.428571428565</v>
      </c>
    </row>
    <row r="19" spans="1:8" x14ac:dyDescent="0.3">
      <c r="A19" s="28">
        <f t="shared" si="2"/>
        <v>45823</v>
      </c>
      <c r="B19" s="29" t="str">
        <f t="shared" si="0"/>
        <v>Sun</v>
      </c>
      <c r="C19" s="30">
        <f>COUNTIFS(tblClean[Date],$A19,tblClean[Include],1)</f>
        <v>3</v>
      </c>
      <c r="D19" s="31">
        <f>SUMIFS(tblClean[Duration Hours],tblClean[Date],$A19,tblClean[Include],1)</f>
        <v>7</v>
      </c>
      <c r="E19" s="32">
        <f>SUMIFS(tblClean[Attributed GMV PHP],tblClean[Date],$A19,tblClean[Include],1)</f>
        <v>106367</v>
      </c>
      <c r="F19" s="30">
        <f>SUMIFS(tblClean[Items Sold],tblClean[Date],$A19,tblClean[Include],1)</f>
        <v>322</v>
      </c>
      <c r="G19" s="32">
        <f t="shared" si="1"/>
        <v>15195.285714285714</v>
      </c>
      <c r="H19" s="32">
        <f>AVERAGE(INDEX($E$6:$E$96,MAX(1,ROW()-ROW($E$6)-5)):E19)</f>
        <v>99820.142857142855</v>
      </c>
    </row>
    <row r="20" spans="1:8" x14ac:dyDescent="0.3">
      <c r="A20" s="28">
        <f t="shared" si="2"/>
        <v>45824</v>
      </c>
      <c r="B20" s="29" t="str">
        <f t="shared" si="0"/>
        <v>Mon</v>
      </c>
      <c r="C20" s="30">
        <f>COUNTIFS(tblClean[Date],$A20,tblClean[Include],1)</f>
        <v>4</v>
      </c>
      <c r="D20" s="31">
        <f>SUMIFS(tblClean[Duration Hours],tblClean[Date],$A20,tblClean[Include],1)</f>
        <v>10.5</v>
      </c>
      <c r="E20" s="32">
        <f>SUMIFS(tblClean[Attributed GMV PHP],tblClean[Date],$A20,tblClean[Include],1)</f>
        <v>70318</v>
      </c>
      <c r="F20" s="30">
        <f>SUMIFS(tblClean[Items Sold],tblClean[Date],$A20,tblClean[Include],1)</f>
        <v>212</v>
      </c>
      <c r="G20" s="32">
        <f t="shared" si="1"/>
        <v>6696.9523809523807</v>
      </c>
      <c r="H20" s="32">
        <f>AVERAGE(INDEX($E$6:$E$96,MAX(1,ROW()-ROW($E$6)-5)):E20)</f>
        <v>96675.428571428565</v>
      </c>
    </row>
    <row r="21" spans="1:8" x14ac:dyDescent="0.3">
      <c r="A21" s="28">
        <f t="shared" si="2"/>
        <v>45825</v>
      </c>
      <c r="B21" s="29" t="str">
        <f t="shared" si="0"/>
        <v>Tue</v>
      </c>
      <c r="C21" s="30">
        <f>COUNTIFS(tblClean[Date],$A21,tblClean[Include],1)</f>
        <v>4</v>
      </c>
      <c r="D21" s="31">
        <f>SUMIFS(tblClean[Duration Hours],tblClean[Date],$A21,tblClean[Include],1)</f>
        <v>10</v>
      </c>
      <c r="E21" s="32">
        <f>SUMIFS(tblClean[Attributed GMV PHP],tblClean[Date],$A21,tblClean[Include],1)</f>
        <v>86201</v>
      </c>
      <c r="F21" s="30">
        <f>SUMIFS(tblClean[Items Sold],tblClean[Date],$A21,tblClean[Include],1)</f>
        <v>253</v>
      </c>
      <c r="G21" s="32">
        <f t="shared" si="1"/>
        <v>8620.1</v>
      </c>
      <c r="H21" s="32">
        <f>AVERAGE(INDEX($E$6:$E$96,MAX(1,ROW()-ROW($E$6)-5)):E21)</f>
        <v>93086</v>
      </c>
    </row>
    <row r="22" spans="1:8" x14ac:dyDescent="0.3">
      <c r="A22" s="28">
        <f t="shared" si="2"/>
        <v>45826</v>
      </c>
      <c r="B22" s="29" t="str">
        <f t="shared" si="0"/>
        <v>Wed</v>
      </c>
      <c r="C22" s="30">
        <f>COUNTIFS(tblClean[Date],$A22,tblClean[Include],1)</f>
        <v>4</v>
      </c>
      <c r="D22" s="31">
        <f>SUMIFS(tblClean[Duration Hours],tblClean[Date],$A22,tblClean[Include],1)</f>
        <v>11</v>
      </c>
      <c r="E22" s="32">
        <f>SUMIFS(tblClean[Attributed GMV PHP],tblClean[Date],$A22,tblClean[Include],1)</f>
        <v>89868</v>
      </c>
      <c r="F22" s="30">
        <f>SUMIFS(tblClean[Items Sold],tblClean[Date],$A22,tblClean[Include],1)</f>
        <v>272</v>
      </c>
      <c r="G22" s="32">
        <f t="shared" si="1"/>
        <v>8169.818181818182</v>
      </c>
      <c r="H22" s="32">
        <f>AVERAGE(INDEX($E$6:$E$96,MAX(1,ROW()-ROW($E$6)-5)):E22)</f>
        <v>92538</v>
      </c>
    </row>
    <row r="23" spans="1:8" x14ac:dyDescent="0.3">
      <c r="A23" s="28">
        <f t="shared" si="2"/>
        <v>45827</v>
      </c>
      <c r="B23" s="29" t="str">
        <f t="shared" si="0"/>
        <v>Thu</v>
      </c>
      <c r="C23" s="30">
        <f>COUNTIFS(tblClean[Date],$A23,tblClean[Include],1)</f>
        <v>3</v>
      </c>
      <c r="D23" s="31">
        <f>SUMIFS(tblClean[Duration Hours],tblClean[Date],$A23,tblClean[Include],1)</f>
        <v>5</v>
      </c>
      <c r="E23" s="32">
        <f>SUMIFS(tblClean[Attributed GMV PHP],tblClean[Date],$A23,tblClean[Include],1)</f>
        <v>49961</v>
      </c>
      <c r="F23" s="30">
        <f>SUMIFS(tblClean[Items Sold],tblClean[Date],$A23,tblClean[Include],1)</f>
        <v>143</v>
      </c>
      <c r="G23" s="32">
        <f t="shared" si="1"/>
        <v>9992.2000000000007</v>
      </c>
      <c r="H23" s="32">
        <f>AVERAGE(INDEX($E$6:$E$96,MAX(1,ROW()-ROW($E$6)-5)):E23)</f>
        <v>94452.142857142855</v>
      </c>
    </row>
    <row r="24" spans="1:8" x14ac:dyDescent="0.3">
      <c r="A24" s="28">
        <f t="shared" si="2"/>
        <v>45828</v>
      </c>
      <c r="B24" s="29" t="str">
        <f t="shared" si="0"/>
        <v>Fri</v>
      </c>
      <c r="C24" s="30">
        <f>COUNTIFS(tblClean[Date],$A24,tblClean[Include],1)</f>
        <v>4</v>
      </c>
      <c r="D24" s="31">
        <f>SUMIFS(tblClean[Duration Hours],tblClean[Date],$A24,tblClean[Include],1)</f>
        <v>9</v>
      </c>
      <c r="E24" s="32">
        <f>SUMIFS(tblClean[Attributed GMV PHP],tblClean[Date],$A24,tblClean[Include],1)</f>
        <v>125088</v>
      </c>
      <c r="F24" s="30">
        <f>SUMIFS(tblClean[Items Sold],tblClean[Date],$A24,tblClean[Include],1)</f>
        <v>360</v>
      </c>
      <c r="G24" s="32">
        <f t="shared" si="1"/>
        <v>13898.666666666666</v>
      </c>
      <c r="H24" s="32">
        <f>AVERAGE(INDEX($E$6:$E$96,MAX(1,ROW()-ROW($E$6)-5)):E24)</f>
        <v>94621.571428571435</v>
      </c>
    </row>
    <row r="25" spans="1:8" x14ac:dyDescent="0.3">
      <c r="A25" s="28">
        <f t="shared" si="2"/>
        <v>45829</v>
      </c>
      <c r="B25" s="29" t="str">
        <f t="shared" si="0"/>
        <v>Sat</v>
      </c>
      <c r="C25" s="30">
        <f>COUNTIFS(tblClean[Date],$A25,tblClean[Include],1)</f>
        <v>4</v>
      </c>
      <c r="D25" s="31">
        <f>SUMIFS(tblClean[Duration Hours],tblClean[Date],$A25,tblClean[Include],1)</f>
        <v>11</v>
      </c>
      <c r="E25" s="32">
        <f>SUMIFS(tblClean[Attributed GMV PHP],tblClean[Date],$A25,tblClean[Include],1)</f>
        <v>137301</v>
      </c>
      <c r="F25" s="30">
        <f>SUMIFS(tblClean[Items Sold],tblClean[Date],$A25,tblClean[Include],1)</f>
        <v>388</v>
      </c>
      <c r="G25" s="32">
        <f t="shared" si="1"/>
        <v>12481.90909090909</v>
      </c>
      <c r="H25" s="32">
        <f>AVERAGE(INDEX($E$6:$E$96,MAX(1,ROW()-ROW($E$6)-5)):E25)</f>
        <v>95014.857142857145</v>
      </c>
    </row>
    <row r="26" spans="1:8" x14ac:dyDescent="0.3">
      <c r="A26" s="28">
        <f t="shared" si="2"/>
        <v>45830</v>
      </c>
      <c r="B26" s="29" t="str">
        <f t="shared" si="0"/>
        <v>Sun</v>
      </c>
      <c r="C26" s="30">
        <f>COUNTIFS(tblClean[Date],$A26,tblClean[Include],1)</f>
        <v>4</v>
      </c>
      <c r="D26" s="31">
        <f>SUMIFS(tblClean[Duration Hours],tblClean[Date],$A26,tblClean[Include],1)</f>
        <v>10.5</v>
      </c>
      <c r="E26" s="32">
        <f>SUMIFS(tblClean[Attributed GMV PHP],tblClean[Date],$A26,tblClean[Include],1)</f>
        <v>119977</v>
      </c>
      <c r="F26" s="30">
        <f>SUMIFS(tblClean[Items Sold],tblClean[Date],$A26,tblClean[Include],1)</f>
        <v>340</v>
      </c>
      <c r="G26" s="32">
        <f t="shared" si="1"/>
        <v>11426.380952380952</v>
      </c>
      <c r="H26" s="32">
        <f>AVERAGE(INDEX($E$6:$E$96,MAX(1,ROW()-ROW($E$6)-5)):E26)</f>
        <v>96959.142857142855</v>
      </c>
    </row>
    <row r="27" spans="1:8" x14ac:dyDescent="0.3">
      <c r="A27" s="28">
        <f t="shared" si="2"/>
        <v>45831</v>
      </c>
      <c r="B27" s="29" t="str">
        <f t="shared" si="0"/>
        <v>Mon</v>
      </c>
      <c r="C27" s="30">
        <f>COUNTIFS(tblClean[Date],$A27,tblClean[Include],1)</f>
        <v>4</v>
      </c>
      <c r="D27" s="31">
        <f>SUMIFS(tblClean[Duration Hours],tblClean[Date],$A27,tblClean[Include],1)</f>
        <v>10.5</v>
      </c>
      <c r="E27" s="32">
        <f>SUMIFS(tblClean[Attributed GMV PHP],tblClean[Date],$A27,tblClean[Include],1)</f>
        <v>97093</v>
      </c>
      <c r="F27" s="30">
        <f>SUMIFS(tblClean[Items Sold],tblClean[Date],$A27,tblClean[Include],1)</f>
        <v>268</v>
      </c>
      <c r="G27" s="32">
        <f t="shared" si="1"/>
        <v>9246.9523809523816</v>
      </c>
      <c r="H27" s="32">
        <f>AVERAGE(INDEX($E$6:$E$96,MAX(1,ROW()-ROW($E$6)-5)):E27)</f>
        <v>100784.14285714286</v>
      </c>
    </row>
    <row r="28" spans="1:8" x14ac:dyDescent="0.3">
      <c r="A28" s="28">
        <f t="shared" si="2"/>
        <v>45832</v>
      </c>
      <c r="B28" s="29" t="str">
        <f t="shared" si="0"/>
        <v>Tue</v>
      </c>
      <c r="C28" s="30">
        <f>COUNTIFS(tblClean[Date],$A28,tblClean[Include],1)</f>
        <v>4</v>
      </c>
      <c r="D28" s="31">
        <f>SUMIFS(tblClean[Duration Hours],tblClean[Date],$A28,tblClean[Include],1)</f>
        <v>9</v>
      </c>
      <c r="E28" s="32">
        <f>SUMIFS(tblClean[Attributed GMV PHP],tblClean[Date],$A28,tblClean[Include],1)</f>
        <v>82009</v>
      </c>
      <c r="F28" s="30">
        <f>SUMIFS(tblClean[Items Sold],tblClean[Date],$A28,tblClean[Include],1)</f>
        <v>228</v>
      </c>
      <c r="G28" s="32">
        <f t="shared" si="1"/>
        <v>9112.1111111111113</v>
      </c>
      <c r="H28" s="32">
        <f>AVERAGE(INDEX($E$6:$E$96,MAX(1,ROW()-ROW($E$6)-5)):E28)</f>
        <v>100185.28571428571</v>
      </c>
    </row>
    <row r="29" spans="1:8" x14ac:dyDescent="0.3">
      <c r="A29" s="28">
        <f t="shared" si="2"/>
        <v>45833</v>
      </c>
      <c r="B29" s="29" t="str">
        <f t="shared" si="0"/>
        <v>Wed</v>
      </c>
      <c r="C29" s="30">
        <f>COUNTIFS(tblClean[Date],$A29,tblClean[Include],1)</f>
        <v>5</v>
      </c>
      <c r="D29" s="31">
        <f>SUMIFS(tblClean[Duration Hours],tblClean[Date],$A29,tblClean[Include],1)</f>
        <v>12</v>
      </c>
      <c r="E29" s="32">
        <f>SUMIFS(tblClean[Attributed GMV PHP],tblClean[Date],$A29,tblClean[Include],1)</f>
        <v>70932</v>
      </c>
      <c r="F29" s="30">
        <f>SUMIFS(tblClean[Items Sold],tblClean[Date],$A29,tblClean[Include],1)</f>
        <v>219</v>
      </c>
      <c r="G29" s="32">
        <f t="shared" si="1"/>
        <v>5911</v>
      </c>
      <c r="H29" s="32">
        <f>AVERAGE(INDEX($E$6:$E$96,MAX(1,ROW()-ROW($E$6)-5)):E29)</f>
        <v>97480.142857142855</v>
      </c>
    </row>
    <row r="30" spans="1:8" x14ac:dyDescent="0.3">
      <c r="A30" s="28">
        <f t="shared" si="2"/>
        <v>45834</v>
      </c>
      <c r="B30" s="29" t="str">
        <f t="shared" si="0"/>
        <v>Thu</v>
      </c>
      <c r="C30" s="30">
        <f>COUNTIFS(tblClean[Date],$A30,tblClean[Include],1)</f>
        <v>5</v>
      </c>
      <c r="D30" s="31">
        <f>SUMIFS(tblClean[Duration Hours],tblClean[Date],$A30,tblClean[Include],1)</f>
        <v>12.5</v>
      </c>
      <c r="E30" s="32">
        <f>SUMIFS(tblClean[Attributed GMV PHP],tblClean[Date],$A30,tblClean[Include],1)</f>
        <v>135191</v>
      </c>
      <c r="F30" s="30">
        <f>SUMIFS(tblClean[Items Sold],tblClean[Date],$A30,tblClean[Include],1)</f>
        <v>427</v>
      </c>
      <c r="G30" s="32">
        <f t="shared" si="1"/>
        <v>10815.28</v>
      </c>
      <c r="H30" s="32">
        <f>AVERAGE(INDEX($E$6:$E$96,MAX(1,ROW()-ROW($E$6)-5)):E30)</f>
        <v>109655.85714285714</v>
      </c>
    </row>
    <row r="31" spans="1:8" x14ac:dyDescent="0.3">
      <c r="A31" s="28">
        <f t="shared" si="2"/>
        <v>45835</v>
      </c>
      <c r="B31" s="29" t="str">
        <f t="shared" si="0"/>
        <v>Fri</v>
      </c>
      <c r="C31" s="30">
        <f>COUNTIFS(tblClean[Date],$A31,tblClean[Include],1)</f>
        <v>5</v>
      </c>
      <c r="D31" s="31">
        <f>SUMIFS(tblClean[Duration Hours],tblClean[Date],$A31,tblClean[Include],1)</f>
        <v>11.5</v>
      </c>
      <c r="E31" s="32">
        <f>SUMIFS(tblClean[Attributed GMV PHP],tblClean[Date],$A31,tblClean[Include],1)</f>
        <v>93123</v>
      </c>
      <c r="F31" s="30">
        <f>SUMIFS(tblClean[Items Sold],tblClean[Date],$A31,tblClean[Include],1)</f>
        <v>276</v>
      </c>
      <c r="G31" s="32">
        <f t="shared" si="1"/>
        <v>8097.652173913043</v>
      </c>
      <c r="H31" s="32">
        <f>AVERAGE(INDEX($E$6:$E$96,MAX(1,ROW()-ROW($E$6)-5)):E31)</f>
        <v>105089.42857142857</v>
      </c>
    </row>
    <row r="32" spans="1:8" x14ac:dyDescent="0.3">
      <c r="A32" s="28">
        <f t="shared" si="2"/>
        <v>45836</v>
      </c>
      <c r="B32" s="29" t="str">
        <f t="shared" si="0"/>
        <v>Sat</v>
      </c>
      <c r="C32" s="30">
        <f>COUNTIFS(tblClean[Date],$A32,tblClean[Include],1)</f>
        <v>3</v>
      </c>
      <c r="D32" s="31">
        <f>SUMIFS(tblClean[Duration Hours],tblClean[Date],$A32,tblClean[Include],1)</f>
        <v>8</v>
      </c>
      <c r="E32" s="32">
        <f>SUMIFS(tblClean[Attributed GMV PHP],tblClean[Date],$A32,tblClean[Include],1)</f>
        <v>123110</v>
      </c>
      <c r="F32" s="30">
        <f>SUMIFS(tblClean[Items Sold],tblClean[Date],$A32,tblClean[Include],1)</f>
        <v>358</v>
      </c>
      <c r="G32" s="32">
        <f t="shared" si="1"/>
        <v>15388.75</v>
      </c>
      <c r="H32" s="32">
        <f>AVERAGE(INDEX($E$6:$E$96,MAX(1,ROW()-ROW($E$6)-5)):E32)</f>
        <v>103062.14285714286</v>
      </c>
    </row>
    <row r="33" spans="1:8" x14ac:dyDescent="0.3">
      <c r="A33" s="28">
        <f t="shared" si="2"/>
        <v>45837</v>
      </c>
      <c r="B33" s="29" t="str">
        <f t="shared" si="0"/>
        <v>Sun</v>
      </c>
      <c r="C33" s="30">
        <f>COUNTIFS(tblClean[Date],$A33,tblClean[Include],1)</f>
        <v>5</v>
      </c>
      <c r="D33" s="31">
        <f>SUMIFS(tblClean[Duration Hours],tblClean[Date],$A33,tblClean[Include],1)</f>
        <v>10.5</v>
      </c>
      <c r="E33" s="32">
        <f>SUMIFS(tblClean[Attributed GMV PHP],tblClean[Date],$A33,tblClean[Include],1)</f>
        <v>144839</v>
      </c>
      <c r="F33" s="30">
        <f>SUMIFS(tblClean[Items Sold],tblClean[Date],$A33,tblClean[Include],1)</f>
        <v>431</v>
      </c>
      <c r="G33" s="32">
        <f t="shared" si="1"/>
        <v>13794.190476190477</v>
      </c>
      <c r="H33" s="32">
        <f>AVERAGE(INDEX($E$6:$E$96,MAX(1,ROW()-ROW($E$6)-5)):E33)</f>
        <v>106613.85714285714</v>
      </c>
    </row>
    <row r="34" spans="1:8" x14ac:dyDescent="0.3">
      <c r="A34" s="28">
        <f t="shared" si="2"/>
        <v>45838</v>
      </c>
      <c r="B34" s="29" t="str">
        <f t="shared" si="0"/>
        <v>Mon</v>
      </c>
      <c r="C34" s="30">
        <f>COUNTIFS(tblClean[Date],$A34,tblClean[Include],1)</f>
        <v>3</v>
      </c>
      <c r="D34" s="31">
        <f>SUMIFS(tblClean[Duration Hours],tblClean[Date],$A34,tblClean[Include],1)</f>
        <v>6</v>
      </c>
      <c r="E34" s="32">
        <f>SUMIFS(tblClean[Attributed GMV PHP],tblClean[Date],$A34,tblClean[Include],1)</f>
        <v>109326</v>
      </c>
      <c r="F34" s="30">
        <f>SUMIFS(tblClean[Items Sold],tblClean[Date],$A34,tblClean[Include],1)</f>
        <v>328</v>
      </c>
      <c r="G34" s="32">
        <f t="shared" si="1"/>
        <v>18221</v>
      </c>
      <c r="H34" s="32">
        <f>AVERAGE(INDEX($E$6:$E$96,MAX(1,ROW()-ROW($E$6)-5)):E34)</f>
        <v>108361.42857142857</v>
      </c>
    </row>
    <row r="35" spans="1:8" x14ac:dyDescent="0.3">
      <c r="A35" s="28">
        <f t="shared" si="2"/>
        <v>45839</v>
      </c>
      <c r="B35" s="29" t="str">
        <f t="shared" si="0"/>
        <v>Tue</v>
      </c>
      <c r="C35" s="30">
        <f>COUNTIFS(tblClean[Date],$A35,tblClean[Include],1)</f>
        <v>4</v>
      </c>
      <c r="D35" s="31">
        <f>SUMIFS(tblClean[Duration Hours],tblClean[Date],$A35,tblClean[Include],1)</f>
        <v>9</v>
      </c>
      <c r="E35" s="32">
        <f>SUMIFS(tblClean[Attributed GMV PHP],tblClean[Date],$A35,tblClean[Include],1)</f>
        <v>98862</v>
      </c>
      <c r="F35" s="30">
        <f>SUMIFS(tblClean[Items Sold],tblClean[Date],$A35,tblClean[Include],1)</f>
        <v>279</v>
      </c>
      <c r="G35" s="32">
        <f t="shared" si="1"/>
        <v>10984.666666666666</v>
      </c>
      <c r="H35" s="32">
        <f>AVERAGE(INDEX($E$6:$E$96,MAX(1,ROW()-ROW($E$6)-5)):E35)</f>
        <v>110769</v>
      </c>
    </row>
    <row r="36" spans="1:8" x14ac:dyDescent="0.3">
      <c r="A36" s="28">
        <f t="shared" si="2"/>
        <v>45840</v>
      </c>
      <c r="B36" s="29" t="str">
        <f t="shared" si="0"/>
        <v>Wed</v>
      </c>
      <c r="C36" s="30">
        <f>COUNTIFS(tblClean[Date],$A36,tblClean[Include],1)</f>
        <v>5</v>
      </c>
      <c r="D36" s="31">
        <f>SUMIFS(tblClean[Duration Hours],tblClean[Date],$A36,tblClean[Include],1)</f>
        <v>11.5</v>
      </c>
      <c r="E36" s="32">
        <f>SUMIFS(tblClean[Attributed GMV PHP],tblClean[Date],$A36,tblClean[Include],1)</f>
        <v>184090</v>
      </c>
      <c r="F36" s="30">
        <f>SUMIFS(tblClean[Items Sold],tblClean[Date],$A36,tblClean[Include],1)</f>
        <v>596</v>
      </c>
      <c r="G36" s="32">
        <f t="shared" si="1"/>
        <v>16007.826086956522</v>
      </c>
      <c r="H36" s="32">
        <f>AVERAGE(INDEX($E$6:$E$96,MAX(1,ROW()-ROW($E$6)-5)):E36)</f>
        <v>126934.42857142857</v>
      </c>
    </row>
    <row r="37" spans="1:8" x14ac:dyDescent="0.3">
      <c r="A37" s="28">
        <f t="shared" si="2"/>
        <v>45841</v>
      </c>
      <c r="B37" s="29" t="str">
        <f t="shared" si="0"/>
        <v>Thu</v>
      </c>
      <c r="C37" s="30">
        <f>COUNTIFS(tblClean[Date],$A37,tblClean[Include],1)</f>
        <v>3</v>
      </c>
      <c r="D37" s="31">
        <f>SUMIFS(tblClean[Duration Hours],tblClean[Date],$A37,tblClean[Include],1)</f>
        <v>6.5</v>
      </c>
      <c r="E37" s="32">
        <f>SUMIFS(tblClean[Attributed GMV PHP],tblClean[Date],$A37,tblClean[Include],1)</f>
        <v>80679</v>
      </c>
      <c r="F37" s="30">
        <f>SUMIFS(tblClean[Items Sold],tblClean[Date],$A37,tblClean[Include],1)</f>
        <v>234</v>
      </c>
      <c r="G37" s="32">
        <f t="shared" si="1"/>
        <v>12412.153846153846</v>
      </c>
      <c r="H37" s="32">
        <f>AVERAGE(INDEX($E$6:$E$96,MAX(1,ROW()-ROW($E$6)-5)):E37)</f>
        <v>119147</v>
      </c>
    </row>
    <row r="38" spans="1:8" x14ac:dyDescent="0.3">
      <c r="A38" s="28">
        <f t="shared" si="2"/>
        <v>45842</v>
      </c>
      <c r="B38" s="29" t="str">
        <f t="shared" ref="B38:B69" si="3">CHOOSE(WEEKDAY(A38,2),"Mon","Tue","Wed","Thu","Fri","Sat","Sun")</f>
        <v>Fri</v>
      </c>
      <c r="C38" s="30">
        <f>COUNTIFS(tblClean[Date],$A38,tblClean[Include],1)</f>
        <v>5</v>
      </c>
      <c r="D38" s="31">
        <f>SUMIFS(tblClean[Duration Hours],tblClean[Date],$A38,tblClean[Include],1)</f>
        <v>12.5</v>
      </c>
      <c r="E38" s="32">
        <f>SUMIFS(tblClean[Attributed GMV PHP],tblClean[Date],$A38,tblClean[Include],1)</f>
        <v>179125</v>
      </c>
      <c r="F38" s="30">
        <f>SUMIFS(tblClean[Items Sold],tblClean[Date],$A38,tblClean[Include],1)</f>
        <v>499</v>
      </c>
      <c r="G38" s="32">
        <f t="shared" ref="G38:G69" si="4">IF(D38&gt;0,E38/D38,"n/a")</f>
        <v>14330</v>
      </c>
      <c r="H38" s="32">
        <f>AVERAGE(INDEX($E$6:$E$96,MAX(1,ROW()-ROW($E$6)-5)):E38)</f>
        <v>131433</v>
      </c>
    </row>
    <row r="39" spans="1:8" x14ac:dyDescent="0.3">
      <c r="A39" s="28">
        <f t="shared" ref="A39:A70" si="5">A38+1</f>
        <v>45843</v>
      </c>
      <c r="B39" s="29" t="str">
        <f t="shared" si="3"/>
        <v>Sat</v>
      </c>
      <c r="C39" s="30">
        <f>COUNTIFS(tblClean[Date],$A39,tblClean[Include],1)</f>
        <v>4</v>
      </c>
      <c r="D39" s="31">
        <f>SUMIFS(tblClean[Duration Hours],tblClean[Date],$A39,tblClean[Include],1)</f>
        <v>9</v>
      </c>
      <c r="E39" s="32">
        <f>SUMIFS(tblClean[Attributed GMV PHP],tblClean[Date],$A39,tblClean[Include],1)</f>
        <v>91802</v>
      </c>
      <c r="F39" s="30">
        <f>SUMIFS(tblClean[Items Sold],tblClean[Date],$A39,tblClean[Include],1)</f>
        <v>273</v>
      </c>
      <c r="G39" s="32">
        <f t="shared" si="4"/>
        <v>10200.222222222223</v>
      </c>
      <c r="H39" s="32">
        <f>AVERAGE(INDEX($E$6:$E$96,MAX(1,ROW()-ROW($E$6)-5)):E39)</f>
        <v>126960.42857142857</v>
      </c>
    </row>
    <row r="40" spans="1:8" x14ac:dyDescent="0.3">
      <c r="A40" s="28">
        <f t="shared" si="5"/>
        <v>45844</v>
      </c>
      <c r="B40" s="29" t="str">
        <f t="shared" si="3"/>
        <v>Sun</v>
      </c>
      <c r="C40" s="30">
        <f>COUNTIFS(tblClean[Date],$A40,tblClean[Include],1)</f>
        <v>4</v>
      </c>
      <c r="D40" s="31">
        <f>SUMIFS(tblClean[Duration Hours],tblClean[Date],$A40,tblClean[Include],1)</f>
        <v>10.5</v>
      </c>
      <c r="E40" s="32">
        <f>SUMIFS(tblClean[Attributed GMV PHP],tblClean[Date],$A40,tblClean[Include],1)</f>
        <v>164266</v>
      </c>
      <c r="F40" s="30">
        <f>SUMIFS(tblClean[Items Sold],tblClean[Date],$A40,tblClean[Include],1)</f>
        <v>541</v>
      </c>
      <c r="G40" s="32">
        <f t="shared" si="4"/>
        <v>15644.380952380952</v>
      </c>
      <c r="H40" s="32">
        <f>AVERAGE(INDEX($E$6:$E$96,MAX(1,ROW()-ROW($E$6)-5)):E40)</f>
        <v>129735.71428571429</v>
      </c>
    </row>
    <row r="41" spans="1:8" x14ac:dyDescent="0.3">
      <c r="A41" s="28">
        <f t="shared" si="5"/>
        <v>45845</v>
      </c>
      <c r="B41" s="29" t="str">
        <f t="shared" si="3"/>
        <v>Mon</v>
      </c>
      <c r="C41" s="30">
        <f>COUNTIFS(tblClean[Date],$A41,tblClean[Include],1)</f>
        <v>4</v>
      </c>
      <c r="D41" s="31">
        <f>SUMIFS(tblClean[Duration Hours],tblClean[Date],$A41,tblClean[Include],1)</f>
        <v>9</v>
      </c>
      <c r="E41" s="32">
        <f>SUMIFS(tblClean[Attributed GMV PHP],tblClean[Date],$A41,tblClean[Include],1)</f>
        <v>109870</v>
      </c>
      <c r="F41" s="30">
        <f>SUMIFS(tblClean[Items Sold],tblClean[Date],$A41,tblClean[Include],1)</f>
        <v>317</v>
      </c>
      <c r="G41" s="32">
        <f t="shared" si="4"/>
        <v>12207.777777777777</v>
      </c>
      <c r="H41" s="32">
        <f>AVERAGE(INDEX($E$6:$E$96,MAX(1,ROW()-ROW($E$6)-5)):E41)</f>
        <v>129813.42857142857</v>
      </c>
    </row>
    <row r="42" spans="1:8" x14ac:dyDescent="0.3">
      <c r="A42" s="28">
        <f t="shared" si="5"/>
        <v>45846</v>
      </c>
      <c r="B42" s="29" t="str">
        <f t="shared" si="3"/>
        <v>Tue</v>
      </c>
      <c r="C42" s="30">
        <f>COUNTIFS(tblClean[Date],$A42,tblClean[Include],1)</f>
        <v>4</v>
      </c>
      <c r="D42" s="31">
        <f>SUMIFS(tblClean[Duration Hours],tblClean[Date],$A42,tblClean[Include],1)</f>
        <v>9.5</v>
      </c>
      <c r="E42" s="32">
        <f>SUMIFS(tblClean[Attributed GMV PHP],tblClean[Date],$A42,tblClean[Include],1)</f>
        <v>119919</v>
      </c>
      <c r="F42" s="30">
        <f>SUMIFS(tblClean[Items Sold],tblClean[Date],$A42,tblClean[Include],1)</f>
        <v>372</v>
      </c>
      <c r="G42" s="32">
        <f t="shared" si="4"/>
        <v>12623.052631578947</v>
      </c>
      <c r="H42" s="32">
        <f>AVERAGE(INDEX($E$6:$E$96,MAX(1,ROW()-ROW($E$6)-5)):E42)</f>
        <v>132821.57142857142</v>
      </c>
    </row>
    <row r="43" spans="1:8" x14ac:dyDescent="0.3">
      <c r="A43" s="28">
        <f t="shared" si="5"/>
        <v>45847</v>
      </c>
      <c r="B43" s="29" t="str">
        <f t="shared" si="3"/>
        <v>Wed</v>
      </c>
      <c r="C43" s="30">
        <f>COUNTIFS(tblClean[Date],$A43,tblClean[Include],1)</f>
        <v>5</v>
      </c>
      <c r="D43" s="31">
        <f>SUMIFS(tblClean[Duration Hours],tblClean[Date],$A43,tblClean[Include],1)</f>
        <v>11</v>
      </c>
      <c r="E43" s="32">
        <f>SUMIFS(tblClean[Attributed GMV PHP],tblClean[Date],$A43,tblClean[Include],1)</f>
        <v>88477</v>
      </c>
      <c r="F43" s="30">
        <f>SUMIFS(tblClean[Items Sold],tblClean[Date],$A43,tblClean[Include],1)</f>
        <v>273</v>
      </c>
      <c r="G43" s="32">
        <f t="shared" si="4"/>
        <v>8043.363636363636</v>
      </c>
      <c r="H43" s="32">
        <f>AVERAGE(INDEX($E$6:$E$96,MAX(1,ROW()-ROW($E$6)-5)):E43)</f>
        <v>119162.57142857143</v>
      </c>
    </row>
    <row r="44" spans="1:8" x14ac:dyDescent="0.3">
      <c r="A44" s="28">
        <f t="shared" si="5"/>
        <v>45848</v>
      </c>
      <c r="B44" s="29" t="str">
        <f t="shared" si="3"/>
        <v>Thu</v>
      </c>
      <c r="C44" s="30">
        <f>COUNTIFS(tblClean[Date],$A44,tblClean[Include],1)</f>
        <v>4</v>
      </c>
      <c r="D44" s="31">
        <f>SUMIFS(tblClean[Duration Hours],tblClean[Date],$A44,tblClean[Include],1)</f>
        <v>9.5</v>
      </c>
      <c r="E44" s="32">
        <f>SUMIFS(tblClean[Attributed GMV PHP],tblClean[Date],$A44,tblClean[Include],1)</f>
        <v>124376</v>
      </c>
      <c r="F44" s="30">
        <f>SUMIFS(tblClean[Items Sold],tblClean[Date],$A44,tblClean[Include],1)</f>
        <v>346</v>
      </c>
      <c r="G44" s="32">
        <f t="shared" si="4"/>
        <v>13092.21052631579</v>
      </c>
      <c r="H44" s="32">
        <f>AVERAGE(INDEX($E$6:$E$96,MAX(1,ROW()-ROW($E$6)-5)):E44)</f>
        <v>125405</v>
      </c>
    </row>
    <row r="45" spans="1:8" x14ac:dyDescent="0.3">
      <c r="A45" s="28">
        <f t="shared" si="5"/>
        <v>45849</v>
      </c>
      <c r="B45" s="29" t="str">
        <f t="shared" si="3"/>
        <v>Fri</v>
      </c>
      <c r="C45" s="30">
        <f>COUNTIFS(tblClean[Date],$A45,tblClean[Include],1)</f>
        <v>2</v>
      </c>
      <c r="D45" s="31">
        <f>SUMIFS(tblClean[Duration Hours],tblClean[Date],$A45,tblClean[Include],1)</f>
        <v>4.5</v>
      </c>
      <c r="E45" s="32">
        <f>SUMIFS(tblClean[Attributed GMV PHP],tblClean[Date],$A45,tblClean[Include],1)</f>
        <v>113912</v>
      </c>
      <c r="F45" s="30">
        <f>SUMIFS(tblClean[Items Sold],tblClean[Date],$A45,tblClean[Include],1)</f>
        <v>384</v>
      </c>
      <c r="G45" s="32">
        <f t="shared" si="4"/>
        <v>25313.777777777777</v>
      </c>
      <c r="H45" s="32">
        <f>AVERAGE(INDEX($E$6:$E$96,MAX(1,ROW()-ROW($E$6)-5)):E45)</f>
        <v>116088.85714285714</v>
      </c>
    </row>
    <row r="46" spans="1:8" x14ac:dyDescent="0.3">
      <c r="A46" s="28">
        <f t="shared" si="5"/>
        <v>45850</v>
      </c>
      <c r="B46" s="29" t="str">
        <f t="shared" si="3"/>
        <v>Sat</v>
      </c>
      <c r="C46" s="30">
        <f>COUNTIFS(tblClean[Date],$A46,tblClean[Include],1)</f>
        <v>4</v>
      </c>
      <c r="D46" s="31">
        <f>SUMIFS(tblClean[Duration Hours],tblClean[Date],$A46,tblClean[Include],1)</f>
        <v>9.5</v>
      </c>
      <c r="E46" s="32">
        <f>SUMIFS(tblClean[Attributed GMV PHP],tblClean[Date],$A46,tblClean[Include],1)</f>
        <v>168737</v>
      </c>
      <c r="F46" s="30">
        <f>SUMIFS(tblClean[Items Sold],tblClean[Date],$A46,tblClean[Include],1)</f>
        <v>482</v>
      </c>
      <c r="G46" s="32">
        <f t="shared" si="4"/>
        <v>17761.78947368421</v>
      </c>
      <c r="H46" s="32">
        <f>AVERAGE(INDEX($E$6:$E$96,MAX(1,ROW()-ROW($E$6)-5)):E46)</f>
        <v>127079.57142857143</v>
      </c>
    </row>
    <row r="47" spans="1:8" x14ac:dyDescent="0.3">
      <c r="A47" s="28">
        <f t="shared" si="5"/>
        <v>45851</v>
      </c>
      <c r="B47" s="29" t="str">
        <f t="shared" si="3"/>
        <v>Sun</v>
      </c>
      <c r="C47" s="30">
        <f>COUNTIFS(tblClean[Date],$A47,tblClean[Include],1)</f>
        <v>5</v>
      </c>
      <c r="D47" s="31">
        <f>SUMIFS(tblClean[Duration Hours],tblClean[Date],$A47,tblClean[Include],1)</f>
        <v>13.5</v>
      </c>
      <c r="E47" s="32">
        <f>SUMIFS(tblClean[Attributed GMV PHP],tblClean[Date],$A47,tblClean[Include],1)</f>
        <v>195264</v>
      </c>
      <c r="F47" s="30">
        <f>SUMIFS(tblClean[Items Sold],tblClean[Date],$A47,tblClean[Include],1)</f>
        <v>552</v>
      </c>
      <c r="G47" s="32">
        <f t="shared" si="4"/>
        <v>14464</v>
      </c>
      <c r="H47" s="32">
        <f>AVERAGE(INDEX($E$6:$E$96,MAX(1,ROW()-ROW($E$6)-5)):E47)</f>
        <v>131507.85714285713</v>
      </c>
    </row>
    <row r="48" spans="1:8" x14ac:dyDescent="0.3">
      <c r="A48" s="28">
        <f t="shared" si="5"/>
        <v>45852</v>
      </c>
      <c r="B48" s="29" t="str">
        <f t="shared" si="3"/>
        <v>Mon</v>
      </c>
      <c r="C48" s="30">
        <f>COUNTIFS(tblClean[Date],$A48,tblClean[Include],1)</f>
        <v>3</v>
      </c>
      <c r="D48" s="31">
        <f>SUMIFS(tblClean[Duration Hours],tblClean[Date],$A48,tblClean[Include],1)</f>
        <v>6</v>
      </c>
      <c r="E48" s="32">
        <f>SUMIFS(tblClean[Attributed GMV PHP],tblClean[Date],$A48,tblClean[Include],1)</f>
        <v>65085</v>
      </c>
      <c r="F48" s="30">
        <f>SUMIFS(tblClean[Items Sold],tblClean[Date],$A48,tblClean[Include],1)</f>
        <v>172</v>
      </c>
      <c r="G48" s="32">
        <f t="shared" si="4"/>
        <v>10847.5</v>
      </c>
      <c r="H48" s="32">
        <f>AVERAGE(INDEX($E$6:$E$96,MAX(1,ROW()-ROW($E$6)-5)):E48)</f>
        <v>125110</v>
      </c>
    </row>
    <row r="49" spans="1:8" x14ac:dyDescent="0.3">
      <c r="A49" s="28">
        <f t="shared" si="5"/>
        <v>45853</v>
      </c>
      <c r="B49" s="29" t="str">
        <f t="shared" si="3"/>
        <v>Tue</v>
      </c>
      <c r="C49" s="30">
        <f>COUNTIFS(tblClean[Date],$A49,tblClean[Include],1)</f>
        <v>4</v>
      </c>
      <c r="D49" s="31">
        <f>SUMIFS(tblClean[Duration Hours],tblClean[Date],$A49,tblClean[Include],1)</f>
        <v>8.5</v>
      </c>
      <c r="E49" s="32">
        <f>SUMIFS(tblClean[Attributed GMV PHP],tblClean[Date],$A49,tblClean[Include],1)</f>
        <v>83715</v>
      </c>
      <c r="F49" s="30">
        <f>SUMIFS(tblClean[Items Sold],tblClean[Date],$A49,tblClean[Include],1)</f>
        <v>247</v>
      </c>
      <c r="G49" s="32">
        <f t="shared" si="4"/>
        <v>9848.823529411764</v>
      </c>
      <c r="H49" s="32">
        <f>AVERAGE(INDEX($E$6:$E$96,MAX(1,ROW()-ROW($E$6)-5)):E49)</f>
        <v>119938</v>
      </c>
    </row>
    <row r="50" spans="1:8" x14ac:dyDescent="0.3">
      <c r="A50" s="28">
        <f t="shared" si="5"/>
        <v>45854</v>
      </c>
      <c r="B50" s="29" t="str">
        <f t="shared" si="3"/>
        <v>Wed</v>
      </c>
      <c r="C50" s="30">
        <f>COUNTIFS(tblClean[Date],$A50,tblClean[Include],1)</f>
        <v>3</v>
      </c>
      <c r="D50" s="31">
        <f>SUMIFS(tblClean[Duration Hours],tblClean[Date],$A50,tblClean[Include],1)</f>
        <v>8</v>
      </c>
      <c r="E50" s="32">
        <f>SUMIFS(tblClean[Attributed GMV PHP],tblClean[Date],$A50,tblClean[Include],1)</f>
        <v>80220</v>
      </c>
      <c r="F50" s="30">
        <f>SUMIFS(tblClean[Items Sold],tblClean[Date],$A50,tblClean[Include],1)</f>
        <v>241</v>
      </c>
      <c r="G50" s="32">
        <f t="shared" si="4"/>
        <v>10027.5</v>
      </c>
      <c r="H50" s="32">
        <f>AVERAGE(INDEX($E$6:$E$96,MAX(1,ROW()-ROW($E$6)-5)):E50)</f>
        <v>118758.42857142857</v>
      </c>
    </row>
    <row r="51" spans="1:8" x14ac:dyDescent="0.3">
      <c r="A51" s="28">
        <f t="shared" si="5"/>
        <v>45855</v>
      </c>
      <c r="B51" s="29" t="str">
        <f t="shared" si="3"/>
        <v>Thu</v>
      </c>
      <c r="C51" s="30">
        <f>COUNTIFS(tblClean[Date],$A51,tblClean[Include],1)</f>
        <v>4</v>
      </c>
      <c r="D51" s="31">
        <f>SUMIFS(tblClean[Duration Hours],tblClean[Date],$A51,tblClean[Include],1)</f>
        <v>9</v>
      </c>
      <c r="E51" s="32">
        <f>SUMIFS(tblClean[Attributed GMV PHP],tblClean[Date],$A51,tblClean[Include],1)</f>
        <v>145945</v>
      </c>
      <c r="F51" s="30">
        <f>SUMIFS(tblClean[Items Sold],tblClean[Date],$A51,tblClean[Include],1)</f>
        <v>422</v>
      </c>
      <c r="G51" s="32">
        <f t="shared" si="4"/>
        <v>16216.111111111111</v>
      </c>
      <c r="H51" s="32">
        <f>AVERAGE(INDEX($E$6:$E$96,MAX(1,ROW()-ROW($E$6)-5)):E51)</f>
        <v>121839.71428571429</v>
      </c>
    </row>
    <row r="52" spans="1:8" x14ac:dyDescent="0.3">
      <c r="A52" s="28">
        <f t="shared" si="5"/>
        <v>45856</v>
      </c>
      <c r="B52" s="29" t="str">
        <f t="shared" si="3"/>
        <v>Fri</v>
      </c>
      <c r="C52" s="30">
        <f>COUNTIFS(tblClean[Date],$A52,tblClean[Include],1)</f>
        <v>5</v>
      </c>
      <c r="D52" s="31">
        <f>SUMIFS(tblClean[Duration Hours],tblClean[Date],$A52,tblClean[Include],1)</f>
        <v>13</v>
      </c>
      <c r="E52" s="32">
        <f>SUMIFS(tblClean[Attributed GMV PHP],tblClean[Date],$A52,tblClean[Include],1)</f>
        <v>147369</v>
      </c>
      <c r="F52" s="30">
        <f>SUMIFS(tblClean[Items Sold],tblClean[Date],$A52,tblClean[Include],1)</f>
        <v>435</v>
      </c>
      <c r="G52" s="32">
        <f t="shared" si="4"/>
        <v>11336.076923076924</v>
      </c>
      <c r="H52" s="32">
        <f>AVERAGE(INDEX($E$6:$E$96,MAX(1,ROW()-ROW($E$6)-5)):E52)</f>
        <v>126619.28571428571</v>
      </c>
    </row>
    <row r="53" spans="1:8" x14ac:dyDescent="0.3">
      <c r="A53" s="28">
        <f t="shared" si="5"/>
        <v>45857</v>
      </c>
      <c r="B53" s="29" t="str">
        <f t="shared" si="3"/>
        <v>Sat</v>
      </c>
      <c r="C53" s="30">
        <f>COUNTIFS(tblClean[Date],$A53,tblClean[Include],1)</f>
        <v>3</v>
      </c>
      <c r="D53" s="31">
        <f>SUMIFS(tblClean[Duration Hours],tblClean[Date],$A53,tblClean[Include],1)</f>
        <v>6</v>
      </c>
      <c r="E53" s="32">
        <f>SUMIFS(tblClean[Attributed GMV PHP],tblClean[Date],$A53,tblClean[Include],1)</f>
        <v>111755</v>
      </c>
      <c r="F53" s="30">
        <f>SUMIFS(tblClean[Items Sold],tblClean[Date],$A53,tblClean[Include],1)</f>
        <v>329</v>
      </c>
      <c r="G53" s="32">
        <f t="shared" si="4"/>
        <v>18625.833333333332</v>
      </c>
      <c r="H53" s="32">
        <f>AVERAGE(INDEX($E$6:$E$96,MAX(1,ROW()-ROW($E$6)-5)):E53)</f>
        <v>118479</v>
      </c>
    </row>
    <row r="54" spans="1:8" x14ac:dyDescent="0.3">
      <c r="A54" s="28">
        <f t="shared" si="5"/>
        <v>45858</v>
      </c>
      <c r="B54" s="29" t="str">
        <f t="shared" si="3"/>
        <v>Sun</v>
      </c>
      <c r="C54" s="30">
        <f>COUNTIFS(tblClean[Date],$A54,tblClean[Include],1)</f>
        <v>3</v>
      </c>
      <c r="D54" s="31">
        <f>SUMIFS(tblClean[Duration Hours],tblClean[Date],$A54,tblClean[Include],1)</f>
        <v>7.5</v>
      </c>
      <c r="E54" s="32">
        <f>SUMIFS(tblClean[Attributed GMV PHP],tblClean[Date],$A54,tblClean[Include],1)</f>
        <v>210982</v>
      </c>
      <c r="F54" s="30">
        <f>SUMIFS(tblClean[Items Sold],tblClean[Date],$A54,tblClean[Include],1)</f>
        <v>660</v>
      </c>
      <c r="G54" s="32">
        <f t="shared" si="4"/>
        <v>28130.933333333334</v>
      </c>
      <c r="H54" s="32">
        <f>AVERAGE(INDEX($E$6:$E$96,MAX(1,ROW()-ROW($E$6)-5)):E54)</f>
        <v>120724.42857142857</v>
      </c>
    </row>
    <row r="55" spans="1:8" x14ac:dyDescent="0.3">
      <c r="A55" s="28">
        <f t="shared" si="5"/>
        <v>45859</v>
      </c>
      <c r="B55" s="29" t="str">
        <f t="shared" si="3"/>
        <v>Mon</v>
      </c>
      <c r="C55" s="30">
        <f>COUNTIFS(tblClean[Date],$A55,tblClean[Include],1)</f>
        <v>5</v>
      </c>
      <c r="D55" s="31">
        <f>SUMIFS(tblClean[Duration Hours],tblClean[Date],$A55,tblClean[Include],1)</f>
        <v>10</v>
      </c>
      <c r="E55" s="32">
        <f>SUMIFS(tblClean[Attributed GMV PHP],tblClean[Date],$A55,tblClean[Include],1)</f>
        <v>89982</v>
      </c>
      <c r="F55" s="30">
        <f>SUMIFS(tblClean[Items Sold],tblClean[Date],$A55,tblClean[Include],1)</f>
        <v>266</v>
      </c>
      <c r="G55" s="32">
        <f t="shared" si="4"/>
        <v>8998.2000000000007</v>
      </c>
      <c r="H55" s="32">
        <f>AVERAGE(INDEX($E$6:$E$96,MAX(1,ROW()-ROW($E$6)-5)):E55)</f>
        <v>124281.14285714286</v>
      </c>
    </row>
    <row r="56" spans="1:8" x14ac:dyDescent="0.3">
      <c r="A56" s="28">
        <f t="shared" si="5"/>
        <v>45860</v>
      </c>
      <c r="B56" s="29" t="str">
        <f t="shared" si="3"/>
        <v>Tue</v>
      </c>
      <c r="C56" s="30">
        <f>COUNTIFS(tblClean[Date],$A56,tblClean[Include],1)</f>
        <v>4</v>
      </c>
      <c r="D56" s="31">
        <f>SUMIFS(tblClean[Duration Hours],tblClean[Date],$A56,tblClean[Include],1)</f>
        <v>8.5</v>
      </c>
      <c r="E56" s="32">
        <f>SUMIFS(tblClean[Attributed GMV PHP],tblClean[Date],$A56,tblClean[Include],1)</f>
        <v>56763</v>
      </c>
      <c r="F56" s="30">
        <f>SUMIFS(tblClean[Items Sold],tblClean[Date],$A56,tblClean[Include],1)</f>
        <v>168</v>
      </c>
      <c r="G56" s="32">
        <f t="shared" si="4"/>
        <v>6678</v>
      </c>
      <c r="H56" s="32">
        <f>AVERAGE(INDEX($E$6:$E$96,MAX(1,ROW()-ROW($E$6)-5)):E56)</f>
        <v>120430.85714285714</v>
      </c>
    </row>
    <row r="57" spans="1:8" x14ac:dyDescent="0.3">
      <c r="A57" s="28">
        <f t="shared" si="5"/>
        <v>45861</v>
      </c>
      <c r="B57" s="29" t="str">
        <f t="shared" si="3"/>
        <v>Wed</v>
      </c>
      <c r="C57" s="30">
        <f>COUNTIFS(tblClean[Date],$A57,tblClean[Include],1)</f>
        <v>5</v>
      </c>
      <c r="D57" s="31">
        <f>SUMIFS(tblClean[Duration Hours],tblClean[Date],$A57,tblClean[Include],1)</f>
        <v>12.5</v>
      </c>
      <c r="E57" s="32">
        <f>SUMIFS(tblClean[Attributed GMV PHP],tblClean[Date],$A57,tblClean[Include],1)</f>
        <v>101745</v>
      </c>
      <c r="F57" s="30">
        <f>SUMIFS(tblClean[Items Sold],tblClean[Date],$A57,tblClean[Include],1)</f>
        <v>296</v>
      </c>
      <c r="G57" s="32">
        <f t="shared" si="4"/>
        <v>8139.6</v>
      </c>
      <c r="H57" s="32">
        <f>AVERAGE(INDEX($E$6:$E$96,MAX(1,ROW()-ROW($E$6)-5)):E57)</f>
        <v>123505.85714285714</v>
      </c>
    </row>
    <row r="58" spans="1:8" x14ac:dyDescent="0.3">
      <c r="A58" s="28">
        <f t="shared" si="5"/>
        <v>45862</v>
      </c>
      <c r="B58" s="29" t="str">
        <f t="shared" si="3"/>
        <v>Thu</v>
      </c>
      <c r="C58" s="30">
        <f>COUNTIFS(tblClean[Date],$A58,tblClean[Include],1)</f>
        <v>4</v>
      </c>
      <c r="D58" s="31">
        <f>SUMIFS(tblClean[Duration Hours],tblClean[Date],$A58,tblClean[Include],1)</f>
        <v>9.5</v>
      </c>
      <c r="E58" s="32">
        <f>SUMIFS(tblClean[Attributed GMV PHP],tblClean[Date],$A58,tblClean[Include],1)</f>
        <v>163106</v>
      </c>
      <c r="F58" s="30">
        <f>SUMIFS(tblClean[Items Sold],tblClean[Date],$A58,tblClean[Include],1)</f>
        <v>490</v>
      </c>
      <c r="G58" s="32">
        <f t="shared" si="4"/>
        <v>17169.052631578947</v>
      </c>
      <c r="H58" s="32">
        <f>AVERAGE(INDEX($E$6:$E$96,MAX(1,ROW()-ROW($E$6)-5)):E58)</f>
        <v>125957.42857142857</v>
      </c>
    </row>
    <row r="59" spans="1:8" x14ac:dyDescent="0.3">
      <c r="A59" s="28">
        <f t="shared" si="5"/>
        <v>45863</v>
      </c>
      <c r="B59" s="29" t="str">
        <f t="shared" si="3"/>
        <v>Fri</v>
      </c>
      <c r="C59" s="30">
        <f>COUNTIFS(tblClean[Date],$A59,tblClean[Include],1)</f>
        <v>5</v>
      </c>
      <c r="D59" s="31">
        <f>SUMIFS(tblClean[Duration Hours],tblClean[Date],$A59,tblClean[Include],1)</f>
        <v>13</v>
      </c>
      <c r="E59" s="32">
        <f>SUMIFS(tblClean[Attributed GMV PHP],tblClean[Date],$A59,tblClean[Include],1)</f>
        <v>149585</v>
      </c>
      <c r="F59" s="30">
        <f>SUMIFS(tblClean[Items Sold],tblClean[Date],$A59,tblClean[Include],1)</f>
        <v>424</v>
      </c>
      <c r="G59" s="32">
        <f t="shared" si="4"/>
        <v>11506.538461538461</v>
      </c>
      <c r="H59" s="32">
        <f>AVERAGE(INDEX($E$6:$E$96,MAX(1,ROW()-ROW($E$6)-5)):E59)</f>
        <v>126274</v>
      </c>
    </row>
    <row r="60" spans="1:8" x14ac:dyDescent="0.3">
      <c r="A60" s="28">
        <f t="shared" si="5"/>
        <v>45864</v>
      </c>
      <c r="B60" s="29" t="str">
        <f t="shared" si="3"/>
        <v>Sat</v>
      </c>
      <c r="C60" s="30">
        <f>COUNTIFS(tblClean[Date],$A60,tblClean[Include],1)</f>
        <v>4</v>
      </c>
      <c r="D60" s="31">
        <f>SUMIFS(tblClean[Duration Hours],tblClean[Date],$A60,tblClean[Include],1)</f>
        <v>8.5</v>
      </c>
      <c r="E60" s="32">
        <f>SUMIFS(tblClean[Attributed GMV PHP],tblClean[Date],$A60,tblClean[Include],1)</f>
        <v>106730</v>
      </c>
      <c r="F60" s="30">
        <f>SUMIFS(tblClean[Items Sold],tblClean[Date],$A60,tblClean[Include],1)</f>
        <v>343</v>
      </c>
      <c r="G60" s="32">
        <f t="shared" si="4"/>
        <v>12556.470588235294</v>
      </c>
      <c r="H60" s="32">
        <f>AVERAGE(INDEX($E$6:$E$96,MAX(1,ROW()-ROW($E$6)-5)):E60)</f>
        <v>125556.14285714286</v>
      </c>
    </row>
    <row r="61" spans="1:8" x14ac:dyDescent="0.3">
      <c r="A61" s="28">
        <f t="shared" si="5"/>
        <v>45865</v>
      </c>
      <c r="B61" s="29" t="str">
        <f t="shared" si="3"/>
        <v>Sun</v>
      </c>
      <c r="C61" s="30">
        <f>COUNTIFS(tblClean[Date],$A61,tblClean[Include],1)</f>
        <v>5</v>
      </c>
      <c r="D61" s="31">
        <f>SUMIFS(tblClean[Duration Hours],tblClean[Date],$A61,tblClean[Include],1)</f>
        <v>12.5</v>
      </c>
      <c r="E61" s="32">
        <f>SUMIFS(tblClean[Attributed GMV PHP],tblClean[Date],$A61,tblClean[Include],1)</f>
        <v>122907</v>
      </c>
      <c r="F61" s="30">
        <f>SUMIFS(tblClean[Items Sold],tblClean[Date],$A61,tblClean[Include],1)</f>
        <v>383</v>
      </c>
      <c r="G61" s="32">
        <f t="shared" si="4"/>
        <v>9832.56</v>
      </c>
      <c r="H61" s="32">
        <f>AVERAGE(INDEX($E$6:$E$96,MAX(1,ROW()-ROW($E$6)-5)):E61)</f>
        <v>112974</v>
      </c>
    </row>
    <row r="62" spans="1:8" x14ac:dyDescent="0.3">
      <c r="A62" s="28">
        <f t="shared" si="5"/>
        <v>45866</v>
      </c>
      <c r="B62" s="29" t="str">
        <f t="shared" si="3"/>
        <v>Mon</v>
      </c>
      <c r="C62" s="30">
        <f>COUNTIFS(tblClean[Date],$A62,tblClean[Include],1)</f>
        <v>4</v>
      </c>
      <c r="D62" s="31">
        <f>SUMIFS(tblClean[Duration Hours],tblClean[Date],$A62,tblClean[Include],1)</f>
        <v>9</v>
      </c>
      <c r="E62" s="32">
        <f>SUMIFS(tblClean[Attributed GMV PHP],tblClean[Date],$A62,tblClean[Include],1)</f>
        <v>105663</v>
      </c>
      <c r="F62" s="30">
        <f>SUMIFS(tblClean[Items Sold],tblClean[Date],$A62,tblClean[Include],1)</f>
        <v>305</v>
      </c>
      <c r="G62" s="32">
        <f t="shared" si="4"/>
        <v>11740.333333333334</v>
      </c>
      <c r="H62" s="32">
        <f>AVERAGE(INDEX($E$6:$E$96,MAX(1,ROW()-ROW($E$6)-5)):E62)</f>
        <v>115214.14285714286</v>
      </c>
    </row>
    <row r="63" spans="1:8" x14ac:dyDescent="0.3">
      <c r="A63" s="28">
        <f t="shared" si="5"/>
        <v>45867</v>
      </c>
      <c r="B63" s="29" t="str">
        <f t="shared" si="3"/>
        <v>Tue</v>
      </c>
      <c r="C63" s="30">
        <f>COUNTIFS(tblClean[Date],$A63,tblClean[Include],1)</f>
        <v>4</v>
      </c>
      <c r="D63" s="31">
        <f>SUMIFS(tblClean[Duration Hours],tblClean[Date],$A63,tblClean[Include],1)</f>
        <v>10</v>
      </c>
      <c r="E63" s="32">
        <f>SUMIFS(tblClean[Attributed GMV PHP],tblClean[Date],$A63,tblClean[Include],1)</f>
        <v>149525</v>
      </c>
      <c r="F63" s="30">
        <f>SUMIFS(tblClean[Items Sold],tblClean[Date],$A63,tblClean[Include],1)</f>
        <v>436</v>
      </c>
      <c r="G63" s="32">
        <f t="shared" si="4"/>
        <v>14952.5</v>
      </c>
      <c r="H63" s="32">
        <f>AVERAGE(INDEX($E$6:$E$96,MAX(1,ROW()-ROW($E$6)-5)):E63)</f>
        <v>128465.85714285714</v>
      </c>
    </row>
    <row r="64" spans="1:8" x14ac:dyDescent="0.3">
      <c r="A64" s="28">
        <f t="shared" si="5"/>
        <v>45868</v>
      </c>
      <c r="B64" s="29" t="str">
        <f t="shared" si="3"/>
        <v>Wed</v>
      </c>
      <c r="C64" s="30">
        <f>COUNTIFS(tblClean[Date],$A64,tblClean[Include],1)</f>
        <v>5</v>
      </c>
      <c r="D64" s="31">
        <f>SUMIFS(tblClean[Duration Hours],tblClean[Date],$A64,tblClean[Include],1)</f>
        <v>13.5</v>
      </c>
      <c r="E64" s="32">
        <f>SUMIFS(tblClean[Attributed GMV PHP],tblClean[Date],$A64,tblClean[Include],1)</f>
        <v>197202</v>
      </c>
      <c r="F64" s="30">
        <f>SUMIFS(tblClean[Items Sold],tblClean[Date],$A64,tblClean[Include],1)</f>
        <v>639</v>
      </c>
      <c r="G64" s="32">
        <f t="shared" si="4"/>
        <v>14607.555555555555</v>
      </c>
      <c r="H64" s="32">
        <f>AVERAGE(INDEX($E$6:$E$96,MAX(1,ROW()-ROW($E$6)-5)):E64)</f>
        <v>142102.57142857142</v>
      </c>
    </row>
    <row r="65" spans="1:8" x14ac:dyDescent="0.3">
      <c r="A65" s="28">
        <f t="shared" si="5"/>
        <v>45869</v>
      </c>
      <c r="B65" s="29" t="str">
        <f t="shared" si="3"/>
        <v>Thu</v>
      </c>
      <c r="C65" s="30">
        <f>COUNTIFS(tblClean[Date],$A65,tblClean[Include],1)</f>
        <v>4</v>
      </c>
      <c r="D65" s="31">
        <f>SUMIFS(tblClean[Duration Hours],tblClean[Date],$A65,tblClean[Include],1)</f>
        <v>9</v>
      </c>
      <c r="E65" s="32">
        <f>SUMIFS(tblClean[Attributed GMV PHP],tblClean[Date],$A65,tblClean[Include],1)</f>
        <v>146612</v>
      </c>
      <c r="F65" s="30">
        <f>SUMIFS(tblClean[Items Sold],tblClean[Date],$A65,tblClean[Include],1)</f>
        <v>514</v>
      </c>
      <c r="G65" s="32">
        <f t="shared" si="4"/>
        <v>16290.222222222223</v>
      </c>
      <c r="H65" s="32">
        <f>AVERAGE(INDEX($E$6:$E$96,MAX(1,ROW()-ROW($E$6)-5)):E65)</f>
        <v>139746.28571428571</v>
      </c>
    </row>
    <row r="66" spans="1:8" x14ac:dyDescent="0.3">
      <c r="A66" s="28">
        <f t="shared" si="5"/>
        <v>45870</v>
      </c>
      <c r="B66" s="29" t="str">
        <f t="shared" si="3"/>
        <v>Fri</v>
      </c>
      <c r="C66" s="30">
        <f>COUNTIFS(tblClean[Date],$A66,tblClean[Include],1)</f>
        <v>4</v>
      </c>
      <c r="D66" s="31">
        <f>SUMIFS(tblClean[Duration Hours],tblClean[Date],$A66,tblClean[Include],1)</f>
        <v>10</v>
      </c>
      <c r="E66" s="32">
        <f>SUMIFS(tblClean[Attributed GMV PHP],tblClean[Date],$A66,tblClean[Include],1)</f>
        <v>184262</v>
      </c>
      <c r="F66" s="30">
        <f>SUMIFS(tblClean[Items Sold],tblClean[Date],$A66,tblClean[Include],1)</f>
        <v>563</v>
      </c>
      <c r="G66" s="32">
        <f t="shared" si="4"/>
        <v>18426.2</v>
      </c>
      <c r="H66" s="32">
        <f>AVERAGE(INDEX($E$6:$E$96,MAX(1,ROW()-ROW($E$6)-5)):E66)</f>
        <v>144700.14285714287</v>
      </c>
    </row>
    <row r="67" spans="1:8" x14ac:dyDescent="0.3">
      <c r="A67" s="28">
        <f t="shared" si="5"/>
        <v>45871</v>
      </c>
      <c r="B67" s="29" t="str">
        <f t="shared" si="3"/>
        <v>Sat</v>
      </c>
      <c r="C67" s="30">
        <f>COUNTIFS(tblClean[Date],$A67,tblClean[Include],1)</f>
        <v>5</v>
      </c>
      <c r="D67" s="31">
        <f>SUMIFS(tblClean[Duration Hours],tblClean[Date],$A67,tblClean[Include],1)</f>
        <v>12.5</v>
      </c>
      <c r="E67" s="32">
        <f>SUMIFS(tblClean[Attributed GMV PHP],tblClean[Date],$A67,tblClean[Include],1)</f>
        <v>212937</v>
      </c>
      <c r="F67" s="30">
        <f>SUMIFS(tblClean[Items Sold],tblClean[Date],$A67,tblClean[Include],1)</f>
        <v>658</v>
      </c>
      <c r="G67" s="32">
        <f t="shared" si="4"/>
        <v>17034.96</v>
      </c>
      <c r="H67" s="32">
        <f>AVERAGE(INDEX($E$6:$E$96,MAX(1,ROW()-ROW($E$6)-5)):E67)</f>
        <v>159872.57142857142</v>
      </c>
    </row>
    <row r="68" spans="1:8" x14ac:dyDescent="0.3">
      <c r="A68" s="28">
        <f t="shared" si="5"/>
        <v>45872</v>
      </c>
      <c r="B68" s="29" t="str">
        <f t="shared" si="3"/>
        <v>Sun</v>
      </c>
      <c r="C68" s="30">
        <f>COUNTIFS(tblClean[Date],$A68,tblClean[Include],1)</f>
        <v>4</v>
      </c>
      <c r="D68" s="31">
        <f>SUMIFS(tblClean[Duration Hours],tblClean[Date],$A68,tblClean[Include],1)</f>
        <v>9.5</v>
      </c>
      <c r="E68" s="32">
        <f>SUMIFS(tblClean[Attributed GMV PHP],tblClean[Date],$A68,tblClean[Include],1)</f>
        <v>174060</v>
      </c>
      <c r="F68" s="30">
        <f>SUMIFS(tblClean[Items Sold],tblClean[Date],$A68,tblClean[Include],1)</f>
        <v>524</v>
      </c>
      <c r="G68" s="32">
        <f t="shared" si="4"/>
        <v>18322.105263157893</v>
      </c>
      <c r="H68" s="32">
        <f>AVERAGE(INDEX($E$6:$E$96,MAX(1,ROW()-ROW($E$6)-5)):E68)</f>
        <v>167180.14285714287</v>
      </c>
    </row>
    <row r="69" spans="1:8" x14ac:dyDescent="0.3">
      <c r="A69" s="28">
        <f t="shared" si="5"/>
        <v>45873</v>
      </c>
      <c r="B69" s="29" t="str">
        <f t="shared" si="3"/>
        <v>Mon</v>
      </c>
      <c r="C69" s="30">
        <f>COUNTIFS(tblClean[Date],$A69,tblClean[Include],1)</f>
        <v>4</v>
      </c>
      <c r="D69" s="31">
        <f>SUMIFS(tblClean[Duration Hours],tblClean[Date],$A69,tblClean[Include],1)</f>
        <v>10.5</v>
      </c>
      <c r="E69" s="32">
        <f>SUMIFS(tblClean[Attributed GMV PHP],tblClean[Date],$A69,tblClean[Include],1)</f>
        <v>87593</v>
      </c>
      <c r="F69" s="30">
        <f>SUMIFS(tblClean[Items Sold],tblClean[Date],$A69,tblClean[Include],1)</f>
        <v>262</v>
      </c>
      <c r="G69" s="32">
        <f t="shared" si="4"/>
        <v>8342.1904761904771</v>
      </c>
      <c r="H69" s="32">
        <f>AVERAGE(INDEX($E$6:$E$96,MAX(1,ROW()-ROW($E$6)-5)):E69)</f>
        <v>164598.71428571429</v>
      </c>
    </row>
    <row r="70" spans="1:8" x14ac:dyDescent="0.3">
      <c r="A70" s="28">
        <f t="shared" si="5"/>
        <v>45874</v>
      </c>
      <c r="B70" s="29" t="str">
        <f t="shared" ref="B70:B96" si="6">CHOOSE(WEEKDAY(A70,2),"Mon","Tue","Wed","Thu","Fri","Sat","Sun")</f>
        <v>Tue</v>
      </c>
      <c r="C70" s="30">
        <f>COUNTIFS(tblClean[Date],$A70,tblClean[Include],1)</f>
        <v>5</v>
      </c>
      <c r="D70" s="31">
        <f>SUMIFS(tblClean[Duration Hours],tblClean[Date],$A70,tblClean[Include],1)</f>
        <v>11.5</v>
      </c>
      <c r="E70" s="32">
        <f>SUMIFS(tblClean[Attributed GMV PHP],tblClean[Date],$A70,tblClean[Include],1)</f>
        <v>82980</v>
      </c>
      <c r="F70" s="30">
        <f>SUMIFS(tblClean[Items Sold],tblClean[Date],$A70,tblClean[Include],1)</f>
        <v>235</v>
      </c>
      <c r="G70" s="32">
        <f t="shared" ref="G70:G96" si="7">IF(D70&gt;0,E70/D70,"n/a")</f>
        <v>7215.652173913043</v>
      </c>
      <c r="H70" s="32">
        <f>AVERAGE(INDEX($E$6:$E$96,MAX(1,ROW()-ROW($E$6)-5)):E70)</f>
        <v>155092.28571428571</v>
      </c>
    </row>
    <row r="71" spans="1:8" x14ac:dyDescent="0.3">
      <c r="A71" s="28">
        <f t="shared" ref="A71:A96" si="8">A70+1</f>
        <v>45875</v>
      </c>
      <c r="B71" s="29" t="str">
        <f t="shared" si="6"/>
        <v>Wed</v>
      </c>
      <c r="C71" s="30">
        <f>COUNTIFS(tblClean[Date],$A71,tblClean[Include],1)</f>
        <v>4</v>
      </c>
      <c r="D71" s="31">
        <f>SUMIFS(tblClean[Duration Hours],tblClean[Date],$A71,tblClean[Include],1)</f>
        <v>9.5</v>
      </c>
      <c r="E71" s="32">
        <f>SUMIFS(tblClean[Attributed GMV PHP],tblClean[Date],$A71,tblClean[Include],1)</f>
        <v>99313</v>
      </c>
      <c r="F71" s="30">
        <f>SUMIFS(tblClean[Items Sold],tblClean[Date],$A71,tblClean[Include],1)</f>
        <v>290</v>
      </c>
      <c r="G71" s="32">
        <f t="shared" si="7"/>
        <v>10454</v>
      </c>
      <c r="H71" s="32">
        <f>AVERAGE(INDEX($E$6:$E$96,MAX(1,ROW()-ROW($E$6)-5)):E71)</f>
        <v>141108.14285714287</v>
      </c>
    </row>
    <row r="72" spans="1:8" x14ac:dyDescent="0.3">
      <c r="A72" s="28">
        <f t="shared" si="8"/>
        <v>45876</v>
      </c>
      <c r="B72" s="29" t="str">
        <f t="shared" si="6"/>
        <v>Thu</v>
      </c>
      <c r="C72" s="30">
        <f>COUNTIFS(tblClean[Date],$A72,tblClean[Include],1)</f>
        <v>4</v>
      </c>
      <c r="D72" s="31">
        <f>SUMIFS(tblClean[Duration Hours],tblClean[Date],$A72,tblClean[Include],1)</f>
        <v>8.5</v>
      </c>
      <c r="E72" s="32">
        <f>SUMIFS(tblClean[Attributed GMV PHP],tblClean[Date],$A72,tblClean[Include],1)</f>
        <v>148221</v>
      </c>
      <c r="F72" s="30">
        <f>SUMIFS(tblClean[Items Sold],tblClean[Date],$A72,tblClean[Include],1)</f>
        <v>409</v>
      </c>
      <c r="G72" s="32">
        <f t="shared" si="7"/>
        <v>17437.764705882353</v>
      </c>
      <c r="H72" s="32">
        <f>AVERAGE(INDEX($E$6:$E$96,MAX(1,ROW()-ROW($E$6)-5)):E72)</f>
        <v>141338</v>
      </c>
    </row>
    <row r="73" spans="1:8" x14ac:dyDescent="0.3">
      <c r="A73" s="28">
        <f t="shared" si="8"/>
        <v>45877</v>
      </c>
      <c r="B73" s="29" t="str">
        <f t="shared" si="6"/>
        <v>Fri</v>
      </c>
      <c r="C73" s="30">
        <f>COUNTIFS(tblClean[Date],$A73,tblClean[Include],1)</f>
        <v>5</v>
      </c>
      <c r="D73" s="31">
        <f>SUMIFS(tblClean[Duration Hours],tblClean[Date],$A73,tblClean[Include],1)</f>
        <v>13</v>
      </c>
      <c r="E73" s="32">
        <f>SUMIFS(tblClean[Attributed GMV PHP],tblClean[Date],$A73,tblClean[Include],1)</f>
        <v>240536</v>
      </c>
      <c r="F73" s="30">
        <f>SUMIFS(tblClean[Items Sold],tblClean[Date],$A73,tblClean[Include],1)</f>
        <v>734</v>
      </c>
      <c r="G73" s="32">
        <f t="shared" si="7"/>
        <v>18502.76923076923</v>
      </c>
      <c r="H73" s="32">
        <f>AVERAGE(INDEX($E$6:$E$96,MAX(1,ROW()-ROW($E$6)-5)):E73)</f>
        <v>149377.14285714287</v>
      </c>
    </row>
    <row r="74" spans="1:8" x14ac:dyDescent="0.3">
      <c r="A74" s="28">
        <f t="shared" si="8"/>
        <v>45878</v>
      </c>
      <c r="B74" s="29" t="str">
        <f t="shared" si="6"/>
        <v>Sat</v>
      </c>
      <c r="C74" s="30">
        <f>COUNTIFS(tblClean[Date],$A74,tblClean[Include],1)</f>
        <v>4</v>
      </c>
      <c r="D74" s="31">
        <f>SUMIFS(tblClean[Duration Hours],tblClean[Date],$A74,tblClean[Include],1)</f>
        <v>10.5</v>
      </c>
      <c r="E74" s="32">
        <f>SUMIFS(tblClean[Attributed GMV PHP],tblClean[Date],$A74,tblClean[Include],1)</f>
        <v>174011</v>
      </c>
      <c r="F74" s="30">
        <f>SUMIFS(tblClean[Items Sold],tblClean[Date],$A74,tblClean[Include],1)</f>
        <v>488</v>
      </c>
      <c r="G74" s="32">
        <f t="shared" si="7"/>
        <v>16572.476190476191</v>
      </c>
      <c r="H74" s="32">
        <f>AVERAGE(INDEX($E$6:$E$96,MAX(1,ROW()-ROW($E$6)-5)):E74)</f>
        <v>143816.28571428571</v>
      </c>
    </row>
    <row r="75" spans="1:8" x14ac:dyDescent="0.3">
      <c r="A75" s="28">
        <f t="shared" si="8"/>
        <v>45879</v>
      </c>
      <c r="B75" s="29" t="str">
        <f t="shared" si="6"/>
        <v>Sun</v>
      </c>
      <c r="C75" s="30">
        <f>COUNTIFS(tblClean[Date],$A75,tblClean[Include],1)</f>
        <v>5</v>
      </c>
      <c r="D75" s="31">
        <f>SUMIFS(tblClean[Duration Hours],tblClean[Date],$A75,tblClean[Include],1)</f>
        <v>13</v>
      </c>
      <c r="E75" s="32">
        <f>SUMIFS(tblClean[Attributed GMV PHP],tblClean[Date],$A75,tblClean[Include],1)</f>
        <v>205814</v>
      </c>
      <c r="F75" s="30">
        <f>SUMIFS(tblClean[Items Sold],tblClean[Date],$A75,tblClean[Include],1)</f>
        <v>589</v>
      </c>
      <c r="G75" s="32">
        <f t="shared" si="7"/>
        <v>15831.846153846154</v>
      </c>
      <c r="H75" s="32">
        <f>AVERAGE(INDEX($E$6:$E$96,MAX(1,ROW()-ROW($E$6)-5)):E75)</f>
        <v>148352.57142857142</v>
      </c>
    </row>
    <row r="76" spans="1:8" x14ac:dyDescent="0.3">
      <c r="A76" s="28">
        <f t="shared" si="8"/>
        <v>45880</v>
      </c>
      <c r="B76" s="29" t="str">
        <f t="shared" si="6"/>
        <v>Mon</v>
      </c>
      <c r="C76" s="30">
        <f>COUNTIFS(tblClean[Date],$A76,tblClean[Include],1)</f>
        <v>4</v>
      </c>
      <c r="D76" s="31">
        <f>SUMIFS(tblClean[Duration Hours],tblClean[Date],$A76,tblClean[Include],1)</f>
        <v>8</v>
      </c>
      <c r="E76" s="32">
        <f>SUMIFS(tblClean[Attributed GMV PHP],tblClean[Date],$A76,tblClean[Include],1)</f>
        <v>128187</v>
      </c>
      <c r="F76" s="30">
        <f>SUMIFS(tblClean[Items Sold],tblClean[Date],$A76,tblClean[Include],1)</f>
        <v>361</v>
      </c>
      <c r="G76" s="32">
        <f t="shared" si="7"/>
        <v>16023.375</v>
      </c>
      <c r="H76" s="32">
        <f>AVERAGE(INDEX($E$6:$E$96,MAX(1,ROW()-ROW($E$6)-5)):E76)</f>
        <v>154151.71428571429</v>
      </c>
    </row>
    <row r="77" spans="1:8" x14ac:dyDescent="0.3">
      <c r="A77" s="28">
        <f t="shared" si="8"/>
        <v>45881</v>
      </c>
      <c r="B77" s="29" t="str">
        <f t="shared" si="6"/>
        <v>Tue</v>
      </c>
      <c r="C77" s="30">
        <f>COUNTIFS(tblClean[Date],$A77,tblClean[Include],1)</f>
        <v>3</v>
      </c>
      <c r="D77" s="31">
        <f>SUMIFS(tblClean[Duration Hours],tblClean[Date],$A77,tblClean[Include],1)</f>
        <v>8.5</v>
      </c>
      <c r="E77" s="32">
        <f>SUMIFS(tblClean[Attributed GMV PHP],tblClean[Date],$A77,tblClean[Include],1)</f>
        <v>86030</v>
      </c>
      <c r="F77" s="30">
        <f>SUMIFS(tblClean[Items Sold],tblClean[Date],$A77,tblClean[Include],1)</f>
        <v>226</v>
      </c>
      <c r="G77" s="32">
        <f t="shared" si="7"/>
        <v>10121.176470588236</v>
      </c>
      <c r="H77" s="32">
        <f>AVERAGE(INDEX($E$6:$E$96,MAX(1,ROW()-ROW($E$6)-5)):E77)</f>
        <v>154587.42857142858</v>
      </c>
    </row>
    <row r="78" spans="1:8" x14ac:dyDescent="0.3">
      <c r="A78" s="28">
        <f t="shared" si="8"/>
        <v>45882</v>
      </c>
      <c r="B78" s="29" t="str">
        <f t="shared" si="6"/>
        <v>Wed</v>
      </c>
      <c r="C78" s="30">
        <f>COUNTIFS(tblClean[Date],$A78,tblClean[Include],1)</f>
        <v>3</v>
      </c>
      <c r="D78" s="31">
        <f>SUMIFS(tblClean[Duration Hours],tblClean[Date],$A78,tblClean[Include],1)</f>
        <v>6</v>
      </c>
      <c r="E78" s="32">
        <f>SUMIFS(tblClean[Attributed GMV PHP],tblClean[Date],$A78,tblClean[Include],1)</f>
        <v>77906</v>
      </c>
      <c r="F78" s="30">
        <f>SUMIFS(tblClean[Items Sold],tblClean[Date],$A78,tblClean[Include],1)</f>
        <v>251</v>
      </c>
      <c r="G78" s="32">
        <f t="shared" si="7"/>
        <v>12984.333333333334</v>
      </c>
      <c r="H78" s="32">
        <f>AVERAGE(INDEX($E$6:$E$96,MAX(1,ROW()-ROW($E$6)-5)):E78)</f>
        <v>151529.28571428571</v>
      </c>
    </row>
    <row r="79" spans="1:8" x14ac:dyDescent="0.3">
      <c r="A79" s="28">
        <f t="shared" si="8"/>
        <v>45883</v>
      </c>
      <c r="B79" s="29" t="str">
        <f t="shared" si="6"/>
        <v>Thu</v>
      </c>
      <c r="C79" s="30">
        <f>COUNTIFS(tblClean[Date],$A79,tblClean[Include],1)</f>
        <v>5</v>
      </c>
      <c r="D79" s="31">
        <f>SUMIFS(tblClean[Duration Hours],tblClean[Date],$A79,tblClean[Include],1)</f>
        <v>10</v>
      </c>
      <c r="E79" s="32">
        <f>SUMIFS(tblClean[Attributed GMV PHP],tblClean[Date],$A79,tblClean[Include],1)</f>
        <v>122524</v>
      </c>
      <c r="F79" s="30">
        <f>SUMIFS(tblClean[Items Sold],tblClean[Date],$A79,tblClean[Include],1)</f>
        <v>358</v>
      </c>
      <c r="G79" s="32">
        <f t="shared" si="7"/>
        <v>12252.4</v>
      </c>
      <c r="H79" s="32">
        <f>AVERAGE(INDEX($E$6:$E$96,MAX(1,ROW()-ROW($E$6)-5)):E79)</f>
        <v>147858.28571428571</v>
      </c>
    </row>
    <row r="80" spans="1:8" x14ac:dyDescent="0.3">
      <c r="A80" s="28">
        <f t="shared" si="8"/>
        <v>45884</v>
      </c>
      <c r="B80" s="29" t="str">
        <f t="shared" si="6"/>
        <v>Fri</v>
      </c>
      <c r="C80" s="30">
        <f>COUNTIFS(tblClean[Date],$A80,tblClean[Include],1)</f>
        <v>4</v>
      </c>
      <c r="D80" s="31">
        <f>SUMIFS(tblClean[Duration Hours],tblClean[Date],$A80,tblClean[Include],1)</f>
        <v>9.5</v>
      </c>
      <c r="E80" s="32">
        <f>SUMIFS(tblClean[Attributed GMV PHP],tblClean[Date],$A80,tblClean[Include],1)</f>
        <v>126546</v>
      </c>
      <c r="F80" s="30">
        <f>SUMIFS(tblClean[Items Sold],tblClean[Date],$A80,tblClean[Include],1)</f>
        <v>379</v>
      </c>
      <c r="G80" s="32">
        <f t="shared" si="7"/>
        <v>13320.631578947368</v>
      </c>
      <c r="H80" s="32">
        <f>AVERAGE(INDEX($E$6:$E$96,MAX(1,ROW()-ROW($E$6)-5)):E80)</f>
        <v>131574</v>
      </c>
    </row>
    <row r="81" spans="1:8" x14ac:dyDescent="0.3">
      <c r="A81" s="28">
        <f t="shared" si="8"/>
        <v>45885</v>
      </c>
      <c r="B81" s="29" t="str">
        <f t="shared" si="6"/>
        <v>Sat</v>
      </c>
      <c r="C81" s="30">
        <f>COUNTIFS(tblClean[Date],$A81,tblClean[Include],1)</f>
        <v>5</v>
      </c>
      <c r="D81" s="31">
        <f>SUMIFS(tblClean[Duration Hours],tblClean[Date],$A81,tblClean[Include],1)</f>
        <v>10</v>
      </c>
      <c r="E81" s="32">
        <f>SUMIFS(tblClean[Attributed GMV PHP],tblClean[Date],$A81,tblClean[Include],1)</f>
        <v>158336</v>
      </c>
      <c r="F81" s="30">
        <f>SUMIFS(tblClean[Items Sold],tblClean[Date],$A81,tblClean[Include],1)</f>
        <v>497</v>
      </c>
      <c r="G81" s="32">
        <f t="shared" si="7"/>
        <v>15833.6</v>
      </c>
      <c r="H81" s="32">
        <f>AVERAGE(INDEX($E$6:$E$96,MAX(1,ROW()-ROW($E$6)-5)):E81)</f>
        <v>129334.71428571429</v>
      </c>
    </row>
    <row r="82" spans="1:8" x14ac:dyDescent="0.3">
      <c r="A82" s="28">
        <f t="shared" si="8"/>
        <v>45886</v>
      </c>
      <c r="B82" s="29" t="str">
        <f t="shared" si="6"/>
        <v>Sun</v>
      </c>
      <c r="C82" s="30">
        <f>COUNTIFS(tblClean[Date],$A82,tblClean[Include],1)</f>
        <v>5</v>
      </c>
      <c r="D82" s="31">
        <f>SUMIFS(tblClean[Duration Hours],tblClean[Date],$A82,tblClean[Include],1)</f>
        <v>14.5</v>
      </c>
      <c r="E82" s="32">
        <f>SUMIFS(tblClean[Attributed GMV PHP],tblClean[Date],$A82,tblClean[Include],1)</f>
        <v>188551</v>
      </c>
      <c r="F82" s="30">
        <f>SUMIFS(tblClean[Items Sold],tblClean[Date],$A82,tblClean[Include],1)</f>
        <v>570</v>
      </c>
      <c r="G82" s="32">
        <f t="shared" si="7"/>
        <v>13003.51724137931</v>
      </c>
      <c r="H82" s="32">
        <f>AVERAGE(INDEX($E$6:$E$96,MAX(1,ROW()-ROW($E$6)-5)):E82)</f>
        <v>126868.57142857143</v>
      </c>
    </row>
    <row r="83" spans="1:8" x14ac:dyDescent="0.3">
      <c r="A83" s="28">
        <f t="shared" si="8"/>
        <v>45887</v>
      </c>
      <c r="B83" s="29" t="str">
        <f t="shared" si="6"/>
        <v>Mon</v>
      </c>
      <c r="C83" s="30">
        <f>COUNTIFS(tblClean[Date],$A83,tblClean[Include],1)</f>
        <v>5</v>
      </c>
      <c r="D83" s="31">
        <f>SUMIFS(tblClean[Duration Hours],tblClean[Date],$A83,tblClean[Include],1)</f>
        <v>12</v>
      </c>
      <c r="E83" s="32">
        <f>SUMIFS(tblClean[Attributed GMV PHP],tblClean[Date],$A83,tblClean[Include],1)</f>
        <v>187282</v>
      </c>
      <c r="F83" s="30">
        <f>SUMIFS(tblClean[Items Sold],tblClean[Date],$A83,tblClean[Include],1)</f>
        <v>520</v>
      </c>
      <c r="G83" s="32">
        <f t="shared" si="7"/>
        <v>15606.833333333334</v>
      </c>
      <c r="H83" s="32">
        <f>AVERAGE(INDEX($E$6:$E$96,MAX(1,ROW()-ROW($E$6)-5)):E83)</f>
        <v>135310.71428571429</v>
      </c>
    </row>
    <row r="84" spans="1:8" x14ac:dyDescent="0.3">
      <c r="A84" s="28">
        <f t="shared" si="8"/>
        <v>45888</v>
      </c>
      <c r="B84" s="29" t="str">
        <f t="shared" si="6"/>
        <v>Tue</v>
      </c>
      <c r="C84" s="30">
        <f>COUNTIFS(tblClean[Date],$A84,tblClean[Include],1)</f>
        <v>4</v>
      </c>
      <c r="D84" s="31">
        <f>SUMIFS(tblClean[Duration Hours],tblClean[Date],$A84,tblClean[Include],1)</f>
        <v>9</v>
      </c>
      <c r="E84" s="32">
        <f>SUMIFS(tblClean[Attributed GMV PHP],tblClean[Date],$A84,tblClean[Include],1)</f>
        <v>99355</v>
      </c>
      <c r="F84" s="30">
        <f>SUMIFS(tblClean[Items Sold],tblClean[Date],$A84,tblClean[Include],1)</f>
        <v>299</v>
      </c>
      <c r="G84" s="32">
        <f t="shared" si="7"/>
        <v>11039.444444444445</v>
      </c>
      <c r="H84" s="32">
        <f>AVERAGE(INDEX($E$6:$E$96,MAX(1,ROW()-ROW($E$6)-5)):E84)</f>
        <v>137214.28571428571</v>
      </c>
    </row>
    <row r="85" spans="1:8" x14ac:dyDescent="0.3">
      <c r="A85" s="28">
        <f t="shared" si="8"/>
        <v>45889</v>
      </c>
      <c r="B85" s="29" t="str">
        <f t="shared" si="6"/>
        <v>Wed</v>
      </c>
      <c r="C85" s="30">
        <f>COUNTIFS(tblClean[Date],$A85,tblClean[Include],1)</f>
        <v>5</v>
      </c>
      <c r="D85" s="31">
        <f>SUMIFS(tblClean[Duration Hours],tblClean[Date],$A85,tblClean[Include],1)</f>
        <v>13</v>
      </c>
      <c r="E85" s="32">
        <f>SUMIFS(tblClean[Attributed GMV PHP],tblClean[Date],$A85,tblClean[Include],1)</f>
        <v>128168</v>
      </c>
      <c r="F85" s="30">
        <f>SUMIFS(tblClean[Items Sold],tblClean[Date],$A85,tblClean[Include],1)</f>
        <v>352</v>
      </c>
      <c r="G85" s="32">
        <f t="shared" si="7"/>
        <v>9859.0769230769238</v>
      </c>
      <c r="H85" s="32">
        <f>AVERAGE(INDEX($E$6:$E$96,MAX(1,ROW()-ROW($E$6)-5)):E85)</f>
        <v>144394.57142857142</v>
      </c>
    </row>
    <row r="86" spans="1:8" x14ac:dyDescent="0.3">
      <c r="A86" s="28">
        <f t="shared" si="8"/>
        <v>45890</v>
      </c>
      <c r="B86" s="29" t="str">
        <f t="shared" si="6"/>
        <v>Thu</v>
      </c>
      <c r="C86" s="30">
        <f>COUNTIFS(tblClean[Date],$A86,tblClean[Include],1)</f>
        <v>5</v>
      </c>
      <c r="D86" s="31">
        <f>SUMIFS(tblClean[Duration Hours],tblClean[Date],$A86,tblClean[Include],1)</f>
        <v>11.5</v>
      </c>
      <c r="E86" s="32">
        <f>SUMIFS(tblClean[Attributed GMV PHP],tblClean[Date],$A86,tblClean[Include],1)</f>
        <v>94537</v>
      </c>
      <c r="F86" s="30">
        <f>SUMIFS(tblClean[Items Sold],tblClean[Date],$A86,tblClean[Include],1)</f>
        <v>291</v>
      </c>
      <c r="G86" s="32">
        <f t="shared" si="7"/>
        <v>8220.608695652174</v>
      </c>
      <c r="H86" s="32">
        <f>AVERAGE(INDEX($E$6:$E$96,MAX(1,ROW()-ROW($E$6)-5)):E86)</f>
        <v>140396.42857142858</v>
      </c>
    </row>
    <row r="87" spans="1:8" x14ac:dyDescent="0.3">
      <c r="A87" s="28">
        <f t="shared" si="8"/>
        <v>45891</v>
      </c>
      <c r="B87" s="29" t="str">
        <f t="shared" si="6"/>
        <v>Fri</v>
      </c>
      <c r="C87" s="30">
        <f>COUNTIFS(tblClean[Date],$A87,tblClean[Include],1)</f>
        <v>3</v>
      </c>
      <c r="D87" s="31">
        <f>SUMIFS(tblClean[Duration Hours],tblClean[Date],$A87,tblClean[Include],1)</f>
        <v>6.5</v>
      </c>
      <c r="E87" s="32">
        <f>SUMIFS(tblClean[Attributed GMV PHP],tblClean[Date],$A87,tblClean[Include],1)</f>
        <v>81192</v>
      </c>
      <c r="F87" s="30">
        <f>SUMIFS(tblClean[Items Sold],tblClean[Date],$A87,tblClean[Include],1)</f>
        <v>223</v>
      </c>
      <c r="G87" s="32">
        <f t="shared" si="7"/>
        <v>12491.076923076924</v>
      </c>
      <c r="H87" s="32">
        <f>AVERAGE(INDEX($E$6:$E$96,MAX(1,ROW()-ROW($E$6)-5)):E87)</f>
        <v>133917.28571428571</v>
      </c>
    </row>
    <row r="88" spans="1:8" x14ac:dyDescent="0.3">
      <c r="A88" s="28">
        <f t="shared" si="8"/>
        <v>45892</v>
      </c>
      <c r="B88" s="29" t="str">
        <f t="shared" si="6"/>
        <v>Sat</v>
      </c>
      <c r="C88" s="30">
        <f>COUNTIFS(tblClean[Date],$A88,tblClean[Include],1)</f>
        <v>4</v>
      </c>
      <c r="D88" s="31">
        <f>SUMIFS(tblClean[Duration Hours],tblClean[Date],$A88,tblClean[Include],1)</f>
        <v>10.5</v>
      </c>
      <c r="E88" s="32">
        <f>SUMIFS(tblClean[Attributed GMV PHP],tblClean[Date],$A88,tblClean[Include],1)</f>
        <v>146446</v>
      </c>
      <c r="F88" s="30">
        <f>SUMIFS(tblClean[Items Sold],tblClean[Date],$A88,tblClean[Include],1)</f>
        <v>376</v>
      </c>
      <c r="G88" s="32">
        <f t="shared" si="7"/>
        <v>13947.238095238095</v>
      </c>
      <c r="H88" s="32">
        <f>AVERAGE(INDEX($E$6:$E$96,MAX(1,ROW()-ROW($E$6)-5)):E88)</f>
        <v>132218.71428571429</v>
      </c>
    </row>
    <row r="89" spans="1:8" x14ac:dyDescent="0.3">
      <c r="A89" s="28">
        <f t="shared" si="8"/>
        <v>45893</v>
      </c>
      <c r="B89" s="29" t="str">
        <f t="shared" si="6"/>
        <v>Sun</v>
      </c>
      <c r="C89" s="30">
        <f>COUNTIFS(tblClean[Date],$A89,tblClean[Include],1)</f>
        <v>5</v>
      </c>
      <c r="D89" s="31">
        <f>SUMIFS(tblClean[Duration Hours],tblClean[Date],$A89,tblClean[Include],1)</f>
        <v>10.5</v>
      </c>
      <c r="E89" s="32">
        <f>SUMIFS(tblClean[Attributed GMV PHP],tblClean[Date],$A89,tblClean[Include],1)</f>
        <v>169651</v>
      </c>
      <c r="F89" s="30">
        <f>SUMIFS(tblClean[Items Sold],tblClean[Date],$A89,tblClean[Include],1)</f>
        <v>537</v>
      </c>
      <c r="G89" s="32">
        <f t="shared" si="7"/>
        <v>16157.238095238095</v>
      </c>
      <c r="H89" s="32">
        <f>AVERAGE(INDEX($E$6:$E$96,MAX(1,ROW()-ROW($E$6)-5)):E89)</f>
        <v>129518.71428571429</v>
      </c>
    </row>
    <row r="90" spans="1:8" x14ac:dyDescent="0.3">
      <c r="A90" s="28">
        <f t="shared" si="8"/>
        <v>45894</v>
      </c>
      <c r="B90" s="29" t="str">
        <f t="shared" si="6"/>
        <v>Mon</v>
      </c>
      <c r="C90" s="30">
        <f>COUNTIFS(tblClean[Date],$A90,tblClean[Include],1)</f>
        <v>4</v>
      </c>
      <c r="D90" s="31">
        <f>SUMIFS(tblClean[Duration Hours],tblClean[Date],$A90,tblClean[Include],1)</f>
        <v>9</v>
      </c>
      <c r="E90" s="32">
        <f>SUMIFS(tblClean[Attributed GMV PHP],tblClean[Date],$A90,tblClean[Include],1)</f>
        <v>87031</v>
      </c>
      <c r="F90" s="30">
        <f>SUMIFS(tblClean[Items Sold],tblClean[Date],$A90,tblClean[Include],1)</f>
        <v>260</v>
      </c>
      <c r="G90" s="32">
        <f t="shared" si="7"/>
        <v>9670.1111111111113</v>
      </c>
      <c r="H90" s="32">
        <f>AVERAGE(INDEX($E$6:$E$96,MAX(1,ROW()-ROW($E$6)-5)):E90)</f>
        <v>115197.14285714286</v>
      </c>
    </row>
    <row r="91" spans="1:8" x14ac:dyDescent="0.3">
      <c r="A91" s="28">
        <f t="shared" si="8"/>
        <v>45895</v>
      </c>
      <c r="B91" s="29" t="str">
        <f t="shared" si="6"/>
        <v>Tue</v>
      </c>
      <c r="C91" s="30">
        <f>COUNTIFS(tblClean[Date],$A91,tblClean[Include],1)</f>
        <v>3</v>
      </c>
      <c r="D91" s="31">
        <f>SUMIFS(tblClean[Duration Hours],tblClean[Date],$A91,tblClean[Include],1)</f>
        <v>7</v>
      </c>
      <c r="E91" s="32">
        <f>SUMIFS(tblClean[Attributed GMV PHP],tblClean[Date],$A91,tblClean[Include],1)</f>
        <v>73533</v>
      </c>
      <c r="F91" s="30">
        <f>SUMIFS(tblClean[Items Sold],tblClean[Date],$A91,tblClean[Include],1)</f>
        <v>187</v>
      </c>
      <c r="G91" s="32">
        <f t="shared" si="7"/>
        <v>10504.714285714286</v>
      </c>
      <c r="H91" s="32">
        <f>AVERAGE(INDEX($E$6:$E$96,MAX(1,ROW()-ROW($E$6)-5)):E91)</f>
        <v>111508.28571428571</v>
      </c>
    </row>
    <row r="92" spans="1:8" x14ac:dyDescent="0.3">
      <c r="A92" s="28">
        <f t="shared" si="8"/>
        <v>45896</v>
      </c>
      <c r="B92" s="29" t="str">
        <f t="shared" si="6"/>
        <v>Wed</v>
      </c>
      <c r="C92" s="30">
        <f>COUNTIFS(tblClean[Date],$A92,tblClean[Include],1)</f>
        <v>5</v>
      </c>
      <c r="D92" s="31">
        <f>SUMIFS(tblClean[Duration Hours],tblClean[Date],$A92,tblClean[Include],1)</f>
        <v>11.5</v>
      </c>
      <c r="E92" s="32">
        <f>SUMIFS(tblClean[Attributed GMV PHP],tblClean[Date],$A92,tblClean[Include],1)</f>
        <v>135645</v>
      </c>
      <c r="F92" s="30">
        <f>SUMIFS(tblClean[Items Sold],tblClean[Date],$A92,tblClean[Include],1)</f>
        <v>414</v>
      </c>
      <c r="G92" s="32">
        <f t="shared" si="7"/>
        <v>11795.217391304348</v>
      </c>
      <c r="H92" s="32">
        <f>AVERAGE(INDEX($E$6:$E$96,MAX(1,ROW()-ROW($E$6)-5)):E92)</f>
        <v>112576.42857142857</v>
      </c>
    </row>
    <row r="93" spans="1:8" x14ac:dyDescent="0.3">
      <c r="A93" s="28">
        <f t="shared" si="8"/>
        <v>45897</v>
      </c>
      <c r="B93" s="29" t="str">
        <f t="shared" si="6"/>
        <v>Thu</v>
      </c>
      <c r="C93" s="30">
        <f>COUNTIFS(tblClean[Date],$A93,tblClean[Include],1)</f>
        <v>4</v>
      </c>
      <c r="D93" s="31">
        <f>SUMIFS(tblClean[Duration Hours],tblClean[Date],$A93,tblClean[Include],1)</f>
        <v>9.5</v>
      </c>
      <c r="E93" s="32">
        <f>SUMIFS(tblClean[Attributed GMV PHP],tblClean[Date],$A93,tblClean[Include],1)</f>
        <v>116034</v>
      </c>
      <c r="F93" s="30">
        <f>SUMIFS(tblClean[Items Sold],tblClean[Date],$A93,tblClean[Include],1)</f>
        <v>355</v>
      </c>
      <c r="G93" s="32">
        <f t="shared" si="7"/>
        <v>12214.105263157895</v>
      </c>
      <c r="H93" s="32">
        <f>AVERAGE(INDEX($E$6:$E$96,MAX(1,ROW()-ROW($E$6)-5)):E93)</f>
        <v>115647.42857142857</v>
      </c>
    </row>
    <row r="94" spans="1:8" x14ac:dyDescent="0.3">
      <c r="A94" s="28">
        <f t="shared" si="8"/>
        <v>45898</v>
      </c>
      <c r="B94" s="29" t="str">
        <f t="shared" si="6"/>
        <v>Fri</v>
      </c>
      <c r="C94" s="30">
        <f>COUNTIFS(tblClean[Date],$A94,tblClean[Include],1)</f>
        <v>3</v>
      </c>
      <c r="D94" s="31">
        <f>SUMIFS(tblClean[Duration Hours],tblClean[Date],$A94,tblClean[Include],1)</f>
        <v>7.5</v>
      </c>
      <c r="E94" s="32">
        <f>SUMIFS(tblClean[Attributed GMV PHP],tblClean[Date],$A94,tblClean[Include],1)</f>
        <v>112947</v>
      </c>
      <c r="F94" s="30">
        <f>SUMIFS(tblClean[Items Sold],tblClean[Date],$A94,tblClean[Include],1)</f>
        <v>335</v>
      </c>
      <c r="G94" s="32">
        <f t="shared" si="7"/>
        <v>15059.6</v>
      </c>
      <c r="H94" s="32">
        <f>AVERAGE(INDEX($E$6:$E$96,MAX(1,ROW()-ROW($E$6)-5)):E94)</f>
        <v>120183.85714285714</v>
      </c>
    </row>
    <row r="95" spans="1:8" x14ac:dyDescent="0.3">
      <c r="A95" s="28">
        <f t="shared" si="8"/>
        <v>45899</v>
      </c>
      <c r="B95" s="29" t="str">
        <f t="shared" si="6"/>
        <v>Sat</v>
      </c>
      <c r="C95" s="30">
        <f>COUNTIFS(tblClean[Date],$A95,tblClean[Include],1)</f>
        <v>4</v>
      </c>
      <c r="D95" s="31">
        <f>SUMIFS(tblClean[Duration Hours],tblClean[Date],$A95,tblClean[Include],1)</f>
        <v>7.5</v>
      </c>
      <c r="E95" s="32">
        <f>SUMIFS(tblClean[Attributed GMV PHP],tblClean[Date],$A95,tblClean[Include],1)</f>
        <v>132835</v>
      </c>
      <c r="F95" s="30">
        <f>SUMIFS(tblClean[Items Sold],tblClean[Date],$A95,tblClean[Include],1)</f>
        <v>395</v>
      </c>
      <c r="G95" s="32">
        <f t="shared" si="7"/>
        <v>17711.333333333332</v>
      </c>
      <c r="H95" s="32">
        <f>AVERAGE(INDEX($E$6:$E$96,MAX(1,ROW()-ROW($E$6)-5)):E95)</f>
        <v>118239.42857142857</v>
      </c>
    </row>
    <row r="96" spans="1:8" x14ac:dyDescent="0.3">
      <c r="A96" s="28">
        <f t="shared" si="8"/>
        <v>45900</v>
      </c>
      <c r="B96" s="29" t="str">
        <f t="shared" si="6"/>
        <v>Sun</v>
      </c>
      <c r="C96" s="30">
        <f>COUNTIFS(tblClean[Date],$A96,tblClean[Include],1)</f>
        <v>3</v>
      </c>
      <c r="D96" s="31">
        <f>SUMIFS(tblClean[Duration Hours],tblClean[Date],$A96,tblClean[Include],1)</f>
        <v>6</v>
      </c>
      <c r="E96" s="32">
        <f>SUMIFS(tblClean[Attributed GMV PHP],tblClean[Date],$A96,tblClean[Include],1)</f>
        <v>134981</v>
      </c>
      <c r="F96" s="30">
        <f>SUMIFS(tblClean[Items Sold],tblClean[Date],$A96,tblClean[Include],1)</f>
        <v>385</v>
      </c>
      <c r="G96" s="32">
        <f t="shared" si="7"/>
        <v>22496.833333333332</v>
      </c>
      <c r="H96" s="32">
        <f>AVERAGE(INDEX($E$6:$E$96,MAX(1,ROW()-ROW($E$6)-5)):E96)</f>
        <v>113286.57142857143</v>
      </c>
    </row>
    <row r="97" spans="1:8" x14ac:dyDescent="0.3">
      <c r="A97" s="33" t="s">
        <v>548</v>
      </c>
      <c r="B97" s="34"/>
      <c r="C97" s="35">
        <f>SUM(C6:C96)</f>
        <v>374</v>
      </c>
      <c r="D97" s="36">
        <f>SUM(D6:D96)</f>
        <v>885.5</v>
      </c>
      <c r="E97" s="37">
        <f>SUM(E6:E96)</f>
        <v>11153095</v>
      </c>
      <c r="F97" s="35">
        <f>SUM(F6:F96)</f>
        <v>33116</v>
      </c>
      <c r="G97" s="37">
        <f>IF(D97&gt;0,E97/D97,0)</f>
        <v>12595.251270468661</v>
      </c>
      <c r="H97" s="34"/>
    </row>
    <row r="98" spans="1:8" x14ac:dyDescent="0.3">
      <c r="A98" s="38" t="s">
        <v>549</v>
      </c>
      <c r="C98" s="39">
        <f>ROWS(tblRaw[Session ID])</f>
        <v>374</v>
      </c>
      <c r="D98" s="40">
        <f>SUMPRODUCT(MOD(tblRaw[End Time]-tblRaw[Start Time],1))*24</f>
        <v>885.5</v>
      </c>
      <c r="E98" s="41">
        <f>SUM(tblRaw[Attributed GMV PHP])</f>
        <v>11153095</v>
      </c>
      <c r="F98" s="39">
        <f>SUM(tblRaw[Items Sold])</f>
        <v>33116</v>
      </c>
    </row>
    <row r="99" spans="1:8" x14ac:dyDescent="0.3">
      <c r="A99" s="38" t="s">
        <v>550</v>
      </c>
      <c r="C99" s="39">
        <f>C97-C98</f>
        <v>0</v>
      </c>
      <c r="D99" s="40">
        <f>ROUND(D97-D98,2)</f>
        <v>0</v>
      </c>
      <c r="E99" s="41">
        <f>E97-E98</f>
        <v>0</v>
      </c>
      <c r="F99" s="39">
        <f>F97-F98</f>
        <v>0</v>
      </c>
      <c r="G99" s="42" t="str">
        <f>IF(AND(C99=0,D99=0,E99=0,F99=0),"✔ Reconciled","✖ Check")</f>
        <v>✔ Reconciled</v>
      </c>
    </row>
  </sheetData>
  <autoFilter ref="A5:H96" xr:uid="{00000000-0009-0000-0000-000003000000}"/>
  <mergeCells count="2">
    <mergeCell ref="A1:H1"/>
    <mergeCell ref="A2:H2"/>
  </mergeCells>
  <conditionalFormatting sqref="E6:E96">
    <cfRule type="dataBar" priority="3">
      <dataBar>
        <cfvo type="min"/>
        <cfvo type="max"/>
        <color rgb="FF9DB7D5"/>
      </dataBar>
    </cfRule>
  </conditionalFormatting>
  <conditionalFormatting sqref="G6:G96">
    <cfRule type="top10" dxfId="5" priority="1" percent="1" rank="10"/>
    <cfRule type="top10" dxfId="4" priority="2" percent="1" bottom="1" rank="10"/>
  </conditionalFormatting>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7DB1"/>
  </sheetPr>
  <dimension ref="A1:J23"/>
  <sheetViews>
    <sheetView showGridLines="0" tabSelected="1" workbookViewId="0">
      <pane ySplit="5" topLeftCell="A6" activePane="bottomLeft" state="frozen"/>
      <selection pane="bottomLeft" activeCell="D13" sqref="D13"/>
    </sheetView>
  </sheetViews>
  <sheetFormatPr defaultRowHeight="14.4" x14ac:dyDescent="0.3"/>
  <cols>
    <col min="1" max="1" width="9" customWidth="1"/>
    <col min="2" max="3" width="15" customWidth="1"/>
    <col min="4" max="4" width="17" customWidth="1"/>
    <col min="5" max="5" width="12" customWidth="1"/>
    <col min="6" max="6" width="11" customWidth="1"/>
    <col min="7" max="7" width="14" customWidth="1"/>
    <col min="8" max="8" width="15" customWidth="1"/>
    <col min="9" max="10" width="18" customWidth="1"/>
  </cols>
  <sheetData>
    <row r="1" spans="1:10" ht="28.05" customHeight="1" x14ac:dyDescent="0.3">
      <c r="A1" s="101" t="s">
        <v>551</v>
      </c>
      <c r="B1" s="101"/>
      <c r="C1" s="101"/>
      <c r="D1" s="101"/>
      <c r="E1" s="101"/>
      <c r="F1" s="101"/>
      <c r="G1" s="101"/>
      <c r="H1" s="101"/>
      <c r="I1" s="101"/>
      <c r="J1" s="101"/>
    </row>
    <row r="2" spans="1:10" ht="18" customHeight="1" x14ac:dyDescent="0.3">
      <c r="A2" s="102" t="s">
        <v>552</v>
      </c>
      <c r="B2" s="102"/>
      <c r="C2" s="102"/>
      <c r="D2" s="102"/>
      <c r="E2" s="102"/>
      <c r="F2" s="102"/>
      <c r="G2" s="102"/>
      <c r="H2" s="102"/>
      <c r="I2" s="102"/>
      <c r="J2" s="102"/>
    </row>
    <row r="3" spans="1:10" x14ac:dyDescent="0.3">
      <c r="A3" s="27" t="s">
        <v>553</v>
      </c>
    </row>
    <row r="5" spans="1:10" ht="30" customHeight="1" x14ac:dyDescent="0.3">
      <c r="A5" s="5" t="s">
        <v>554</v>
      </c>
      <c r="B5" s="5" t="s">
        <v>99</v>
      </c>
      <c r="C5" s="5" t="s">
        <v>555</v>
      </c>
      <c r="D5" s="5" t="s">
        <v>546</v>
      </c>
      <c r="E5" s="5" t="s">
        <v>29</v>
      </c>
      <c r="F5" s="5" t="s">
        <v>544</v>
      </c>
      <c r="G5" s="5" t="s">
        <v>545</v>
      </c>
      <c r="H5" s="5" t="s">
        <v>33</v>
      </c>
      <c r="I5" s="5" t="s">
        <v>556</v>
      </c>
      <c r="J5" s="5" t="s">
        <v>557</v>
      </c>
    </row>
    <row r="6" spans="1:10" x14ac:dyDescent="0.3">
      <c r="A6" s="43">
        <v>1</v>
      </c>
      <c r="B6" s="28">
        <f>MIN(tblClean[Week Start])+(A6-1)*7</f>
        <v>45810</v>
      </c>
      <c r="C6" s="28">
        <f t="shared" ref="C6:C18" si="0">B6+6</f>
        <v>45816</v>
      </c>
      <c r="D6" s="32">
        <f>SUMIFS(tblClean[Attributed GMV PHP],tblClean[Week Start],$B6,tblClean[Include],1)</f>
        <v>768303</v>
      </c>
      <c r="E6" s="30">
        <f>SUMIFS(tblClean[Items Sold],tblClean[Week Start],$B6,tblClean[Include],1)</f>
        <v>2268</v>
      </c>
      <c r="F6" s="30">
        <f>COUNTIFS(tblClean[Week Start],$B6,tblClean[Include],1)</f>
        <v>29</v>
      </c>
      <c r="G6" s="31">
        <f>SUMIFS(tblClean[Duration Hours],tblClean[Week Start],$B6,tblClean[Include],1)</f>
        <v>68</v>
      </c>
      <c r="H6" s="32">
        <f t="shared" ref="H6:H18" si="1">IF(G6&gt;0,D6/G6,"n/a")</f>
        <v>11298.573529411764</v>
      </c>
      <c r="I6" s="44" t="str">
        <f t="shared" ref="I6:I18" si="2">IF(ISNUMBER(D5),D6-D5,"n/a")</f>
        <v>n/a</v>
      </c>
      <c r="J6" s="45" t="str">
        <f t="shared" ref="J6:J18" si="3">IF(ISNUMBER(D5),IF(D5&gt;0,(D6-D5)/D5,"n/a"),"n/a")</f>
        <v>n/a</v>
      </c>
    </row>
    <row r="7" spans="1:10" x14ac:dyDescent="0.3">
      <c r="A7" s="43">
        <v>2</v>
      </c>
      <c r="B7" s="28">
        <f>MIN(tblClean[Week Start])+(A7-1)*7</f>
        <v>45817</v>
      </c>
      <c r="C7" s="28">
        <f t="shared" si="0"/>
        <v>45823</v>
      </c>
      <c r="D7" s="32">
        <f>SUMIFS(tblClean[Attributed GMV PHP],tblClean[Week Start],$B7,tblClean[Include],1)</f>
        <v>698741</v>
      </c>
      <c r="E7" s="30">
        <f>SUMIFS(tblClean[Items Sold],tblClean[Week Start],$B7,tblClean[Include],1)</f>
        <v>2104</v>
      </c>
      <c r="F7" s="30">
        <f>COUNTIFS(tblClean[Week Start],$B7,tblClean[Include],1)</f>
        <v>27</v>
      </c>
      <c r="G7" s="31">
        <f>SUMIFS(tblClean[Duration Hours],tblClean[Week Start],$B7,tblClean[Include],1)</f>
        <v>65</v>
      </c>
      <c r="H7" s="32">
        <f t="shared" si="1"/>
        <v>10749.861538461539</v>
      </c>
      <c r="I7" s="44">
        <f t="shared" si="2"/>
        <v>-69562</v>
      </c>
      <c r="J7" s="45">
        <f t="shared" si="3"/>
        <v>-9.0539800052843733E-2</v>
      </c>
    </row>
    <row r="8" spans="1:10" x14ac:dyDescent="0.3">
      <c r="A8" s="43">
        <v>3</v>
      </c>
      <c r="B8" s="28">
        <f>MIN(tblClean[Week Start])+(A8-1)*7</f>
        <v>45824</v>
      </c>
      <c r="C8" s="28">
        <f t="shared" si="0"/>
        <v>45830</v>
      </c>
      <c r="D8" s="32">
        <f>SUMIFS(tblClean[Attributed GMV PHP],tblClean[Week Start],$B8,tblClean[Include],1)</f>
        <v>678714</v>
      </c>
      <c r="E8" s="30">
        <f>SUMIFS(tblClean[Items Sold],tblClean[Week Start],$B8,tblClean[Include],1)</f>
        <v>1968</v>
      </c>
      <c r="F8" s="30">
        <f>COUNTIFS(tblClean[Week Start],$B8,tblClean[Include],1)</f>
        <v>27</v>
      </c>
      <c r="G8" s="31">
        <f>SUMIFS(tblClean[Duration Hours],tblClean[Week Start],$B8,tblClean[Include],1)</f>
        <v>67</v>
      </c>
      <c r="H8" s="32">
        <f t="shared" si="1"/>
        <v>10130.059701492537</v>
      </c>
      <c r="I8" s="44">
        <f t="shared" si="2"/>
        <v>-20027</v>
      </c>
      <c r="J8" s="45">
        <f t="shared" si="3"/>
        <v>-2.8661549844649161E-2</v>
      </c>
    </row>
    <row r="9" spans="1:10" x14ac:dyDescent="0.3">
      <c r="A9" s="43">
        <v>4</v>
      </c>
      <c r="B9" s="28">
        <f>MIN(tblClean[Week Start])+(A9-1)*7</f>
        <v>45831</v>
      </c>
      <c r="C9" s="28">
        <f t="shared" si="0"/>
        <v>45837</v>
      </c>
      <c r="D9" s="32">
        <f>SUMIFS(tblClean[Attributed GMV PHP],tblClean[Week Start],$B9,tblClean[Include],1)</f>
        <v>746297</v>
      </c>
      <c r="E9" s="30">
        <f>SUMIFS(tblClean[Items Sold],tblClean[Week Start],$B9,tblClean[Include],1)</f>
        <v>2207</v>
      </c>
      <c r="F9" s="30">
        <f>COUNTIFS(tblClean[Week Start],$B9,tblClean[Include],1)</f>
        <v>31</v>
      </c>
      <c r="G9" s="31">
        <f>SUMIFS(tblClean[Duration Hours],tblClean[Week Start],$B9,tblClean[Include],1)</f>
        <v>74</v>
      </c>
      <c r="H9" s="32">
        <f t="shared" si="1"/>
        <v>10085.094594594595</v>
      </c>
      <c r="I9" s="44">
        <f t="shared" si="2"/>
        <v>67583</v>
      </c>
      <c r="J9" s="45">
        <f t="shared" si="3"/>
        <v>9.9575078751874865E-2</v>
      </c>
    </row>
    <row r="10" spans="1:10" x14ac:dyDescent="0.3">
      <c r="A10" s="43">
        <v>5</v>
      </c>
      <c r="B10" s="28">
        <f>MIN(tblClean[Week Start])+(A10-1)*7</f>
        <v>45838</v>
      </c>
      <c r="C10" s="28">
        <f t="shared" si="0"/>
        <v>45844</v>
      </c>
      <c r="D10" s="32">
        <f>SUMIFS(tblClean[Attributed GMV PHP],tblClean[Week Start],$B10,tblClean[Include],1)</f>
        <v>908150</v>
      </c>
      <c r="E10" s="30">
        <f>SUMIFS(tblClean[Items Sold],tblClean[Week Start],$B10,tblClean[Include],1)</f>
        <v>2750</v>
      </c>
      <c r="F10" s="30">
        <f>COUNTIFS(tblClean[Week Start],$B10,tblClean[Include],1)</f>
        <v>28</v>
      </c>
      <c r="G10" s="31">
        <f>SUMIFS(tblClean[Duration Hours],tblClean[Week Start],$B10,tblClean[Include],1)</f>
        <v>65</v>
      </c>
      <c r="H10" s="32">
        <f t="shared" si="1"/>
        <v>13971.538461538461</v>
      </c>
      <c r="I10" s="44">
        <f t="shared" si="2"/>
        <v>161853</v>
      </c>
      <c r="J10" s="45">
        <f t="shared" si="3"/>
        <v>0.21687478309573802</v>
      </c>
    </row>
    <row r="11" spans="1:10" x14ac:dyDescent="0.3">
      <c r="A11" s="43">
        <v>6</v>
      </c>
      <c r="B11" s="28">
        <f>MIN(tblClean[Week Start])+(A11-1)*7</f>
        <v>45845</v>
      </c>
      <c r="C11" s="28">
        <f t="shared" si="0"/>
        <v>45851</v>
      </c>
      <c r="D11" s="32">
        <f>SUMIFS(tblClean[Attributed GMV PHP],tblClean[Week Start],$B11,tblClean[Include],1)</f>
        <v>920555</v>
      </c>
      <c r="E11" s="30">
        <f>SUMIFS(tblClean[Items Sold],tblClean[Week Start],$B11,tblClean[Include],1)</f>
        <v>2726</v>
      </c>
      <c r="F11" s="30">
        <f>COUNTIFS(tblClean[Week Start],$B11,tblClean[Include],1)</f>
        <v>28</v>
      </c>
      <c r="G11" s="31">
        <f>SUMIFS(tblClean[Duration Hours],tblClean[Week Start],$B11,tblClean[Include],1)</f>
        <v>66.5</v>
      </c>
      <c r="H11" s="32">
        <f t="shared" si="1"/>
        <v>13842.932330827067</v>
      </c>
      <c r="I11" s="44">
        <f t="shared" si="2"/>
        <v>12405</v>
      </c>
      <c r="J11" s="45">
        <f t="shared" si="3"/>
        <v>1.3659637725045422E-2</v>
      </c>
    </row>
    <row r="12" spans="1:10" x14ac:dyDescent="0.3">
      <c r="A12" s="43">
        <v>7</v>
      </c>
      <c r="B12" s="28">
        <f>MIN(tblClean[Week Start])+(A12-1)*7</f>
        <v>45852</v>
      </c>
      <c r="C12" s="28">
        <f t="shared" si="0"/>
        <v>45858</v>
      </c>
      <c r="D12" s="32">
        <f>SUMIFS(tblClean[Attributed GMV PHP],tblClean[Week Start],$B12,tblClean[Include],1)</f>
        <v>845071</v>
      </c>
      <c r="E12" s="30">
        <f>SUMIFS(tblClean[Items Sold],tblClean[Week Start],$B12,tblClean[Include],1)</f>
        <v>2506</v>
      </c>
      <c r="F12" s="30">
        <f>COUNTIFS(tblClean[Week Start],$B12,tblClean[Include],1)</f>
        <v>25</v>
      </c>
      <c r="G12" s="31">
        <f>SUMIFS(tblClean[Duration Hours],tblClean[Week Start],$B12,tblClean[Include],1)</f>
        <v>58</v>
      </c>
      <c r="H12" s="32">
        <f t="shared" si="1"/>
        <v>14570.189655172413</v>
      </c>
      <c r="I12" s="44">
        <f t="shared" si="2"/>
        <v>-75484</v>
      </c>
      <c r="J12" s="45">
        <f t="shared" si="3"/>
        <v>-8.1998359685189912E-2</v>
      </c>
    </row>
    <row r="13" spans="1:10" x14ac:dyDescent="0.3">
      <c r="A13" s="43">
        <v>8</v>
      </c>
      <c r="B13" s="28">
        <f>MIN(tblClean[Week Start])+(A13-1)*7</f>
        <v>45859</v>
      </c>
      <c r="C13" s="28">
        <f t="shared" si="0"/>
        <v>45865</v>
      </c>
      <c r="D13" s="32">
        <f>SUMIFS(tblClean[Attributed GMV PHP],tblClean[Week Start],$B13,tblClean[Include],1)</f>
        <v>790818</v>
      </c>
      <c r="E13" s="30">
        <f>SUMIFS(tblClean[Items Sold],tblClean[Week Start],$B13,tblClean[Include],1)</f>
        <v>2370</v>
      </c>
      <c r="F13" s="30">
        <f>COUNTIFS(tblClean[Week Start],$B13,tblClean[Include],1)</f>
        <v>32</v>
      </c>
      <c r="G13" s="31">
        <f>SUMIFS(tblClean[Duration Hours],tblClean[Week Start],$B13,tblClean[Include],1)</f>
        <v>74.5</v>
      </c>
      <c r="H13" s="32">
        <f t="shared" si="1"/>
        <v>10615.006711409396</v>
      </c>
      <c r="I13" s="44">
        <f t="shared" si="2"/>
        <v>-54253</v>
      </c>
      <c r="J13" s="45">
        <f t="shared" si="3"/>
        <v>-6.4199339463784699E-2</v>
      </c>
    </row>
    <row r="14" spans="1:10" x14ac:dyDescent="0.3">
      <c r="A14" s="43">
        <v>9</v>
      </c>
      <c r="B14" s="28">
        <f>MIN(tblClean[Week Start])+(A14-1)*7</f>
        <v>45866</v>
      </c>
      <c r="C14" s="28">
        <f t="shared" si="0"/>
        <v>45872</v>
      </c>
      <c r="D14" s="32">
        <f>SUMIFS(tblClean[Attributed GMV PHP],tblClean[Week Start],$B14,tblClean[Include],1)</f>
        <v>1170261</v>
      </c>
      <c r="E14" s="30">
        <f>SUMIFS(tblClean[Items Sold],tblClean[Week Start],$B14,tblClean[Include],1)</f>
        <v>3639</v>
      </c>
      <c r="F14" s="30">
        <f>COUNTIFS(tblClean[Week Start],$B14,tblClean[Include],1)</f>
        <v>30</v>
      </c>
      <c r="G14" s="31">
        <f>SUMIFS(tblClean[Duration Hours],tblClean[Week Start],$B14,tblClean[Include],1)</f>
        <v>73.5</v>
      </c>
      <c r="H14" s="32">
        <f t="shared" si="1"/>
        <v>15921.918367346938</v>
      </c>
      <c r="I14" s="44">
        <f t="shared" si="2"/>
        <v>379443</v>
      </c>
      <c r="J14" s="45">
        <f t="shared" si="3"/>
        <v>0.47981077820686935</v>
      </c>
    </row>
    <row r="15" spans="1:10" x14ac:dyDescent="0.3">
      <c r="A15" s="43">
        <v>10</v>
      </c>
      <c r="B15" s="28">
        <f>MIN(tblClean[Week Start])+(A15-1)*7</f>
        <v>45873</v>
      </c>
      <c r="C15" s="28">
        <f t="shared" si="0"/>
        <v>45879</v>
      </c>
      <c r="D15" s="32">
        <f>SUMIFS(tblClean[Attributed GMV PHP],tblClean[Week Start],$B15,tblClean[Include],1)</f>
        <v>1038468</v>
      </c>
      <c r="E15" s="30">
        <f>SUMIFS(tblClean[Items Sold],tblClean[Week Start],$B15,tblClean[Include],1)</f>
        <v>3007</v>
      </c>
      <c r="F15" s="30">
        <f>COUNTIFS(tblClean[Week Start],$B15,tblClean[Include],1)</f>
        <v>31</v>
      </c>
      <c r="G15" s="31">
        <f>SUMIFS(tblClean[Duration Hours],tblClean[Week Start],$B15,tblClean[Include],1)</f>
        <v>76.5</v>
      </c>
      <c r="H15" s="32">
        <f t="shared" si="1"/>
        <v>13574.745098039215</v>
      </c>
      <c r="I15" s="44">
        <f t="shared" si="2"/>
        <v>-131793</v>
      </c>
      <c r="J15" s="45">
        <f t="shared" si="3"/>
        <v>-0.11261846716245351</v>
      </c>
    </row>
    <row r="16" spans="1:10" x14ac:dyDescent="0.3">
      <c r="A16" s="43">
        <v>11</v>
      </c>
      <c r="B16" s="28">
        <f>MIN(tblClean[Week Start])+(A16-1)*7</f>
        <v>45880</v>
      </c>
      <c r="C16" s="28">
        <f t="shared" si="0"/>
        <v>45886</v>
      </c>
      <c r="D16" s="32">
        <f>SUMIFS(tblClean[Attributed GMV PHP],tblClean[Week Start],$B16,tblClean[Include],1)</f>
        <v>888080</v>
      </c>
      <c r="E16" s="30">
        <f>SUMIFS(tblClean[Items Sold],tblClean[Week Start],$B16,tblClean[Include],1)</f>
        <v>2642</v>
      </c>
      <c r="F16" s="30">
        <f>COUNTIFS(tblClean[Week Start],$B16,tblClean[Include],1)</f>
        <v>29</v>
      </c>
      <c r="G16" s="31">
        <f>SUMIFS(tblClean[Duration Hours],tblClean[Week Start],$B16,tblClean[Include],1)</f>
        <v>66.5</v>
      </c>
      <c r="H16" s="32">
        <f t="shared" si="1"/>
        <v>13354.586466165414</v>
      </c>
      <c r="I16" s="44">
        <f t="shared" si="2"/>
        <v>-150388</v>
      </c>
      <c r="J16" s="45">
        <f t="shared" si="3"/>
        <v>-0.14481717298944213</v>
      </c>
    </row>
    <row r="17" spans="1:10" x14ac:dyDescent="0.3">
      <c r="A17" s="43">
        <v>12</v>
      </c>
      <c r="B17" s="28">
        <f>MIN(tblClean[Week Start])+(A17-1)*7</f>
        <v>45887</v>
      </c>
      <c r="C17" s="28">
        <f t="shared" si="0"/>
        <v>45893</v>
      </c>
      <c r="D17" s="32">
        <f>SUMIFS(tblClean[Attributed GMV PHP],tblClean[Week Start],$B17,tblClean[Include],1)</f>
        <v>906631</v>
      </c>
      <c r="E17" s="30">
        <f>SUMIFS(tblClean[Items Sold],tblClean[Week Start],$B17,tblClean[Include],1)</f>
        <v>2598</v>
      </c>
      <c r="F17" s="30">
        <f>COUNTIFS(tblClean[Week Start],$B17,tblClean[Include],1)</f>
        <v>31</v>
      </c>
      <c r="G17" s="31">
        <f>SUMIFS(tblClean[Duration Hours],tblClean[Week Start],$B17,tblClean[Include],1)</f>
        <v>73</v>
      </c>
      <c r="H17" s="32">
        <f t="shared" si="1"/>
        <v>12419.602739726028</v>
      </c>
      <c r="I17" s="44">
        <f t="shared" si="2"/>
        <v>18551</v>
      </c>
      <c r="J17" s="45">
        <f t="shared" si="3"/>
        <v>2.0888883884334745E-2</v>
      </c>
    </row>
    <row r="18" spans="1:10" x14ac:dyDescent="0.3">
      <c r="A18" s="43">
        <v>13</v>
      </c>
      <c r="B18" s="28">
        <f>MIN(tblClean[Week Start])+(A18-1)*7</f>
        <v>45894</v>
      </c>
      <c r="C18" s="28">
        <f t="shared" si="0"/>
        <v>45900</v>
      </c>
      <c r="D18" s="32">
        <f>SUMIFS(tblClean[Attributed GMV PHP],tblClean[Week Start],$B18,tblClean[Include],1)</f>
        <v>793006</v>
      </c>
      <c r="E18" s="30">
        <f>SUMIFS(tblClean[Items Sold],tblClean[Week Start],$B18,tblClean[Include],1)</f>
        <v>2331</v>
      </c>
      <c r="F18" s="30">
        <f>COUNTIFS(tblClean[Week Start],$B18,tblClean[Include],1)</f>
        <v>26</v>
      </c>
      <c r="G18" s="31">
        <f>SUMIFS(tblClean[Duration Hours],tblClean[Week Start],$B18,tblClean[Include],1)</f>
        <v>58</v>
      </c>
      <c r="H18" s="32">
        <f t="shared" si="1"/>
        <v>13672.51724137931</v>
      </c>
      <c r="I18" s="44">
        <f t="shared" si="2"/>
        <v>-113625</v>
      </c>
      <c r="J18" s="45">
        <f t="shared" si="3"/>
        <v>-0.12532662130458808</v>
      </c>
    </row>
    <row r="19" spans="1:10" x14ac:dyDescent="0.3">
      <c r="A19" s="33" t="s">
        <v>548</v>
      </c>
      <c r="B19" s="34"/>
      <c r="C19" s="34"/>
      <c r="D19" s="37">
        <f>SUM(D6:D18)</f>
        <v>11153095</v>
      </c>
      <c r="E19" s="35">
        <f>SUM(E6:E18)</f>
        <v>33116</v>
      </c>
      <c r="F19" s="35">
        <f>SUM(F6:F18)</f>
        <v>374</v>
      </c>
      <c r="G19" s="36">
        <f>SUM(G6:G18)</f>
        <v>885.5</v>
      </c>
      <c r="H19" s="37">
        <f>IF(G19&gt;0,D19/G19,0)</f>
        <v>12595.251270468661</v>
      </c>
      <c r="I19" s="34"/>
      <c r="J19" s="34"/>
    </row>
    <row r="20" spans="1:10" x14ac:dyDescent="0.3">
      <c r="A20" s="38" t="s">
        <v>549</v>
      </c>
      <c r="D20" s="41">
        <f>SUM(tblRaw[Attributed GMV PHP])</f>
        <v>11153095</v>
      </c>
      <c r="E20" s="39">
        <f>SUM(tblRaw[Items Sold])</f>
        <v>33116</v>
      </c>
      <c r="F20" s="39">
        <f>ROWS(tblRaw[Session ID])</f>
        <v>374</v>
      </c>
      <c r="G20" s="40">
        <f>SUMPRODUCT(MOD(tblRaw[End Time]-tblRaw[Start Time],1))*24</f>
        <v>885.5</v>
      </c>
    </row>
    <row r="21" spans="1:10" x14ac:dyDescent="0.3">
      <c r="A21" s="38" t="s">
        <v>550</v>
      </c>
      <c r="D21" s="41">
        <f>D19-D20</f>
        <v>0</v>
      </c>
      <c r="E21" s="39">
        <f>E19-E20</f>
        <v>0</v>
      </c>
      <c r="F21" s="39">
        <f>F19-F20</f>
        <v>0</v>
      </c>
      <c r="G21" s="40">
        <f>ROUND(G19-G20,2)</f>
        <v>0</v>
      </c>
      <c r="H21" s="42" t="str">
        <f>IF(AND(D21=0,E21=0,F21=0,G21=0),"✔ Reconciled","✖ Check")</f>
        <v>✔ Reconciled</v>
      </c>
    </row>
    <row r="23" spans="1:10" x14ac:dyDescent="0.3">
      <c r="A23" s="27" t="s">
        <v>558</v>
      </c>
    </row>
  </sheetData>
  <mergeCells count="2">
    <mergeCell ref="A1:J1"/>
    <mergeCell ref="A2:J2"/>
  </mergeCells>
  <conditionalFormatting sqref="A6:J18">
    <cfRule type="expression" dxfId="3" priority="1">
      <formula>$D6=MAX($D$6:$D$18)</formula>
    </cfRule>
  </conditionalFormatting>
  <conditionalFormatting sqref="I6:J18">
    <cfRule type="cellIs" dxfId="2" priority="2" operator="lessThan">
      <formula>0</formula>
    </cfRule>
    <cfRule type="cellIs" dxfId="1" priority="3" operator="greaterThan">
      <formula>0</formula>
    </cfRule>
  </conditionalFormatting>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7DB1"/>
  </sheetPr>
  <dimension ref="A1:O50"/>
  <sheetViews>
    <sheetView showGridLines="0" zoomScale="70" zoomScaleNormal="70" workbookViewId="0">
      <pane xSplit="1" ySplit="5" topLeftCell="B6" activePane="bottomRight" state="frozen"/>
      <selection pane="topRight"/>
      <selection pane="bottomLeft"/>
      <selection pane="bottomRight" activeCell="O38" sqref="O38"/>
    </sheetView>
  </sheetViews>
  <sheetFormatPr defaultRowHeight="14.4" x14ac:dyDescent="0.3"/>
  <cols>
    <col min="1" max="1" width="20" customWidth="1"/>
    <col min="2" max="3" width="14" customWidth="1"/>
    <col min="4" max="4" width="16" customWidth="1"/>
    <col min="5" max="5" width="12" customWidth="1"/>
    <col min="6" max="6" width="15" customWidth="1"/>
    <col min="7" max="7" width="14" customWidth="1"/>
    <col min="8" max="8" width="13" customWidth="1"/>
    <col min="9" max="11" width="12" customWidth="1"/>
    <col min="12" max="12" width="14" customWidth="1"/>
    <col min="13" max="13" width="16" customWidth="1"/>
    <col min="14" max="14" width="11" customWidth="1"/>
    <col min="15" max="15" width="26" customWidth="1"/>
  </cols>
  <sheetData>
    <row r="1" spans="1:15" ht="28.05" customHeight="1" x14ac:dyDescent="0.3">
      <c r="A1" s="101" t="s">
        <v>559</v>
      </c>
      <c r="B1" s="101"/>
      <c r="C1" s="101"/>
      <c r="D1" s="101"/>
      <c r="E1" s="101"/>
      <c r="F1" s="101"/>
      <c r="G1" s="101"/>
      <c r="H1" s="101"/>
      <c r="I1" s="101"/>
      <c r="J1" s="101"/>
      <c r="K1" s="101"/>
      <c r="L1" s="101"/>
      <c r="M1" s="101"/>
      <c r="N1" s="101"/>
      <c r="O1" s="101"/>
    </row>
    <row r="2" spans="1:15" ht="18" customHeight="1" x14ac:dyDescent="0.3">
      <c r="A2" s="102" t="s">
        <v>560</v>
      </c>
      <c r="B2" s="102"/>
      <c r="C2" s="102"/>
      <c r="D2" s="102"/>
      <c r="E2" s="102"/>
      <c r="F2" s="102"/>
      <c r="G2" s="102"/>
      <c r="H2" s="102"/>
      <c r="I2" s="102"/>
      <c r="J2" s="102"/>
      <c r="K2" s="102"/>
      <c r="L2" s="102"/>
      <c r="M2" s="102"/>
      <c r="N2" s="102"/>
      <c r="O2" s="102"/>
    </row>
    <row r="5" spans="1:15" ht="43.95" customHeight="1" x14ac:dyDescent="0.3">
      <c r="A5" s="5" t="s">
        <v>68</v>
      </c>
      <c r="B5" s="5" t="s">
        <v>544</v>
      </c>
      <c r="C5" s="5" t="s">
        <v>545</v>
      </c>
      <c r="D5" s="5" t="s">
        <v>546</v>
      </c>
      <c r="E5" s="5" t="s">
        <v>29</v>
      </c>
      <c r="F5" s="5" t="s">
        <v>561</v>
      </c>
      <c r="G5" s="5" t="s">
        <v>33</v>
      </c>
      <c r="H5" s="5" t="s">
        <v>562</v>
      </c>
      <c r="I5" s="5" t="s">
        <v>563</v>
      </c>
      <c r="J5" s="5" t="s">
        <v>564</v>
      </c>
      <c r="K5" s="5" t="s">
        <v>565</v>
      </c>
      <c r="L5" s="5" t="s">
        <v>37</v>
      </c>
      <c r="M5" s="5" t="s">
        <v>566</v>
      </c>
      <c r="N5" s="5" t="s">
        <v>567</v>
      </c>
      <c r="O5" s="5" t="s">
        <v>568</v>
      </c>
    </row>
    <row r="6" spans="1:15" x14ac:dyDescent="0.3">
      <c r="A6" s="46" t="str">
        <f>'Cleaned Data'!Z9</f>
        <v>Aira Valdez</v>
      </c>
      <c r="B6" s="30">
        <f>COUNTIFS(tblClean[Host Name],$A6,tblClean[Include],1)</f>
        <v>49</v>
      </c>
      <c r="C6" s="31">
        <f>SUMIFS(tblClean[Duration Hours],tblClean[Host Name],$A6,tblClean[Include],1)</f>
        <v>107</v>
      </c>
      <c r="D6" s="32">
        <f>SUMIFS(tblClean[Attributed GMV PHP],tblClean[Host Name],$A6,tblClean[Include],1)</f>
        <v>2439929</v>
      </c>
      <c r="E6" s="30">
        <f>SUMIFS(tblClean[Items Sold],tblClean[Host Name],$A6,tblClean[Include],1)</f>
        <v>7368</v>
      </c>
      <c r="F6" s="32">
        <f t="shared" ref="F6:F11" si="0">IF(B6&gt;0,D6/B6,0)</f>
        <v>49794.469387755104</v>
      </c>
      <c r="G6" s="32">
        <f t="shared" ref="G6:G11" si="1">IF(C6&gt;0,D6/C6,0)</f>
        <v>22803.074766355141</v>
      </c>
      <c r="H6" s="47">
        <f t="shared" ref="H6:H11" si="2">IF(B6&gt;0,E6/B6,0)</f>
        <v>150.36734693877551</v>
      </c>
      <c r="I6" s="48">
        <f>IF($D$11&gt;0,D6/$D$11,0)</f>
        <v>0.21876698799750205</v>
      </c>
      <c r="J6" s="48">
        <f>IF($C$11&gt;0,C6/$C$11,0)</f>
        <v>0.12083568605307736</v>
      </c>
      <c r="K6" s="49">
        <f>IF(J6&gt;0,I6/J6,0)</f>
        <v>1.8104501670260567</v>
      </c>
      <c r="L6" s="32">
        <f>IFERROR(D6/SUMIFS(tblClean[Livestream Views],tblClean[Host Name],$A6,tblClean[Include],1)*1000,0)</f>
        <v>292.89032462675499</v>
      </c>
      <c r="M6" s="43">
        <f>RANK(G6,$G$6:$G$10,0)+COUNTIFS($G$6:$G$10,G6,$D$6:$D$10,"&gt;"&amp;D6)</f>
        <v>1</v>
      </c>
      <c r="N6" s="43">
        <f>RANK(D6,$D$6:$D$10,0)</f>
        <v>3</v>
      </c>
      <c r="O6" s="46" t="str">
        <f>IF(AND(M6&lt;=2,N6&lt;=2),"Leader on both",IF(M6&lt;=2,"Efficiency-led",IF(N6&lt;=2,"Volume-led",IF(M6=MAX($M$6:$M$10),"Review: lowest efficiency","Mid-pack"))))</f>
        <v>Efficiency-led</v>
      </c>
    </row>
    <row r="7" spans="1:15" x14ac:dyDescent="0.3">
      <c r="A7" s="46" t="str">
        <f>'Cleaned Data'!Z10</f>
        <v>Bianca Reyes</v>
      </c>
      <c r="B7" s="30">
        <f>COUNTIFS(tblClean[Host Name],$A7,tblClean[Include],1)</f>
        <v>146</v>
      </c>
      <c r="C7" s="31">
        <f>SUMIFS(tblClean[Duration Hours],tblClean[Host Name],$A7,tblClean[Include],1)</f>
        <v>352</v>
      </c>
      <c r="D7" s="32">
        <f>SUMIFS(tblClean[Attributed GMV PHP],tblClean[Host Name],$A7,tblClean[Include],1)</f>
        <v>3731707</v>
      </c>
      <c r="E7" s="30">
        <f>SUMIFS(tblClean[Items Sold],tblClean[Host Name],$A7,tblClean[Include],1)</f>
        <v>11230</v>
      </c>
      <c r="F7" s="32">
        <f t="shared" si="0"/>
        <v>25559.636986301372</v>
      </c>
      <c r="G7" s="32">
        <f t="shared" si="1"/>
        <v>10601.44034090909</v>
      </c>
      <c r="H7" s="47">
        <f t="shared" si="2"/>
        <v>76.917808219178085</v>
      </c>
      <c r="I7" s="48">
        <f>IF($D$11&gt;0,D7/$D$11,0)</f>
        <v>0.33458936734601474</v>
      </c>
      <c r="J7" s="48">
        <f>IF($C$11&gt;0,C7/$C$11,0)</f>
        <v>0.39751552795031053</v>
      </c>
      <c r="K7" s="49">
        <f>IF(J7&gt;0,I7/J7,0)</f>
        <v>0.84170137722981841</v>
      </c>
      <c r="L7" s="32">
        <f>IFERROR(D7/SUMIFS(tblClean[Livestream Views],tblClean[Host Name],$A7,tblClean[Include],1)*1000,0)</f>
        <v>292.85760587845584</v>
      </c>
      <c r="M7" s="43">
        <f>RANK(G7,$G$6:$G$10,0)+COUNTIFS($G$6:$G$10,G7,$D$6:$D$10,"&gt;"&amp;D7)</f>
        <v>4</v>
      </c>
      <c r="N7" s="43">
        <f>RANK(D7,$D$6:$D$10,0)</f>
        <v>1</v>
      </c>
      <c r="O7" s="46" t="str">
        <f>IF(AND(M7&lt;=2,N7&lt;=2),"Leader on both",IF(M7&lt;=2,"Efficiency-led",IF(N7&lt;=2,"Volume-led",IF(M7=MAX($M$6:$M$10),"Review: lowest efficiency","Mid-pack"))))</f>
        <v>Volume-led</v>
      </c>
    </row>
    <row r="8" spans="1:15" x14ac:dyDescent="0.3">
      <c r="A8" s="46" t="str">
        <f>'Cleaned Data'!Z11</f>
        <v>Carlo Mendoza</v>
      </c>
      <c r="B8" s="30">
        <f>COUNTIFS(tblClean[Host Name],$A8,tblClean[Include],1)</f>
        <v>81</v>
      </c>
      <c r="C8" s="31">
        <f>SUMIFS(tblClean[Duration Hours],tblClean[Host Name],$A8,tblClean[Include],1)</f>
        <v>190.5</v>
      </c>
      <c r="D8" s="32">
        <f>SUMIFS(tblClean[Attributed GMV PHP],tblClean[Host Name],$A8,tblClean[Include],1)</f>
        <v>2674714</v>
      </c>
      <c r="E8" s="30">
        <f>SUMIFS(tblClean[Items Sold],tblClean[Host Name],$A8,tblClean[Include],1)</f>
        <v>7850</v>
      </c>
      <c r="F8" s="32">
        <f t="shared" si="0"/>
        <v>33021.160493827163</v>
      </c>
      <c r="G8" s="32">
        <f t="shared" si="1"/>
        <v>14040.493438320211</v>
      </c>
      <c r="H8" s="47">
        <f t="shared" si="2"/>
        <v>96.913580246913583</v>
      </c>
      <c r="I8" s="48">
        <f>IF($D$11&gt;0,D8/$D$11,0)</f>
        <v>0.23981809533586865</v>
      </c>
      <c r="J8" s="48">
        <f>IF($C$11&gt;0,C8/$C$11,0)</f>
        <v>0.21513269339356295</v>
      </c>
      <c r="K8" s="49">
        <f>IF(J8&gt;0,I8/J8,0)</f>
        <v>1.1147450048289329</v>
      </c>
      <c r="L8" s="32">
        <f>IFERROR(D8/SUMIFS(tblClean[Livestream Views],tblClean[Host Name],$A8,tblClean[Include],1)*1000,0)</f>
        <v>283.57307627309302</v>
      </c>
      <c r="M8" s="43">
        <f>RANK(G8,$G$6:$G$10,0)+COUNTIFS($G$6:$G$10,G8,$D$6:$D$10,"&gt;"&amp;D8)</f>
        <v>2</v>
      </c>
      <c r="N8" s="43">
        <f>RANK(D8,$D$6:$D$10,0)</f>
        <v>2</v>
      </c>
      <c r="O8" s="46" t="str">
        <f>IF(AND(M8&lt;=2,N8&lt;=2),"Leader on both",IF(M8&lt;=2,"Efficiency-led",IF(N8&lt;=2,"Volume-led",IF(M8=MAX($M$6:$M$10),"Review: lowest efficiency","Mid-pack"))))</f>
        <v>Leader on both</v>
      </c>
    </row>
    <row r="9" spans="1:15" x14ac:dyDescent="0.3">
      <c r="A9" s="46" t="str">
        <f>'Cleaned Data'!Z12</f>
        <v>Dani Villanueva</v>
      </c>
      <c r="B9" s="30">
        <f>COUNTIFS(tblClean[Host Name],$A9,tblClean[Include],1)</f>
        <v>67</v>
      </c>
      <c r="C9" s="31">
        <f>SUMIFS(tblClean[Duration Hours],tblClean[Host Name],$A9,tblClean[Include],1)</f>
        <v>164</v>
      </c>
      <c r="D9" s="32">
        <f>SUMIFS(tblClean[Attributed GMV PHP],tblClean[Host Name],$A9,tblClean[Include],1)</f>
        <v>1303370</v>
      </c>
      <c r="E9" s="30">
        <f>SUMIFS(tblClean[Items Sold],tblClean[Host Name],$A9,tblClean[Include],1)</f>
        <v>3775</v>
      </c>
      <c r="F9" s="32">
        <f t="shared" si="0"/>
        <v>19453.283582089553</v>
      </c>
      <c r="G9" s="32">
        <f t="shared" si="1"/>
        <v>7947.3780487804879</v>
      </c>
      <c r="H9" s="47">
        <f t="shared" si="2"/>
        <v>56.343283582089555</v>
      </c>
      <c r="I9" s="48">
        <f>IF($D$11&gt;0,D9/$D$11,0)</f>
        <v>0.11686173210216537</v>
      </c>
      <c r="J9" s="48">
        <f>IF($C$11&gt;0,C9/$C$11,0)</f>
        <v>0.18520609824957651</v>
      </c>
      <c r="K9" s="49">
        <f>IF(J9&gt;0,I9/J9,0)</f>
        <v>0.63098209619797219</v>
      </c>
      <c r="L9" s="32">
        <f>IFERROR(D9/SUMIFS(tblClean[Livestream Views],tblClean[Host Name],$A9,tblClean[Include],1)*1000,0)</f>
        <v>272.62854353099954</v>
      </c>
      <c r="M9" s="43">
        <f>RANK(G9,$G$6:$G$10,0)+COUNTIFS($G$6:$G$10,G9,$D$6:$D$10,"&gt;"&amp;D9)</f>
        <v>5</v>
      </c>
      <c r="N9" s="43">
        <f>RANK(D9,$D$6:$D$10,0)</f>
        <v>4</v>
      </c>
      <c r="O9" s="46" t="str">
        <f>IF(AND(M9&lt;=2,N9&lt;=2),"Leader on both",IF(M9&lt;=2,"Efficiency-led",IF(N9&lt;=2,"Volume-led",IF(M9=MAX($M$6:$M$10),"Review: lowest efficiency","Mid-pack"))))</f>
        <v>Review: lowest efficiency</v>
      </c>
    </row>
    <row r="10" spans="1:15" x14ac:dyDescent="0.3">
      <c r="A10" s="46" t="str">
        <f>'Cleaned Data'!Z13</f>
        <v>Elise Navarro</v>
      </c>
      <c r="B10" s="30">
        <f>COUNTIFS(tblClean[Host Name],$A10,tblClean[Include],1)</f>
        <v>31</v>
      </c>
      <c r="C10" s="31">
        <f>SUMIFS(tblClean[Duration Hours],tblClean[Host Name],$A10,tblClean[Include],1)</f>
        <v>72</v>
      </c>
      <c r="D10" s="32">
        <f>SUMIFS(tblClean[Attributed GMV PHP],tblClean[Host Name],$A10,tblClean[Include],1)</f>
        <v>1003375</v>
      </c>
      <c r="E10" s="30">
        <f>SUMIFS(tblClean[Items Sold],tblClean[Host Name],$A10,tblClean[Include],1)</f>
        <v>2893</v>
      </c>
      <c r="F10" s="32">
        <f t="shared" si="0"/>
        <v>32366.935483870966</v>
      </c>
      <c r="G10" s="32">
        <f t="shared" si="1"/>
        <v>13935.763888888889</v>
      </c>
      <c r="H10" s="47">
        <f t="shared" si="2"/>
        <v>93.322580645161295</v>
      </c>
      <c r="I10" s="48">
        <f>IF($D$11&gt;0,D10/$D$11,0)</f>
        <v>8.9963817218449232E-2</v>
      </c>
      <c r="J10" s="48">
        <f>IF($C$11&gt;0,C10/$C$11,0)</f>
        <v>8.1309994353472609E-2</v>
      </c>
      <c r="K10" s="49">
        <f>IF(J10&gt;0,I10/J10,0)</f>
        <v>1.1064300020407889</v>
      </c>
      <c r="L10" s="32">
        <f>IFERROR(D10/SUMIFS(tblClean[Livestream Views],tblClean[Host Name],$A10,tblClean[Include],1)*1000,0)</f>
        <v>296.95631431155562</v>
      </c>
      <c r="M10" s="43">
        <f>RANK(G10,$G$6:$G$10,0)+COUNTIFS($G$6:$G$10,G10,$D$6:$D$10,"&gt;"&amp;D10)</f>
        <v>3</v>
      </c>
      <c r="N10" s="43">
        <f>RANK(D10,$D$6:$D$10,0)</f>
        <v>5</v>
      </c>
      <c r="O10" s="46" t="str">
        <f>IF(AND(M10&lt;=2,N10&lt;=2),"Leader on both",IF(M10&lt;=2,"Efficiency-led",IF(N10&lt;=2,"Volume-led",IF(M10=MAX($M$6:$M$10),"Review: lowest efficiency","Mid-pack"))))</f>
        <v>Mid-pack</v>
      </c>
    </row>
    <row r="11" spans="1:15" x14ac:dyDescent="0.3">
      <c r="A11" s="33" t="s">
        <v>569</v>
      </c>
      <c r="B11" s="35">
        <f>SUM(B6:B10)</f>
        <v>374</v>
      </c>
      <c r="C11" s="36">
        <f>SUM(C6:C10)</f>
        <v>885.5</v>
      </c>
      <c r="D11" s="37">
        <f>SUM(D6:D10)</f>
        <v>11153095</v>
      </c>
      <c r="E11" s="35">
        <f>SUM(E6:E10)</f>
        <v>33116</v>
      </c>
      <c r="F11" s="37">
        <f t="shared" si="0"/>
        <v>29821.10962566845</v>
      </c>
      <c r="G11" s="37">
        <f t="shared" si="1"/>
        <v>12595.251270468661</v>
      </c>
      <c r="H11" s="50">
        <f t="shared" si="2"/>
        <v>88.545454545454547</v>
      </c>
      <c r="I11" s="51">
        <f>SUM(I6:I10)</f>
        <v>1</v>
      </c>
      <c r="J11" s="51">
        <f>SUM(J6:J10)</f>
        <v>0.99999999999999989</v>
      </c>
      <c r="K11" s="52"/>
      <c r="L11" s="37">
        <f>IFERROR(D11/SUMIFS(tblClean[Livestream Views],tblClean[Include],1)*1000,0)</f>
        <v>288.45664182895001</v>
      </c>
      <c r="M11" s="52"/>
      <c r="N11" s="52"/>
      <c r="O11" s="52"/>
    </row>
    <row r="12" spans="1:15" x14ac:dyDescent="0.3">
      <c r="A12" s="38" t="s">
        <v>549</v>
      </c>
      <c r="B12" s="39">
        <f>ROWS(tblRaw[Session ID])</f>
        <v>374</v>
      </c>
      <c r="D12" s="41">
        <f>SUM(tblRaw[Attributed GMV PHP])</f>
        <v>11153095</v>
      </c>
      <c r="E12" s="39">
        <f>SUM(tblRaw[Items Sold])</f>
        <v>33116</v>
      </c>
    </row>
    <row r="13" spans="1:15" x14ac:dyDescent="0.3">
      <c r="A13" s="38" t="s">
        <v>550</v>
      </c>
      <c r="B13" s="39">
        <f>B11-B12</f>
        <v>0</v>
      </c>
      <c r="D13" s="41">
        <f>D11-D12</f>
        <v>0</v>
      </c>
      <c r="E13" s="39">
        <f>E11-E12</f>
        <v>0</v>
      </c>
      <c r="G13" s="42" t="str">
        <f>IF(AND(B13=0,D13=0,E13=0),"✔ Reconciled","✖ Check")</f>
        <v>✔ Reconciled</v>
      </c>
    </row>
    <row r="15" spans="1:15" x14ac:dyDescent="0.3">
      <c r="A15" s="53" t="s">
        <v>570</v>
      </c>
    </row>
    <row r="16" spans="1:15" ht="31.95" customHeight="1" x14ac:dyDescent="0.3">
      <c r="A16" s="72" t="s">
        <v>571</v>
      </c>
      <c r="B16" s="73"/>
      <c r="C16" s="73"/>
      <c r="D16" s="73"/>
      <c r="E16" s="73"/>
      <c r="F16" s="73"/>
      <c r="G16" s="73"/>
      <c r="H16" s="73"/>
      <c r="I16" s="73"/>
      <c r="J16" s="73"/>
      <c r="K16" s="73"/>
      <c r="L16" s="73"/>
      <c r="M16" s="73"/>
      <c r="N16" s="73"/>
      <c r="O16" s="73"/>
    </row>
    <row r="17" spans="1:15" ht="31.95" customHeight="1" x14ac:dyDescent="0.3">
      <c r="A17" s="72" t="s">
        <v>572</v>
      </c>
      <c r="B17" s="73"/>
      <c r="C17" s="73"/>
      <c r="D17" s="73"/>
      <c r="E17" s="73"/>
      <c r="F17" s="73"/>
      <c r="G17" s="73"/>
      <c r="H17" s="73"/>
      <c r="I17" s="73"/>
      <c r="J17" s="73"/>
      <c r="K17" s="73"/>
      <c r="L17" s="73"/>
      <c r="M17" s="73"/>
      <c r="N17" s="73"/>
      <c r="O17" s="73"/>
    </row>
    <row r="18" spans="1:15" ht="31.95" customHeight="1" x14ac:dyDescent="0.3">
      <c r="A18" s="72" t="s">
        <v>573</v>
      </c>
      <c r="B18" s="73"/>
      <c r="C18" s="73"/>
      <c r="D18" s="73"/>
      <c r="E18" s="73"/>
      <c r="F18" s="73"/>
      <c r="G18" s="73"/>
      <c r="H18" s="73"/>
      <c r="I18" s="73"/>
      <c r="J18" s="73"/>
      <c r="K18" s="73"/>
      <c r="L18" s="73"/>
      <c r="M18" s="73"/>
      <c r="N18" s="73"/>
      <c r="O18" s="73"/>
    </row>
    <row r="19" spans="1:15" ht="31.95" customHeight="1" x14ac:dyDescent="0.3">
      <c r="A19" s="72" t="s">
        <v>574</v>
      </c>
      <c r="B19" s="73"/>
      <c r="C19" s="73"/>
      <c r="D19" s="73"/>
      <c r="E19" s="73"/>
      <c r="F19" s="73"/>
      <c r="G19" s="73"/>
      <c r="H19" s="73"/>
      <c r="I19" s="73"/>
      <c r="J19" s="73"/>
      <c r="K19" s="73"/>
      <c r="L19" s="73"/>
      <c r="M19" s="73"/>
      <c r="N19" s="73"/>
      <c r="O19" s="73"/>
    </row>
    <row r="22" spans="1:15" x14ac:dyDescent="0.3">
      <c r="A22" s="53" t="s">
        <v>575</v>
      </c>
    </row>
    <row r="23" spans="1:15" x14ac:dyDescent="0.3">
      <c r="A23" s="27" t="s">
        <v>576</v>
      </c>
    </row>
    <row r="24" spans="1:15" x14ac:dyDescent="0.3">
      <c r="A24" s="5" t="s">
        <v>68</v>
      </c>
      <c r="B24" s="5" t="s">
        <v>577</v>
      </c>
      <c r="C24" s="5" t="s">
        <v>578</v>
      </c>
      <c r="D24" s="5" t="s">
        <v>579</v>
      </c>
      <c r="E24" s="5" t="s">
        <v>580</v>
      </c>
      <c r="F24" s="5" t="s">
        <v>581</v>
      </c>
      <c r="G24" s="5" t="s">
        <v>582</v>
      </c>
    </row>
    <row r="25" spans="1:15" x14ac:dyDescent="0.3">
      <c r="A25" s="54" t="str">
        <f>A6</f>
        <v>Aira Valdez</v>
      </c>
      <c r="B25" s="32" t="str">
        <f>IF(SUMIFS(tblClean[Duration Hours],tblClean[Host Name],$A25,tblClean[Time Slot],B$24,tblClean[Include],1)&gt;0,SUMIFS(tblClean[Attributed GMV PHP],tblClean[Host Name],$A25,tblClean[Time Slot],B$24,tblClean[Include],1)/SUMIFS(tblClean[Duration Hours],tblClean[Host Name],$A25,tblClean[Time Slot],B$24,tblClean[Include],1),"")</f>
        <v/>
      </c>
      <c r="C25" s="32">
        <f>IF(SUMIFS(tblClean[Duration Hours],tblClean[Host Name],$A25,tblClean[Time Slot],C$24,tblClean[Include],1)&gt;0,SUMIFS(tblClean[Attributed GMV PHP],tblClean[Host Name],$A25,tblClean[Time Slot],C$24,tblClean[Include],1)/SUMIFS(tblClean[Duration Hours],tblClean[Host Name],$A25,tblClean[Time Slot],C$24,tblClean[Include],1),"")</f>
        <v>15098.941176470587</v>
      </c>
      <c r="D25" s="32">
        <f>IF(SUMIFS(tblClean[Duration Hours],tblClean[Host Name],$A25,tblClean[Time Slot],D$24,tblClean[Include],1)&gt;0,SUMIFS(tblClean[Attributed GMV PHP],tblClean[Host Name],$A25,tblClean[Time Slot],D$24,tblClean[Include],1)/SUMIFS(tblClean[Duration Hours],tblClean[Host Name],$A25,tblClean[Time Slot],D$24,tblClean[Include],1),"")</f>
        <v>18044.925925925927</v>
      </c>
      <c r="E25" s="32">
        <f>IF(SUMIFS(tblClean[Duration Hours],tblClean[Host Name],$A25,tblClean[Time Slot],E$24,tblClean[Include],1)&gt;0,SUMIFS(tblClean[Attributed GMV PHP],tblClean[Host Name],$A25,tblClean[Time Slot],E$24,tblClean[Include],1)/SUMIFS(tblClean[Duration Hours],tblClean[Host Name],$A25,tblClean[Time Slot],E$24,tblClean[Include],1),"")</f>
        <v>26766.333333333332</v>
      </c>
      <c r="F25" s="32">
        <f>IF(SUMIFS(tblClean[Duration Hours],tblClean[Host Name],$A25,tblClean[Time Slot],F$24,tblClean[Include],1)&gt;0,SUMIFS(tblClean[Attributed GMV PHP],tblClean[Host Name],$A25,tblClean[Time Slot],F$24,tblClean[Include],1)/SUMIFS(tblClean[Duration Hours],tblClean[Host Name],$A25,tblClean[Time Slot],F$24,tblClean[Include],1),"")</f>
        <v>18990.869565217392</v>
      </c>
      <c r="G25" s="32">
        <f t="shared" ref="G25:G30" si="3">G6</f>
        <v>22803.074766355141</v>
      </c>
    </row>
    <row r="26" spans="1:15" x14ac:dyDescent="0.3">
      <c r="A26" s="54" t="str">
        <f>A7</f>
        <v>Bianca Reyes</v>
      </c>
      <c r="B26" s="32">
        <f>IF(SUMIFS(tblClean[Duration Hours],tblClean[Host Name],$A26,tblClean[Time Slot],B$24,tblClean[Include],1)&gt;0,SUMIFS(tblClean[Attributed GMV PHP],tblClean[Host Name],$A26,tblClean[Time Slot],B$24,tblClean[Include],1)/SUMIFS(tblClean[Duration Hours],tblClean[Host Name],$A26,tblClean[Time Slot],B$24,tblClean[Include],1),"")</f>
        <v>8789.6891891891901</v>
      </c>
      <c r="C26" s="32">
        <f>IF(SUMIFS(tblClean[Duration Hours],tblClean[Host Name],$A26,tblClean[Time Slot],C$24,tblClean[Include],1)&gt;0,SUMIFS(tblClean[Attributed GMV PHP],tblClean[Host Name],$A26,tblClean[Time Slot],C$24,tblClean[Include],1)/SUMIFS(tblClean[Duration Hours],tblClean[Host Name],$A26,tblClean[Time Slot],C$24,tblClean[Include],1),"")</f>
        <v>8335.1504424778759</v>
      </c>
      <c r="D26" s="32">
        <f>IF(SUMIFS(tblClean[Duration Hours],tblClean[Host Name],$A26,tblClean[Time Slot],D$24,tblClean[Include],1)&gt;0,SUMIFS(tblClean[Attributed GMV PHP],tblClean[Host Name],$A26,tblClean[Time Slot],D$24,tblClean[Include],1)/SUMIFS(tblClean[Duration Hours],tblClean[Host Name],$A26,tblClean[Time Slot],D$24,tblClean[Include],1),"")</f>
        <v>9613.2571428571428</v>
      </c>
      <c r="E26" s="32">
        <f>IF(SUMIFS(tblClean[Duration Hours],tblClean[Host Name],$A26,tblClean[Time Slot],E$24,tblClean[Include],1)&gt;0,SUMIFS(tblClean[Attributed GMV PHP],tblClean[Host Name],$A26,tblClean[Time Slot],E$24,tblClean[Include],1)/SUMIFS(tblClean[Duration Hours],tblClean[Host Name],$A26,tblClean[Time Slot],E$24,tblClean[Include],1),"")</f>
        <v>14310.830409356726</v>
      </c>
      <c r="F26" s="32">
        <f>IF(SUMIFS(tblClean[Duration Hours],tblClean[Host Name],$A26,tblClean[Time Slot],F$24,tblClean[Include],1)&gt;0,SUMIFS(tblClean[Attributed GMV PHP],tblClean[Host Name],$A26,tblClean[Time Slot],F$24,tblClean[Include],1)/SUMIFS(tblClean[Duration Hours],tblClean[Host Name],$A26,tblClean[Time Slot],F$24,tblClean[Include],1),"")</f>
        <v>10815.60606060606</v>
      </c>
      <c r="G26" s="32">
        <f t="shared" si="3"/>
        <v>10601.44034090909</v>
      </c>
    </row>
    <row r="27" spans="1:15" x14ac:dyDescent="0.3">
      <c r="A27" s="54" t="str">
        <f>A8</f>
        <v>Carlo Mendoza</v>
      </c>
      <c r="B27" s="32">
        <f>IF(SUMIFS(tblClean[Duration Hours],tblClean[Host Name],$A27,tblClean[Time Slot],B$24,tblClean[Include],1)&gt;0,SUMIFS(tblClean[Attributed GMV PHP],tblClean[Host Name],$A27,tblClean[Time Slot],B$24,tblClean[Include],1)/SUMIFS(tblClean[Duration Hours],tblClean[Host Name],$A27,tblClean[Time Slot],B$24,tblClean[Include],1),"")</f>
        <v>8851.6111111111113</v>
      </c>
      <c r="C27" s="32">
        <f>IF(SUMIFS(tblClean[Duration Hours],tblClean[Host Name],$A27,tblClean[Time Slot],C$24,tblClean[Include],1)&gt;0,SUMIFS(tblClean[Attributed GMV PHP],tblClean[Host Name],$A27,tblClean[Time Slot],C$24,tblClean[Include],1)/SUMIFS(tblClean[Duration Hours],tblClean[Host Name],$A27,tblClean[Time Slot],C$24,tblClean[Include],1),"")</f>
        <v>15669.59375</v>
      </c>
      <c r="D27" s="32">
        <f>IF(SUMIFS(tblClean[Duration Hours],tblClean[Host Name],$A27,tblClean[Time Slot],D$24,tblClean[Include],1)&gt;0,SUMIFS(tblClean[Attributed GMV PHP],tblClean[Host Name],$A27,tblClean[Time Slot],D$24,tblClean[Include],1)/SUMIFS(tblClean[Duration Hours],tblClean[Host Name],$A27,tblClean[Time Slot],D$24,tblClean[Include],1),"")</f>
        <v>13533.35</v>
      </c>
      <c r="E27" s="32">
        <f>IF(SUMIFS(tblClean[Duration Hours],tblClean[Host Name],$A27,tblClean[Time Slot],E$24,tblClean[Include],1)&gt;0,SUMIFS(tblClean[Attributed GMV PHP],tblClean[Host Name],$A27,tblClean[Time Slot],E$24,tblClean[Include],1)/SUMIFS(tblClean[Duration Hours],tblClean[Host Name],$A27,tblClean[Time Slot],E$24,tblClean[Include],1),"")</f>
        <v>15666.09090909091</v>
      </c>
      <c r="F27" s="32">
        <f>IF(SUMIFS(tblClean[Duration Hours],tblClean[Host Name],$A27,tblClean[Time Slot],F$24,tblClean[Include],1)&gt;0,SUMIFS(tblClean[Attributed GMV PHP],tblClean[Host Name],$A27,tblClean[Time Slot],F$24,tblClean[Include],1)/SUMIFS(tblClean[Duration Hours],tblClean[Host Name],$A27,tblClean[Time Slot],F$24,tblClean[Include],1),"")</f>
        <v>14045.17808219178</v>
      </c>
      <c r="G27" s="32">
        <f t="shared" si="3"/>
        <v>14040.493438320211</v>
      </c>
    </row>
    <row r="28" spans="1:15" x14ac:dyDescent="0.3">
      <c r="A28" s="54" t="str">
        <f>A9</f>
        <v>Dani Villanueva</v>
      </c>
      <c r="B28" s="32">
        <f>IF(SUMIFS(tblClean[Duration Hours],tblClean[Host Name],$A28,tblClean[Time Slot],B$24,tblClean[Include],1)&gt;0,SUMIFS(tblClean[Attributed GMV PHP],tblClean[Host Name],$A28,tblClean[Time Slot],B$24,tblClean[Include],1)/SUMIFS(tblClean[Duration Hours],tblClean[Host Name],$A28,tblClean[Time Slot],B$24,tblClean[Include],1),"")</f>
        <v>4993.4757281553402</v>
      </c>
      <c r="C28" s="32">
        <f>IF(SUMIFS(tblClean[Duration Hours],tblClean[Host Name],$A28,tblClean[Time Slot],C$24,tblClean[Include],1)&gt;0,SUMIFS(tblClean[Attributed GMV PHP],tblClean[Host Name],$A28,tblClean[Time Slot],C$24,tblClean[Include],1)/SUMIFS(tblClean[Duration Hours],tblClean[Host Name],$A28,tblClean[Time Slot],C$24,tblClean[Include],1),"")</f>
        <v>7377.6842105263158</v>
      </c>
      <c r="D28" s="32">
        <f>IF(SUMIFS(tblClean[Duration Hours],tblClean[Host Name],$A28,tblClean[Time Slot],D$24,tblClean[Include],1)&gt;0,SUMIFS(tblClean[Attributed GMV PHP],tblClean[Host Name],$A28,tblClean[Time Slot],D$24,tblClean[Include],1)/SUMIFS(tblClean[Duration Hours],tblClean[Host Name],$A28,tblClean[Time Slot],D$24,tblClean[Include],1),"")</f>
        <v>10569.962962962964</v>
      </c>
      <c r="E28" s="32">
        <f>IF(SUMIFS(tblClean[Duration Hours],tblClean[Host Name],$A28,tblClean[Time Slot],E$24,tblClean[Include],1)&gt;0,SUMIFS(tblClean[Attributed GMV PHP],tblClean[Host Name],$A28,tblClean[Time Slot],E$24,tblClean[Include],1)/SUMIFS(tblClean[Duration Hours],tblClean[Host Name],$A28,tblClean[Time Slot],E$24,tblClean[Include],1),"")</f>
        <v>12644.888888888889</v>
      </c>
      <c r="F28" s="32">
        <f>IF(SUMIFS(tblClean[Duration Hours],tblClean[Host Name],$A28,tblClean[Time Slot],F$24,tblClean[Include],1)&gt;0,SUMIFS(tblClean[Attributed GMV PHP],tblClean[Host Name],$A28,tblClean[Time Slot],F$24,tblClean[Include],1)/SUMIFS(tblClean[Duration Hours],tblClean[Host Name],$A28,tblClean[Time Slot],F$24,tblClean[Include],1),"")</f>
        <v>10226.655172413793</v>
      </c>
      <c r="G28" s="32">
        <f t="shared" si="3"/>
        <v>7947.3780487804879</v>
      </c>
    </row>
    <row r="29" spans="1:15" x14ac:dyDescent="0.3">
      <c r="A29" s="54" t="str">
        <f>A10</f>
        <v>Elise Navarro</v>
      </c>
      <c r="B29" s="32">
        <f>IF(SUMIFS(tblClean[Duration Hours],tblClean[Host Name],$A29,tblClean[Time Slot],B$24,tblClean[Include],1)&gt;0,SUMIFS(tblClean[Attributed GMV PHP],tblClean[Host Name],$A29,tblClean[Time Slot],B$24,tblClean[Include],1)/SUMIFS(tblClean[Duration Hours],tblClean[Host Name],$A29,tblClean[Time Slot],B$24,tblClean[Include],1),"")</f>
        <v>5888.5714285714284</v>
      </c>
      <c r="C29" s="32">
        <f>IF(SUMIFS(tblClean[Duration Hours],tblClean[Host Name],$A29,tblClean[Time Slot],C$24,tblClean[Include],1)&gt;0,SUMIFS(tblClean[Attributed GMV PHP],tblClean[Host Name],$A29,tblClean[Time Slot],C$24,tblClean[Include],1)/SUMIFS(tblClean[Duration Hours],tblClean[Host Name],$A29,tblClean[Time Slot],C$24,tblClean[Include],1),"")</f>
        <v>14138.533333333333</v>
      </c>
      <c r="D29" s="32">
        <f>IF(SUMIFS(tblClean[Duration Hours],tblClean[Host Name],$A29,tblClean[Time Slot],D$24,tblClean[Include],1)&gt;0,SUMIFS(tblClean[Attributed GMV PHP],tblClean[Host Name],$A29,tblClean[Time Slot],D$24,tblClean[Include],1)/SUMIFS(tblClean[Duration Hours],tblClean[Host Name],$A29,tblClean[Time Slot],D$24,tblClean[Include],1),"")</f>
        <v>14398.09756097561</v>
      </c>
      <c r="E29" s="32">
        <f>IF(SUMIFS(tblClean[Duration Hours],tblClean[Host Name],$A29,tblClean[Time Slot],E$24,tblClean[Include],1)&gt;0,SUMIFS(tblClean[Attributed GMV PHP],tblClean[Host Name],$A29,tblClean[Time Slot],E$24,tblClean[Include],1)/SUMIFS(tblClean[Duration Hours],tblClean[Host Name],$A29,tblClean[Time Slot],E$24,tblClean[Include],1),"")</f>
        <v>20710.833333333332</v>
      </c>
      <c r="F29" s="32">
        <f>IF(SUMIFS(tblClean[Duration Hours],tblClean[Host Name],$A29,tblClean[Time Slot],F$24,tblClean[Include],1)&gt;0,SUMIFS(tblClean[Attributed GMV PHP],tblClean[Host Name],$A29,tblClean[Time Slot],F$24,tblClean[Include],1)/SUMIFS(tblClean[Duration Hours],tblClean[Host Name],$A29,tblClean[Time Slot],F$24,tblClean[Include],1),"")</f>
        <v>13949.764705882353</v>
      </c>
      <c r="G29" s="32">
        <f t="shared" si="3"/>
        <v>13935.763888888889</v>
      </c>
    </row>
    <row r="30" spans="1:15" x14ac:dyDescent="0.3">
      <c r="A30" s="38" t="s">
        <v>583</v>
      </c>
      <c r="B30" s="55">
        <f>IF(SUMIFS(tblClean[Duration Hours],tblClean[Time Slot],B$24,tblClean[Include],1)&gt;0,SUMIFS(tblClean[Attributed GMV PHP],tblClean[Time Slot],B$24,tblClean[Include],1)/SUMIFS(tblClean[Duration Hours],tblClean[Time Slot],B$24,tblClean[Include],1),"")</f>
        <v>7363.1229235880401</v>
      </c>
      <c r="C30" s="55">
        <f>IF(SUMIFS(tblClean[Duration Hours],tblClean[Time Slot],C$24,tblClean[Include],1)&gt;0,SUMIFS(tblClean[Attributed GMV PHP],tblClean[Time Slot],C$24,tblClean[Include],1)/SUMIFS(tblClean[Duration Hours],tblClean[Time Slot],C$24,tblClean[Include],1),"")</f>
        <v>10746.704871060172</v>
      </c>
      <c r="D30" s="55">
        <f>IF(SUMIFS(tblClean[Duration Hours],tblClean[Time Slot],D$24,tblClean[Include],1)&gt;0,SUMIFS(tblClean[Attributed GMV PHP],tblClean[Time Slot],D$24,tblClean[Include],1)/SUMIFS(tblClean[Duration Hours],tblClean[Time Slot],D$24,tblClean[Include],1),"")</f>
        <v>12482.601466992664</v>
      </c>
      <c r="E30" s="55">
        <f>IF(SUMIFS(tblClean[Duration Hours],tblClean[Time Slot],E$24,tblClean[Include],1)&gt;0,SUMIFS(tblClean[Attributed GMV PHP],tblClean[Time Slot],E$24,tblClean[Include],1)/SUMIFS(tblClean[Duration Hours],tblClean[Time Slot],E$24,tblClean[Include],1),"")</f>
        <v>18371.310513447432</v>
      </c>
      <c r="F30" s="55">
        <f>IF(SUMIFS(tblClean[Duration Hours],tblClean[Time Slot],F$24,tblClean[Include],1)&gt;0,SUMIFS(tblClean[Attributed GMV PHP],tblClean[Time Slot],F$24,tblClean[Include],1)/SUMIFS(tblClean[Duration Hours],tblClean[Time Slot],F$24,tblClean[Include],1),"")</f>
        <v>12277.359735973598</v>
      </c>
      <c r="G30" s="55">
        <f t="shared" si="3"/>
        <v>12595.251270468661</v>
      </c>
    </row>
    <row r="33" spans="1:7" x14ac:dyDescent="0.3">
      <c r="A33" s="53" t="s">
        <v>584</v>
      </c>
    </row>
    <row r="34" spans="1:7" x14ac:dyDescent="0.3">
      <c r="A34" s="27" t="s">
        <v>585</v>
      </c>
    </row>
    <row r="35" spans="1:7" ht="26.4" x14ac:dyDescent="0.3">
      <c r="A35" s="5" t="s">
        <v>99</v>
      </c>
      <c r="B35" s="5" t="str">
        <f>A6</f>
        <v>Aira Valdez</v>
      </c>
      <c r="C35" s="5" t="str">
        <f>A7</f>
        <v>Bianca Reyes</v>
      </c>
      <c r="D35" s="5" t="str">
        <f>A8</f>
        <v>Carlo Mendoza</v>
      </c>
      <c r="E35" s="5" t="str">
        <f>A9</f>
        <v>Dani Villanueva</v>
      </c>
      <c r="F35" s="5" t="str">
        <f>A10</f>
        <v>Elise Navarro</v>
      </c>
      <c r="G35" s="5" t="s">
        <v>586</v>
      </c>
    </row>
    <row r="36" spans="1:7" x14ac:dyDescent="0.3">
      <c r="A36" s="28">
        <f>'Weekly Summary'!B6</f>
        <v>45810</v>
      </c>
      <c r="B36" s="32">
        <f>SUMIFS(tblClean[Attributed GMV PHP],tblClean[Week Start],$A36,tblClean[Host Name],B$35,tblClean[Include],1)</f>
        <v>285967</v>
      </c>
      <c r="C36" s="32">
        <f>SUMIFS(tblClean[Attributed GMV PHP],tblClean[Week Start],$A36,tblClean[Host Name],C$35,tblClean[Include],1)</f>
        <v>142391</v>
      </c>
      <c r="D36" s="32">
        <f>SUMIFS(tblClean[Attributed GMV PHP],tblClean[Week Start],$A36,tblClean[Host Name],D$35,tblClean[Include],1)</f>
        <v>255803</v>
      </c>
      <c r="E36" s="32">
        <f>SUMIFS(tblClean[Attributed GMV PHP],tblClean[Week Start],$A36,tblClean[Host Name],E$35,tblClean[Include],1)</f>
        <v>84142</v>
      </c>
      <c r="F36" s="32">
        <f>SUMIFS(tblClean[Attributed GMV PHP],tblClean[Week Start],$A36,tblClean[Host Name],F$35,tblClean[Include],1)</f>
        <v>0</v>
      </c>
      <c r="G36" s="32">
        <f t="shared" ref="G36:G48" si="4">SUM(B36:F36)</f>
        <v>768303</v>
      </c>
    </row>
    <row r="37" spans="1:7" x14ac:dyDescent="0.3">
      <c r="A37" s="28">
        <f>'Weekly Summary'!B7</f>
        <v>45817</v>
      </c>
      <c r="B37" s="32">
        <f>SUMIFS(tblClean[Attributed GMV PHP],tblClean[Week Start],$A37,tblClean[Host Name],B$35,tblClean[Include],1)</f>
        <v>129715</v>
      </c>
      <c r="C37" s="32">
        <f>SUMIFS(tblClean[Attributed GMV PHP],tblClean[Week Start],$A37,tblClean[Host Name],C$35,tblClean[Include],1)</f>
        <v>368927</v>
      </c>
      <c r="D37" s="32">
        <f>SUMIFS(tblClean[Attributed GMV PHP],tblClean[Week Start],$A37,tblClean[Host Name],D$35,tblClean[Include],1)</f>
        <v>125577</v>
      </c>
      <c r="E37" s="32">
        <f>SUMIFS(tblClean[Attributed GMV PHP],tblClean[Week Start],$A37,tblClean[Host Name],E$35,tblClean[Include],1)</f>
        <v>74522</v>
      </c>
      <c r="F37" s="32">
        <f>SUMIFS(tblClean[Attributed GMV PHP],tblClean[Week Start],$A37,tblClean[Host Name],F$35,tblClean[Include],1)</f>
        <v>0</v>
      </c>
      <c r="G37" s="32">
        <f t="shared" si="4"/>
        <v>698741</v>
      </c>
    </row>
    <row r="38" spans="1:7" x14ac:dyDescent="0.3">
      <c r="A38" s="28">
        <f>'Weekly Summary'!B8</f>
        <v>45824</v>
      </c>
      <c r="B38" s="32">
        <f>SUMIFS(tblClean[Attributed GMV PHP],tblClean[Week Start],$A38,tblClean[Host Name],B$35,tblClean[Include],1)</f>
        <v>167973</v>
      </c>
      <c r="C38" s="32">
        <f>SUMIFS(tblClean[Attributed GMV PHP],tblClean[Week Start],$A38,tblClean[Host Name],C$35,tblClean[Include],1)</f>
        <v>318878</v>
      </c>
      <c r="D38" s="32">
        <f>SUMIFS(tblClean[Attributed GMV PHP],tblClean[Week Start],$A38,tblClean[Host Name],D$35,tblClean[Include],1)</f>
        <v>140201</v>
      </c>
      <c r="E38" s="32">
        <f>SUMIFS(tblClean[Attributed GMV PHP],tblClean[Week Start],$A38,tblClean[Host Name],E$35,tblClean[Include],1)</f>
        <v>42662</v>
      </c>
      <c r="F38" s="32">
        <f>SUMIFS(tblClean[Attributed GMV PHP],tblClean[Week Start],$A38,tblClean[Host Name],F$35,tblClean[Include],1)</f>
        <v>9000</v>
      </c>
      <c r="G38" s="32">
        <f t="shared" si="4"/>
        <v>678714</v>
      </c>
    </row>
    <row r="39" spans="1:7" x14ac:dyDescent="0.3">
      <c r="A39" s="28">
        <f>'Weekly Summary'!B9</f>
        <v>45831</v>
      </c>
      <c r="B39" s="32">
        <f>SUMIFS(tblClean[Attributed GMV PHP],tblClean[Week Start],$A39,tblClean[Host Name],B$35,tblClean[Include],1)</f>
        <v>129011</v>
      </c>
      <c r="C39" s="32">
        <f>SUMIFS(tblClean[Attributed GMV PHP],tblClean[Week Start],$A39,tblClean[Host Name],C$35,tblClean[Include],1)</f>
        <v>317190</v>
      </c>
      <c r="D39" s="32">
        <f>SUMIFS(tblClean[Attributed GMV PHP],tblClean[Week Start],$A39,tblClean[Host Name],D$35,tblClean[Include],1)</f>
        <v>155662</v>
      </c>
      <c r="E39" s="32">
        <f>SUMIFS(tblClean[Attributed GMV PHP],tblClean[Week Start],$A39,tblClean[Host Name],E$35,tblClean[Include],1)</f>
        <v>83551</v>
      </c>
      <c r="F39" s="32">
        <f>SUMIFS(tblClean[Attributed GMV PHP],tblClean[Week Start],$A39,tblClean[Host Name],F$35,tblClean[Include],1)</f>
        <v>60883</v>
      </c>
      <c r="G39" s="32">
        <f t="shared" si="4"/>
        <v>746297</v>
      </c>
    </row>
    <row r="40" spans="1:7" x14ac:dyDescent="0.3">
      <c r="A40" s="28">
        <f>'Weekly Summary'!B10</f>
        <v>45838</v>
      </c>
      <c r="B40" s="32">
        <f>SUMIFS(tblClean[Attributed GMV PHP],tblClean[Week Start],$A40,tblClean[Host Name],B$35,tblClean[Include],1)</f>
        <v>415469</v>
      </c>
      <c r="C40" s="32">
        <f>SUMIFS(tblClean[Attributed GMV PHP],tblClean[Week Start],$A40,tblClean[Host Name],C$35,tblClean[Include],1)</f>
        <v>243167</v>
      </c>
      <c r="D40" s="32">
        <f>SUMIFS(tblClean[Attributed GMV PHP],tblClean[Week Start],$A40,tblClean[Host Name],D$35,tblClean[Include],1)</f>
        <v>183347</v>
      </c>
      <c r="E40" s="32">
        <f>SUMIFS(tblClean[Attributed GMV PHP],tblClean[Week Start],$A40,tblClean[Host Name],E$35,tblClean[Include],1)</f>
        <v>66167</v>
      </c>
      <c r="F40" s="32">
        <f>SUMIFS(tblClean[Attributed GMV PHP],tblClean[Week Start],$A40,tblClean[Host Name],F$35,tblClean[Include],1)</f>
        <v>0</v>
      </c>
      <c r="G40" s="32">
        <f t="shared" si="4"/>
        <v>908150</v>
      </c>
    </row>
    <row r="41" spans="1:7" x14ac:dyDescent="0.3">
      <c r="A41" s="28">
        <f>'Weekly Summary'!B11</f>
        <v>45845</v>
      </c>
      <c r="B41" s="32">
        <f>SUMIFS(tblClean[Attributed GMV PHP],tblClean[Week Start],$A41,tblClean[Host Name],B$35,tblClean[Include],1)</f>
        <v>317849</v>
      </c>
      <c r="C41" s="32">
        <f>SUMIFS(tblClean[Attributed GMV PHP],tblClean[Week Start],$A41,tblClean[Host Name],C$35,tblClean[Include],1)</f>
        <v>132802</v>
      </c>
      <c r="D41" s="32">
        <f>SUMIFS(tblClean[Attributed GMV PHP],tblClean[Week Start],$A41,tblClean[Host Name],D$35,tblClean[Include],1)</f>
        <v>422404</v>
      </c>
      <c r="E41" s="32">
        <f>SUMIFS(tblClean[Attributed GMV PHP],tblClean[Week Start],$A41,tblClean[Host Name],E$35,tblClean[Include],1)</f>
        <v>47500</v>
      </c>
      <c r="F41" s="32">
        <f>SUMIFS(tblClean[Attributed GMV PHP],tblClean[Week Start],$A41,tblClean[Host Name],F$35,tblClean[Include],1)</f>
        <v>0</v>
      </c>
      <c r="G41" s="32">
        <f t="shared" si="4"/>
        <v>920555</v>
      </c>
    </row>
    <row r="42" spans="1:7" x14ac:dyDescent="0.3">
      <c r="A42" s="28">
        <f>'Weekly Summary'!B12</f>
        <v>45852</v>
      </c>
      <c r="B42" s="32">
        <f>SUMIFS(tblClean[Attributed GMV PHP],tblClean[Week Start],$A42,tblClean[Host Name],B$35,tblClean[Include],1)</f>
        <v>254381</v>
      </c>
      <c r="C42" s="32">
        <f>SUMIFS(tblClean[Attributed GMV PHP],tblClean[Week Start],$A42,tblClean[Host Name],C$35,tblClean[Include],1)</f>
        <v>179005</v>
      </c>
      <c r="D42" s="32">
        <f>SUMIFS(tblClean[Attributed GMV PHP],tblClean[Week Start],$A42,tblClean[Host Name],D$35,tblClean[Include],1)</f>
        <v>139306</v>
      </c>
      <c r="E42" s="32">
        <f>SUMIFS(tblClean[Attributed GMV PHP],tblClean[Week Start],$A42,tblClean[Host Name],E$35,tblClean[Include],1)</f>
        <v>218778</v>
      </c>
      <c r="F42" s="32">
        <f>SUMIFS(tblClean[Attributed GMV PHP],tblClean[Week Start],$A42,tblClean[Host Name],F$35,tblClean[Include],1)</f>
        <v>53601</v>
      </c>
      <c r="G42" s="32">
        <f t="shared" si="4"/>
        <v>845071</v>
      </c>
    </row>
    <row r="43" spans="1:7" x14ac:dyDescent="0.3">
      <c r="A43" s="28">
        <f>'Weekly Summary'!B13</f>
        <v>45859</v>
      </c>
      <c r="B43" s="32">
        <f>SUMIFS(tblClean[Attributed GMV PHP],tblClean[Week Start],$A43,tblClean[Host Name],B$35,tblClean[Include],1)</f>
        <v>25121</v>
      </c>
      <c r="C43" s="32">
        <f>SUMIFS(tblClean[Attributed GMV PHP],tblClean[Week Start],$A43,tblClean[Host Name],C$35,tblClean[Include],1)</f>
        <v>326173</v>
      </c>
      <c r="D43" s="32">
        <f>SUMIFS(tblClean[Attributed GMV PHP],tblClean[Week Start],$A43,tblClean[Host Name],D$35,tblClean[Include],1)</f>
        <v>246759</v>
      </c>
      <c r="E43" s="32">
        <f>SUMIFS(tblClean[Attributed GMV PHP],tblClean[Week Start],$A43,tblClean[Host Name],E$35,tblClean[Include],1)</f>
        <v>102756</v>
      </c>
      <c r="F43" s="32">
        <f>SUMIFS(tblClean[Attributed GMV PHP],tblClean[Week Start],$A43,tblClean[Host Name],F$35,tblClean[Include],1)</f>
        <v>90009</v>
      </c>
      <c r="G43" s="32">
        <f t="shared" si="4"/>
        <v>790818</v>
      </c>
    </row>
    <row r="44" spans="1:7" x14ac:dyDescent="0.3">
      <c r="A44" s="28">
        <f>'Weekly Summary'!B14</f>
        <v>45866</v>
      </c>
      <c r="B44" s="32">
        <f>SUMIFS(tblClean[Attributed GMV PHP],tblClean[Week Start],$A44,tblClean[Host Name],B$35,tblClean[Include],1)</f>
        <v>345947</v>
      </c>
      <c r="C44" s="32">
        <f>SUMIFS(tblClean[Attributed GMV PHP],tblClean[Week Start],$A44,tblClean[Host Name],C$35,tblClean[Include],1)</f>
        <v>461326</v>
      </c>
      <c r="D44" s="32">
        <f>SUMIFS(tblClean[Attributed GMV PHP],tblClean[Week Start],$A44,tblClean[Host Name],D$35,tblClean[Include],1)</f>
        <v>240729</v>
      </c>
      <c r="E44" s="32">
        <f>SUMIFS(tblClean[Attributed GMV PHP],tblClean[Week Start],$A44,tblClean[Host Name],E$35,tblClean[Include],1)</f>
        <v>88382</v>
      </c>
      <c r="F44" s="32">
        <f>SUMIFS(tblClean[Attributed GMV PHP],tblClean[Week Start],$A44,tblClean[Host Name],F$35,tblClean[Include],1)</f>
        <v>33877</v>
      </c>
      <c r="G44" s="32">
        <f t="shared" si="4"/>
        <v>1170261</v>
      </c>
    </row>
    <row r="45" spans="1:7" x14ac:dyDescent="0.3">
      <c r="A45" s="28">
        <f>'Weekly Summary'!B15</f>
        <v>45873</v>
      </c>
      <c r="B45" s="32">
        <f>SUMIFS(tblClean[Attributed GMV PHP],tblClean[Week Start],$A45,tblClean[Host Name],B$35,tblClean[Include],1)</f>
        <v>68370</v>
      </c>
      <c r="C45" s="32">
        <f>SUMIFS(tblClean[Attributed GMV PHP],tblClean[Week Start],$A45,tblClean[Host Name],C$35,tblClean[Include],1)</f>
        <v>311062</v>
      </c>
      <c r="D45" s="32">
        <f>SUMIFS(tblClean[Attributed GMV PHP],tblClean[Week Start],$A45,tblClean[Host Name],D$35,tblClean[Include],1)</f>
        <v>268851</v>
      </c>
      <c r="E45" s="32">
        <f>SUMIFS(tblClean[Attributed GMV PHP],tblClean[Week Start],$A45,tblClean[Host Name],E$35,tblClean[Include],1)</f>
        <v>297431</v>
      </c>
      <c r="F45" s="32">
        <f>SUMIFS(tblClean[Attributed GMV PHP],tblClean[Week Start],$A45,tblClean[Host Name],F$35,tblClean[Include],1)</f>
        <v>92754</v>
      </c>
      <c r="G45" s="32">
        <f t="shared" si="4"/>
        <v>1038468</v>
      </c>
    </row>
    <row r="46" spans="1:7" x14ac:dyDescent="0.3">
      <c r="A46" s="28">
        <f>'Weekly Summary'!B16</f>
        <v>45880</v>
      </c>
      <c r="B46" s="32">
        <f>SUMIFS(tblClean[Attributed GMV PHP],tblClean[Week Start],$A46,tblClean[Host Name],B$35,tblClean[Include],1)</f>
        <v>75770</v>
      </c>
      <c r="C46" s="32">
        <f>SUMIFS(tblClean[Attributed GMV PHP],tblClean[Week Start],$A46,tblClean[Host Name],C$35,tblClean[Include],1)</f>
        <v>471798</v>
      </c>
      <c r="D46" s="32">
        <f>SUMIFS(tblClean[Attributed GMV PHP],tblClean[Week Start],$A46,tblClean[Host Name],D$35,tblClean[Include],1)</f>
        <v>119843</v>
      </c>
      <c r="E46" s="32">
        <f>SUMIFS(tblClean[Attributed GMV PHP],tblClean[Week Start],$A46,tblClean[Host Name],E$35,tblClean[Include],1)</f>
        <v>46557</v>
      </c>
      <c r="F46" s="32">
        <f>SUMIFS(tblClean[Attributed GMV PHP],tblClean[Week Start],$A46,tblClean[Host Name],F$35,tblClean[Include],1)</f>
        <v>174112</v>
      </c>
      <c r="G46" s="32">
        <f t="shared" si="4"/>
        <v>888080</v>
      </c>
    </row>
    <row r="47" spans="1:7" x14ac:dyDescent="0.3">
      <c r="A47" s="28">
        <f>'Weekly Summary'!B17</f>
        <v>45887</v>
      </c>
      <c r="B47" s="32">
        <f>SUMIFS(tblClean[Attributed GMV PHP],tblClean[Week Start],$A47,tblClean[Host Name],B$35,tblClean[Include],1)</f>
        <v>80934</v>
      </c>
      <c r="C47" s="32">
        <f>SUMIFS(tblClean[Attributed GMV PHP],tblClean[Week Start],$A47,tblClean[Host Name],C$35,tblClean[Include],1)</f>
        <v>229120</v>
      </c>
      <c r="D47" s="32">
        <f>SUMIFS(tblClean[Attributed GMV PHP],tblClean[Week Start],$A47,tblClean[Host Name],D$35,tblClean[Include],1)</f>
        <v>221146</v>
      </c>
      <c r="E47" s="32">
        <f>SUMIFS(tblClean[Attributed GMV PHP],tblClean[Week Start],$A47,tblClean[Host Name],E$35,tblClean[Include],1)</f>
        <v>71283</v>
      </c>
      <c r="F47" s="32">
        <f>SUMIFS(tblClean[Attributed GMV PHP],tblClean[Week Start],$A47,tblClean[Host Name],F$35,tblClean[Include],1)</f>
        <v>304148</v>
      </c>
      <c r="G47" s="32">
        <f t="shared" si="4"/>
        <v>906631</v>
      </c>
    </row>
    <row r="48" spans="1:7" x14ac:dyDescent="0.3">
      <c r="A48" s="28">
        <f>'Weekly Summary'!B18</f>
        <v>45894</v>
      </c>
      <c r="B48" s="32">
        <f>SUMIFS(tblClean[Attributed GMV PHP],tblClean[Week Start],$A48,tblClean[Host Name],B$35,tblClean[Include],1)</f>
        <v>143422</v>
      </c>
      <c r="C48" s="32">
        <f>SUMIFS(tblClean[Attributed GMV PHP],tblClean[Week Start],$A48,tblClean[Host Name],C$35,tblClean[Include],1)</f>
        <v>229868</v>
      </c>
      <c r="D48" s="32">
        <f>SUMIFS(tblClean[Attributed GMV PHP],tblClean[Week Start],$A48,tblClean[Host Name],D$35,tblClean[Include],1)</f>
        <v>155086</v>
      </c>
      <c r="E48" s="32">
        <f>SUMIFS(tblClean[Attributed GMV PHP],tblClean[Week Start],$A48,tblClean[Host Name],E$35,tblClean[Include],1)</f>
        <v>79639</v>
      </c>
      <c r="F48" s="32">
        <f>SUMIFS(tblClean[Attributed GMV PHP],tblClean[Week Start],$A48,tblClean[Host Name],F$35,tblClean[Include],1)</f>
        <v>184991</v>
      </c>
      <c r="G48" s="32">
        <f t="shared" si="4"/>
        <v>793006</v>
      </c>
    </row>
    <row r="49" spans="1:8" x14ac:dyDescent="0.3">
      <c r="A49" s="33" t="s">
        <v>548</v>
      </c>
      <c r="B49" s="37">
        <f t="shared" ref="B49:G49" si="5">SUM(B36:B48)</f>
        <v>2439929</v>
      </c>
      <c r="C49" s="37">
        <f t="shared" si="5"/>
        <v>3731707</v>
      </c>
      <c r="D49" s="37">
        <f t="shared" si="5"/>
        <v>2674714</v>
      </c>
      <c r="E49" s="37">
        <f t="shared" si="5"/>
        <v>1303370</v>
      </c>
      <c r="F49" s="37">
        <f t="shared" si="5"/>
        <v>1003375</v>
      </c>
      <c r="G49" s="37">
        <f t="shared" si="5"/>
        <v>11153095</v>
      </c>
    </row>
    <row r="50" spans="1:8" x14ac:dyDescent="0.3">
      <c r="A50" s="38" t="s">
        <v>587</v>
      </c>
      <c r="G50" s="41">
        <f>G49-D11</f>
        <v>0</v>
      </c>
      <c r="H50" s="56" t="str">
        <f>IF(G50=0,"✔ Reconciled","✖ Check")</f>
        <v>✔ Reconciled</v>
      </c>
    </row>
  </sheetData>
  <mergeCells count="6">
    <mergeCell ref="A17:O17"/>
    <mergeCell ref="A18:O18"/>
    <mergeCell ref="A19:O19"/>
    <mergeCell ref="A16:O16"/>
    <mergeCell ref="A1:O1"/>
    <mergeCell ref="A2:O2"/>
  </mergeCells>
  <conditionalFormatting sqref="B25:F29">
    <cfRule type="colorScale" priority="4">
      <colorScale>
        <cfvo type="min"/>
        <cfvo type="percentile" val="50"/>
        <cfvo type="max"/>
        <color rgb="FFFDECEA"/>
        <color rgb="FFFFFFFF"/>
        <color rgb="FFBFE6E1"/>
      </colorScale>
    </cfRule>
  </conditionalFormatting>
  <conditionalFormatting sqref="B36:F48">
    <cfRule type="colorScale" priority="5">
      <colorScale>
        <cfvo type="min"/>
        <cfvo type="max"/>
        <color rgb="FFFFFFFF"/>
        <color rgb="FF8FB8DE"/>
      </colorScale>
    </cfRule>
  </conditionalFormatting>
  <conditionalFormatting sqref="D6:D10">
    <cfRule type="dataBar" priority="2">
      <dataBar>
        <cfvo type="num" val="0"/>
        <cfvo type="max"/>
        <color rgb="FF9DB7D5"/>
      </dataBar>
    </cfRule>
  </conditionalFormatting>
  <conditionalFormatting sqref="G6:G10">
    <cfRule type="dataBar" priority="1">
      <dataBar>
        <cfvo type="num" val="0"/>
        <cfvo type="max"/>
        <color rgb="FF8FD3CB"/>
      </dataBar>
    </cfRule>
  </conditionalFormatting>
  <conditionalFormatting sqref="O6:O10">
    <cfRule type="containsText" dxfId="0" priority="3" operator="containsText" text="Review">
      <formula>NOT(ISERROR(SEARCH("Review",O6)))</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B998B"/>
    <pageSetUpPr fitToPage="1"/>
  </sheetPr>
  <dimension ref="A1:AE97"/>
  <sheetViews>
    <sheetView showGridLines="0" topLeftCell="I1" zoomScale="85" zoomScaleNormal="85" workbookViewId="0">
      <selection activeCell="R1" sqref="R1"/>
    </sheetView>
  </sheetViews>
  <sheetFormatPr defaultRowHeight="14.4" x14ac:dyDescent="0.3"/>
  <cols>
    <col min="1" max="1" width="2" customWidth="1"/>
    <col min="2" max="13" width="13" customWidth="1"/>
    <col min="14" max="14" width="2" customWidth="1"/>
    <col min="15" max="17" width="3" customWidth="1"/>
    <col min="18" max="18" width="11" customWidth="1"/>
    <col min="19" max="19" width="12" customWidth="1"/>
    <col min="20" max="20" width="14" customWidth="1"/>
    <col min="21" max="21" width="3" customWidth="1"/>
    <col min="22" max="22" width="11" customWidth="1"/>
    <col min="23" max="23" width="12" customWidth="1"/>
    <col min="24" max="24" width="3" customWidth="1"/>
    <col min="25" max="25" width="18" customWidth="1"/>
    <col min="26" max="26" width="12" customWidth="1"/>
    <col min="27" max="28" width="9" customWidth="1"/>
    <col min="29" max="29" width="13" customWidth="1"/>
    <col min="30" max="30" width="14" customWidth="1"/>
    <col min="31" max="31" width="18" customWidth="1"/>
  </cols>
  <sheetData>
    <row r="1" spans="1:31" ht="34.049999999999997" customHeight="1" x14ac:dyDescent="0.3">
      <c r="A1" s="1"/>
      <c r="B1" s="98" t="s">
        <v>0</v>
      </c>
      <c r="C1" s="98"/>
      <c r="D1" s="98"/>
      <c r="E1" s="98"/>
      <c r="F1" s="98"/>
      <c r="G1" s="98"/>
      <c r="H1" s="98"/>
      <c r="I1" s="98"/>
      <c r="J1" s="98"/>
      <c r="K1" s="98"/>
      <c r="L1" s="98"/>
      <c r="M1" s="98"/>
      <c r="N1" s="1"/>
    </row>
    <row r="2" spans="1:31" ht="18" customHeight="1" x14ac:dyDescent="0.3">
      <c r="A2" s="1"/>
      <c r="B2" s="103" t="s">
        <v>588</v>
      </c>
      <c r="C2" s="103"/>
      <c r="D2" s="103"/>
      <c r="E2" s="103"/>
      <c r="F2" s="103"/>
      <c r="G2" s="103"/>
      <c r="H2" s="103"/>
      <c r="I2" s="103"/>
      <c r="J2" s="103"/>
      <c r="K2" s="103"/>
      <c r="L2" s="103"/>
      <c r="M2" s="103"/>
      <c r="N2" s="1"/>
    </row>
    <row r="3" spans="1:31" ht="16.05" customHeight="1" x14ac:dyDescent="0.3">
      <c r="A3" s="1"/>
      <c r="B3" s="100" t="s">
        <v>589</v>
      </c>
      <c r="C3" s="100"/>
      <c r="D3" s="100"/>
      <c r="E3" s="100"/>
      <c r="F3" s="100"/>
      <c r="G3" s="100"/>
      <c r="H3" s="100"/>
      <c r="I3" s="100"/>
      <c r="J3" s="100"/>
      <c r="K3" s="100"/>
      <c r="L3" s="100"/>
      <c r="M3" s="100"/>
      <c r="N3" s="1"/>
    </row>
    <row r="4" spans="1:31" x14ac:dyDescent="0.3">
      <c r="A4" s="57"/>
      <c r="B4" s="57"/>
      <c r="C4" s="57"/>
      <c r="D4" s="57"/>
      <c r="E4" s="57"/>
      <c r="F4" s="57"/>
      <c r="G4" s="57"/>
      <c r="H4" s="57"/>
      <c r="I4" s="57"/>
      <c r="J4" s="57"/>
      <c r="K4" s="57"/>
      <c r="L4" s="57"/>
      <c r="M4" s="57"/>
      <c r="N4" s="57"/>
      <c r="R4" s="58" t="s">
        <v>590</v>
      </c>
      <c r="AD4" s="59" t="s">
        <v>591</v>
      </c>
      <c r="AE4" s="59" t="str">
        <f>IF(F6="All Hosts","*",F6)</f>
        <v>*</v>
      </c>
    </row>
    <row r="5" spans="1:31" x14ac:dyDescent="0.3">
      <c r="A5" s="57"/>
      <c r="B5" s="82" t="s">
        <v>592</v>
      </c>
      <c r="C5" s="73"/>
      <c r="D5" s="82" t="s">
        <v>593</v>
      </c>
      <c r="E5" s="73"/>
      <c r="F5" s="82" t="s">
        <v>594</v>
      </c>
      <c r="G5" s="73"/>
      <c r="H5" s="73"/>
      <c r="I5" s="92" t="s">
        <v>595</v>
      </c>
      <c r="J5" s="73"/>
      <c r="K5" s="73"/>
      <c r="L5" s="73"/>
      <c r="M5" s="73"/>
      <c r="N5" s="57"/>
    </row>
    <row r="6" spans="1:31" ht="22.05" customHeight="1" x14ac:dyDescent="0.3">
      <c r="A6" s="57"/>
      <c r="B6" s="79">
        <v>45810</v>
      </c>
      <c r="C6" s="80"/>
      <c r="D6" s="79">
        <v>45900</v>
      </c>
      <c r="E6" s="80"/>
      <c r="F6" s="81" t="s">
        <v>586</v>
      </c>
      <c r="G6" s="80"/>
      <c r="H6" s="80"/>
      <c r="I6" s="73"/>
      <c r="J6" s="73"/>
      <c r="K6" s="73"/>
      <c r="L6" s="73"/>
      <c r="M6" s="73"/>
      <c r="N6" s="57"/>
      <c r="R6" s="60" t="s">
        <v>66</v>
      </c>
      <c r="S6" s="60" t="s">
        <v>596</v>
      </c>
      <c r="T6" s="60" t="s">
        <v>547</v>
      </c>
      <c r="V6" s="60" t="s">
        <v>99</v>
      </c>
      <c r="W6" s="60" t="s">
        <v>43</v>
      </c>
      <c r="Y6" s="60" t="s">
        <v>597</v>
      </c>
      <c r="Z6" s="60" t="s">
        <v>27</v>
      </c>
      <c r="AA6" s="60" t="s">
        <v>598</v>
      </c>
      <c r="AB6" s="60" t="s">
        <v>599</v>
      </c>
      <c r="AC6" s="60" t="s">
        <v>33</v>
      </c>
      <c r="AE6" s="60" t="s">
        <v>600</v>
      </c>
    </row>
    <row r="7" spans="1:31" x14ac:dyDescent="0.3">
      <c r="A7" s="57"/>
      <c r="B7" s="57"/>
      <c r="C7" s="57"/>
      <c r="D7" s="57"/>
      <c r="E7" s="57"/>
      <c r="F7" s="57"/>
      <c r="G7" s="57"/>
      <c r="H7" s="57"/>
      <c r="I7" s="57"/>
      <c r="J7" s="57"/>
      <c r="K7" s="57"/>
      <c r="L7" s="57"/>
      <c r="M7" s="57"/>
      <c r="N7" s="57"/>
      <c r="R7" s="61">
        <f>MIN(tblClean[Date])</f>
        <v>45810</v>
      </c>
      <c r="S7" s="62">
        <f>IF(AND(R7&gt;=dFrom,R7&lt;=dTo),SUMIFS(tblClean[Attributed GMV PHP],tblClean[Date],R7,tblClean[Host Name],dHost,tblClean[Include],1),NA())</f>
        <v>85426</v>
      </c>
      <c r="T7" s="62">
        <f>IF(AND(R7&gt;=dFrom,R7&lt;=dTo),SUMIFS(tblClean[Attributed GMV PHP],tblClean[Date],"&gt;="&amp;MAX(R7-6,dFrom),tblClean[Date],"&lt;="&amp;R7,tblClean[Host Name],dHost,tblClean[Include],1)/(R7-MAX(R7-6,dFrom)+1),NA())</f>
        <v>85426</v>
      </c>
      <c r="V7" s="61">
        <f>'Weekly Summary'!B6</f>
        <v>45810</v>
      </c>
      <c r="W7" s="62">
        <f>IF(AND(V7+6&gt;=dFrom,V7&lt;=dTo),SUMIFS(tblClean[Attributed GMV PHP],tblClean[Date],"&gt;="&amp;MAX(V7,dFrom),tblClean[Date],"&lt;="&amp;MIN(V7+6,dTo),tblClean[Host Name],dHost,tblClean[Include],1),NA())</f>
        <v>768303</v>
      </c>
      <c r="Y7" s="59" t="str">
        <f>'Cleaned Data'!Z9</f>
        <v>Aira Valdez</v>
      </c>
      <c r="Z7" s="62">
        <f>SUMIFS(tblClean[Attributed GMV PHP],tblClean[Host Name],Y7,tblClean[Date],"&gt;="&amp;dFrom,tblClean[Date],"&lt;="&amp;dTo,tblClean[Include],1)</f>
        <v>2439929</v>
      </c>
      <c r="AA7" s="62">
        <f>SUMIFS(tblClean[Items Sold],tblClean[Host Name],Y7,tblClean[Date],"&gt;="&amp;dFrom,tblClean[Date],"&lt;="&amp;dTo,tblClean[Include],1)</f>
        <v>7368</v>
      </c>
      <c r="AB7" s="63">
        <f>SUMIFS(tblClean[Duration Hours],tblClean[Host Name],Y7,tblClean[Date],"&gt;="&amp;dFrom,tblClean[Date],"&lt;="&amp;dTo,tblClean[Include],1)</f>
        <v>107</v>
      </c>
      <c r="AC7" s="62">
        <f>IF(AB7&gt;0,Z7/AB7,0)</f>
        <v>22803.074766355141</v>
      </c>
      <c r="AE7" s="59" t="s">
        <v>586</v>
      </c>
    </row>
    <row r="8" spans="1:31" ht="22.05" customHeight="1" x14ac:dyDescent="0.3">
      <c r="A8" s="57"/>
      <c r="B8" s="83" t="s">
        <v>601</v>
      </c>
      <c r="C8" s="84"/>
      <c r="D8" s="83" t="s">
        <v>602</v>
      </c>
      <c r="E8" s="84"/>
      <c r="F8" s="83" t="s">
        <v>603</v>
      </c>
      <c r="G8" s="84"/>
      <c r="H8" s="83" t="s">
        <v>604</v>
      </c>
      <c r="I8" s="84"/>
      <c r="J8" s="83" t="s">
        <v>605</v>
      </c>
      <c r="K8" s="84"/>
      <c r="L8" s="83" t="s">
        <v>606</v>
      </c>
      <c r="M8" s="84"/>
      <c r="N8" s="57"/>
      <c r="R8" s="61">
        <f t="shared" ref="R8:R39" si="0">R7+1</f>
        <v>45811</v>
      </c>
      <c r="S8" s="62">
        <f>IF(AND(R8&gt;=dFrom,R8&lt;=dTo),SUMIFS(tblClean[Attributed GMV PHP],tblClean[Date],R8,tblClean[Host Name],dHost,tblClean[Include],1),NA())</f>
        <v>177219</v>
      </c>
      <c r="T8" s="62">
        <f>IF(AND(R8&gt;=dFrom,R8&lt;=dTo),SUMIFS(tblClean[Attributed GMV PHP],tblClean[Date],"&gt;="&amp;MAX(R8-6,dFrom),tblClean[Date],"&lt;="&amp;R8,tblClean[Host Name],dHost,tblClean[Include],1)/(R8-MAX(R8-6,dFrom)+1),NA())</f>
        <v>131322.5</v>
      </c>
      <c r="V8" s="61">
        <f>'Weekly Summary'!B7</f>
        <v>45817</v>
      </c>
      <c r="W8" s="62">
        <f>IF(AND(V8+6&gt;=dFrom,V8&lt;=dTo),SUMIFS(tblClean[Attributed GMV PHP],tblClean[Date],"&gt;="&amp;MAX(V8,dFrom),tblClean[Date],"&lt;="&amp;MIN(V8+6,dTo),tblClean[Host Name],dHost,tblClean[Include],1),NA())</f>
        <v>698741</v>
      </c>
      <c r="Y8" s="59" t="str">
        <f>'Cleaned Data'!Z10</f>
        <v>Bianca Reyes</v>
      </c>
      <c r="Z8" s="62">
        <f>SUMIFS(tblClean[Attributed GMV PHP],tblClean[Host Name],Y8,tblClean[Date],"&gt;="&amp;dFrom,tblClean[Date],"&lt;="&amp;dTo,tblClean[Include],1)</f>
        <v>3731707</v>
      </c>
      <c r="AA8" s="62">
        <f>SUMIFS(tblClean[Items Sold],tblClean[Host Name],Y8,tblClean[Date],"&gt;="&amp;dFrom,tblClean[Date],"&lt;="&amp;dTo,tblClean[Include],1)</f>
        <v>11230</v>
      </c>
      <c r="AB8" s="63">
        <f>SUMIFS(tblClean[Duration Hours],tblClean[Host Name],Y8,tblClean[Date],"&gt;="&amp;dFrom,tblClean[Date],"&lt;="&amp;dTo,tblClean[Include],1)</f>
        <v>352</v>
      </c>
      <c r="AC8" s="62">
        <f>IF(AB8&gt;0,Z8/AB8,0)</f>
        <v>10601.44034090909</v>
      </c>
      <c r="AE8" s="59" t="str">
        <f>Y7</f>
        <v>Aira Valdez</v>
      </c>
    </row>
    <row r="9" spans="1:31" ht="36" customHeight="1" x14ac:dyDescent="0.3">
      <c r="A9" s="57"/>
      <c r="B9" s="88">
        <f>SUMIFS(tblClean[Attributed GMV PHP],tblClean[Date],"&gt;="&amp;dFrom,tblClean[Date],"&lt;="&amp;dTo,tblClean[Host Name],dHost,tblClean[Include],1)</f>
        <v>11153095</v>
      </c>
      <c r="C9" s="89"/>
      <c r="D9" s="90">
        <f>SUMIFS(tblClean[Items Sold],tblClean[Date],"&gt;="&amp;dFrom,tblClean[Date],"&lt;="&amp;dTo,tblClean[Host Name],dHost,tblClean[Include],1)</f>
        <v>33116</v>
      </c>
      <c r="E9" s="89"/>
      <c r="F9" s="90">
        <f>COUNTIFS(tblClean[Date],"&gt;="&amp;dFrom,tblClean[Date],"&lt;="&amp;dTo,tblClean[Host Name],dHost,tblClean[Include],1)</f>
        <v>374</v>
      </c>
      <c r="G9" s="89"/>
      <c r="H9" s="93">
        <f>SUMIFS(tblClean[Duration Hours],tblClean[Date],"&gt;="&amp;dFrom,tblClean[Date],"&lt;="&amp;dTo,tblClean[Host Name],dHost,tblClean[Include],1)</f>
        <v>885.5</v>
      </c>
      <c r="I9" s="89"/>
      <c r="J9" s="88">
        <f>IF(H9&gt;0,B9/H9,0)</f>
        <v>12595.251270468661</v>
      </c>
      <c r="K9" s="89"/>
      <c r="L9" s="91" t="str">
        <f>IF(SUM(Z7:Z11)=0,"—",IF(F6="All Hosts",INDEX(Y7:Y11,MATCH(MAX(Z7:Z11),Z7:Z11,0)),F6))</f>
        <v>Bianca Reyes</v>
      </c>
      <c r="M9" s="89"/>
      <c r="N9" s="57"/>
      <c r="R9" s="61">
        <f t="shared" si="0"/>
        <v>45812</v>
      </c>
      <c r="S9" s="62">
        <f>IF(AND(R9&gt;=dFrom,R9&lt;=dTo),SUMIFS(tblClean[Attributed GMV PHP],tblClean[Date],R9,tblClean[Host Name],dHost,tblClean[Include],1),NA())</f>
        <v>59562</v>
      </c>
      <c r="T9" s="62">
        <f>IF(AND(R9&gt;=dFrom,R9&lt;=dTo),SUMIFS(tblClean[Attributed GMV PHP],tblClean[Date],"&gt;="&amp;MAX(R9-6,dFrom),tblClean[Date],"&lt;="&amp;R9,tblClean[Host Name],dHost,tblClean[Include],1)/(R9-MAX(R9-6,dFrom)+1),NA())</f>
        <v>107402.33333333333</v>
      </c>
      <c r="V9" s="61">
        <f>'Weekly Summary'!B8</f>
        <v>45824</v>
      </c>
      <c r="W9" s="62">
        <f>IF(AND(V9+6&gt;=dFrom,V9&lt;=dTo),SUMIFS(tblClean[Attributed GMV PHP],tblClean[Date],"&gt;="&amp;MAX(V9,dFrom),tblClean[Date],"&lt;="&amp;MIN(V9+6,dTo),tblClean[Host Name],dHost,tblClean[Include],1),NA())</f>
        <v>678714</v>
      </c>
      <c r="Y9" s="59" t="str">
        <f>'Cleaned Data'!Z11</f>
        <v>Carlo Mendoza</v>
      </c>
      <c r="Z9" s="62">
        <f>SUMIFS(tblClean[Attributed GMV PHP],tblClean[Host Name],Y9,tblClean[Date],"&gt;="&amp;dFrom,tblClean[Date],"&lt;="&amp;dTo,tblClean[Include],1)</f>
        <v>2674714</v>
      </c>
      <c r="AA9" s="62">
        <f>SUMIFS(tblClean[Items Sold],tblClean[Host Name],Y9,tblClean[Date],"&gt;="&amp;dFrom,tblClean[Date],"&lt;="&amp;dTo,tblClean[Include],1)</f>
        <v>7850</v>
      </c>
      <c r="AB9" s="63">
        <f>SUMIFS(tblClean[Duration Hours],tblClean[Host Name],Y9,tblClean[Date],"&gt;="&amp;dFrom,tblClean[Date],"&lt;="&amp;dTo,tblClean[Include],1)</f>
        <v>190.5</v>
      </c>
      <c r="AC9" s="62">
        <f>IF(AB9&gt;0,Z9/AB9,0)</f>
        <v>14040.493438320211</v>
      </c>
      <c r="AE9" s="59" t="str">
        <f>Y8</f>
        <v>Bianca Reyes</v>
      </c>
    </row>
    <row r="10" spans="1:31" ht="19.95" customHeight="1" x14ac:dyDescent="0.3">
      <c r="A10" s="57"/>
      <c r="B10" s="86" t="str">
        <f>"Avg ₱"&amp;TEXT(IF(F9&gt;0,B9/F9,0),"#,##0")&amp;" per session"</f>
        <v>Avg ₱29,821 per session</v>
      </c>
      <c r="C10" s="87"/>
      <c r="D10" s="86" t="str">
        <f>"Avg "&amp;TEXT(IF(F9&gt;0,D9/F9,0),"0.0")&amp;" items per session"</f>
        <v>Avg 88.5 items per session</v>
      </c>
      <c r="E10" s="87"/>
      <c r="F10" s="86" t="str">
        <f>TEXT(IF(dTo&gt;=dFrom,F9/(dTo-dFrom+1),0),"0.0")&amp;" sessions per day"</f>
        <v>4.1 sessions per day</v>
      </c>
      <c r="G10" s="87"/>
      <c r="H10" s="86" t="str">
        <f>"Avg "&amp;TEXT(IF(F9&gt;0,H9/F9,0),"0.0")&amp;" hrs per session"</f>
        <v>Avg 2.4 hrs per session</v>
      </c>
      <c r="I10" s="87"/>
      <c r="J10" s="86" t="s">
        <v>607</v>
      </c>
      <c r="K10" s="87"/>
      <c r="L10" s="86" t="str">
        <f>IFERROR("₱"&amp;TEXT(INDEX(Z7:Z11,MATCH(L9,Y7:Y11,0)),"#,##0")&amp;" ("&amp;TEXT(INDEX(Z7:Z11,MATCH(L9,Y7:Y11,0))/SUM(Z7:Z11),"0.0%")&amp;" of period GMV)","")</f>
        <v>₱3,731,707 (33.5% of period GMV)</v>
      </c>
      <c r="M10" s="87"/>
      <c r="N10" s="57"/>
      <c r="R10" s="61">
        <f t="shared" si="0"/>
        <v>45813</v>
      </c>
      <c r="S10" s="62">
        <f>IF(AND(R10&gt;=dFrom,R10&lt;=dTo),SUMIFS(tblClean[Attributed GMV PHP],tblClean[Date],R10,tblClean[Host Name],dHost,tblClean[Include],1),NA())</f>
        <v>84165</v>
      </c>
      <c r="T10" s="62">
        <f>IF(AND(R10&gt;=dFrom,R10&lt;=dTo),SUMIFS(tblClean[Attributed GMV PHP],tblClean[Date],"&gt;="&amp;MAX(R10-6,dFrom),tblClean[Date],"&lt;="&amp;R10,tblClean[Host Name],dHost,tblClean[Include],1)/(R10-MAX(R10-6,dFrom)+1),NA())</f>
        <v>101593</v>
      </c>
      <c r="V10" s="61">
        <f>'Weekly Summary'!B9</f>
        <v>45831</v>
      </c>
      <c r="W10" s="62">
        <f>IF(AND(V10+6&gt;=dFrom,V10&lt;=dTo),SUMIFS(tblClean[Attributed GMV PHP],tblClean[Date],"&gt;="&amp;MAX(V10,dFrom),tblClean[Date],"&lt;="&amp;MIN(V10+6,dTo),tblClean[Host Name],dHost,tblClean[Include],1),NA())</f>
        <v>746297</v>
      </c>
      <c r="Y10" s="59" t="str">
        <f>'Cleaned Data'!Z12</f>
        <v>Dani Villanueva</v>
      </c>
      <c r="Z10" s="62">
        <f>SUMIFS(tblClean[Attributed GMV PHP],tblClean[Host Name],Y10,tblClean[Date],"&gt;="&amp;dFrom,tblClean[Date],"&lt;="&amp;dTo,tblClean[Include],1)</f>
        <v>1303370</v>
      </c>
      <c r="AA10" s="62">
        <f>SUMIFS(tblClean[Items Sold],tblClean[Host Name],Y10,tblClean[Date],"&gt;="&amp;dFrom,tblClean[Date],"&lt;="&amp;dTo,tblClean[Include],1)</f>
        <v>3775</v>
      </c>
      <c r="AB10" s="63">
        <f>SUMIFS(tblClean[Duration Hours],tblClean[Host Name],Y10,tblClean[Date],"&gt;="&amp;dFrom,tblClean[Date],"&lt;="&amp;dTo,tblClean[Include],1)</f>
        <v>164</v>
      </c>
      <c r="AC10" s="62">
        <f>IF(AB10&gt;0,Z10/AB10,0)</f>
        <v>7947.3780487804879</v>
      </c>
      <c r="AE10" s="59" t="str">
        <f>Y9</f>
        <v>Carlo Mendoza</v>
      </c>
    </row>
    <row r="11" spans="1:31" x14ac:dyDescent="0.3">
      <c r="A11" s="57"/>
      <c r="B11" s="57"/>
      <c r="C11" s="57"/>
      <c r="D11" s="57"/>
      <c r="E11" s="57"/>
      <c r="F11" s="57"/>
      <c r="G11" s="57"/>
      <c r="H11" s="57"/>
      <c r="I11" s="57"/>
      <c r="J11" s="57"/>
      <c r="K11" s="57"/>
      <c r="L11" s="57"/>
      <c r="M11" s="57"/>
      <c r="N11" s="57"/>
      <c r="R11" s="61">
        <f t="shared" si="0"/>
        <v>45814</v>
      </c>
      <c r="S11" s="62">
        <f>IF(AND(R11&gt;=dFrom,R11&lt;=dTo),SUMIFS(tblClean[Attributed GMV PHP],tblClean[Date],R11,tblClean[Host Name],dHost,tblClean[Include],1),NA())</f>
        <v>176989</v>
      </c>
      <c r="T11" s="62">
        <f>IF(AND(R11&gt;=dFrom,R11&lt;=dTo),SUMIFS(tblClean[Attributed GMV PHP],tblClean[Date],"&gt;="&amp;MAX(R11-6,dFrom),tblClean[Date],"&lt;="&amp;R11,tblClean[Host Name],dHost,tblClean[Include],1)/(R11-MAX(R11-6,dFrom)+1),NA())</f>
        <v>116672.2</v>
      </c>
      <c r="V11" s="61">
        <f>'Weekly Summary'!B10</f>
        <v>45838</v>
      </c>
      <c r="W11" s="62">
        <f>IF(AND(V11+6&gt;=dFrom,V11&lt;=dTo),SUMIFS(tblClean[Attributed GMV PHP],tblClean[Date],"&gt;="&amp;MAX(V11,dFrom),tblClean[Date],"&lt;="&amp;MIN(V11+6,dTo),tblClean[Host Name],dHost,tblClean[Include],1),NA())</f>
        <v>908150</v>
      </c>
      <c r="Y11" s="59" t="str">
        <f>'Cleaned Data'!Z13</f>
        <v>Elise Navarro</v>
      </c>
      <c r="Z11" s="62">
        <f>SUMIFS(tblClean[Attributed GMV PHP],tblClean[Host Name],Y11,tblClean[Date],"&gt;="&amp;dFrom,tblClean[Date],"&lt;="&amp;dTo,tblClean[Include],1)</f>
        <v>1003375</v>
      </c>
      <c r="AA11" s="62">
        <f>SUMIFS(tblClean[Items Sold],tblClean[Host Name],Y11,tblClean[Date],"&gt;="&amp;dFrom,tblClean[Date],"&lt;="&amp;dTo,tblClean[Include],1)</f>
        <v>2893</v>
      </c>
      <c r="AB11" s="63">
        <f>SUMIFS(tblClean[Duration Hours],tblClean[Host Name],Y11,tblClean[Date],"&gt;="&amp;dFrom,tblClean[Date],"&lt;="&amp;dTo,tblClean[Include],1)</f>
        <v>72</v>
      </c>
      <c r="AC11" s="62">
        <f>IF(AB11&gt;0,Z11/AB11,0)</f>
        <v>13935.763888888889</v>
      </c>
      <c r="AE11" s="59" t="str">
        <f>Y10</f>
        <v>Dani Villanueva</v>
      </c>
    </row>
    <row r="12" spans="1:31" x14ac:dyDescent="0.3">
      <c r="A12" s="57"/>
      <c r="B12" s="57"/>
      <c r="C12" s="57"/>
      <c r="D12" s="57"/>
      <c r="E12" s="57"/>
      <c r="F12" s="57"/>
      <c r="G12" s="57"/>
      <c r="H12" s="57"/>
      <c r="I12" s="57"/>
      <c r="J12" s="57"/>
      <c r="K12" s="57"/>
      <c r="L12" s="57"/>
      <c r="M12" s="57"/>
      <c r="N12" s="57"/>
      <c r="R12" s="61">
        <f t="shared" si="0"/>
        <v>45815</v>
      </c>
      <c r="S12" s="62">
        <f>IF(AND(R12&gt;=dFrom,R12&lt;=dTo),SUMIFS(tblClean[Attributed GMV PHP],tblClean[Date],R12,tblClean[Host Name],dHost,tblClean[Include],1),NA())</f>
        <v>116380</v>
      </c>
      <c r="T12" s="62">
        <f>IF(AND(R12&gt;=dFrom,R12&lt;=dTo),SUMIFS(tblClean[Attributed GMV PHP],tblClean[Date],"&gt;="&amp;MAX(R12-6,dFrom),tblClean[Date],"&lt;="&amp;R12,tblClean[Host Name],dHost,tblClean[Include],1)/(R12-MAX(R12-6,dFrom)+1),NA())</f>
        <v>116623.5</v>
      </c>
      <c r="V12" s="61">
        <f>'Weekly Summary'!B11</f>
        <v>45845</v>
      </c>
      <c r="W12" s="62">
        <f>IF(AND(V12+6&gt;=dFrom,V12&lt;=dTo),SUMIFS(tblClean[Attributed GMV PHP],tblClean[Date],"&gt;="&amp;MAX(V12,dFrom),tblClean[Date],"&lt;="&amp;MIN(V12+6,dTo),tblClean[Host Name],dHost,tblClean[Include],1),NA())</f>
        <v>920555</v>
      </c>
      <c r="AE12" s="59" t="str">
        <f>Y11</f>
        <v>Elise Navarro</v>
      </c>
    </row>
    <row r="13" spans="1:31" x14ac:dyDescent="0.3">
      <c r="A13" s="57"/>
      <c r="B13" s="57"/>
      <c r="C13" s="57"/>
      <c r="D13" s="57"/>
      <c r="E13" s="57"/>
      <c r="F13" s="57"/>
      <c r="G13" s="57"/>
      <c r="H13" s="57"/>
      <c r="I13" s="57"/>
      <c r="J13" s="57"/>
      <c r="K13" s="57"/>
      <c r="L13" s="57"/>
      <c r="M13" s="57"/>
      <c r="N13" s="57"/>
      <c r="R13" s="61">
        <f t="shared" si="0"/>
        <v>45816</v>
      </c>
      <c r="S13" s="62">
        <f>IF(AND(R13&gt;=dFrom,R13&lt;=dTo),SUMIFS(tblClean[Attributed GMV PHP],tblClean[Date],R13,tblClean[Host Name],dHost,tblClean[Include],1),NA())</f>
        <v>68562</v>
      </c>
      <c r="T13" s="62">
        <f>IF(AND(R13&gt;=dFrom,R13&lt;=dTo),SUMIFS(tblClean[Attributed GMV PHP],tblClean[Date],"&gt;="&amp;MAX(R13-6,dFrom),tblClean[Date],"&lt;="&amp;R13,tblClean[Host Name],dHost,tblClean[Include],1)/(R13-MAX(R13-6,dFrom)+1),NA())</f>
        <v>109757.57142857143</v>
      </c>
      <c r="V13" s="61">
        <f>'Weekly Summary'!B12</f>
        <v>45852</v>
      </c>
      <c r="W13" s="62">
        <f>IF(AND(V13+6&gt;=dFrom,V13&lt;=dTo),SUMIFS(tblClean[Attributed GMV PHP],tblClean[Date],"&gt;="&amp;MAX(V13,dFrom),tblClean[Date],"&lt;="&amp;MIN(V13+6,dTo),tblClean[Host Name],dHost,tblClean[Include],1),NA())</f>
        <v>845071</v>
      </c>
    </row>
    <row r="14" spans="1:31" x14ac:dyDescent="0.3">
      <c r="A14" s="57"/>
      <c r="B14" s="57"/>
      <c r="C14" s="57"/>
      <c r="D14" s="57"/>
      <c r="E14" s="57"/>
      <c r="F14" s="57"/>
      <c r="G14" s="57"/>
      <c r="H14" s="57"/>
      <c r="I14" s="57"/>
      <c r="J14" s="57"/>
      <c r="K14" s="57"/>
      <c r="L14" s="57"/>
      <c r="M14" s="57"/>
      <c r="N14" s="57"/>
      <c r="R14" s="61">
        <f t="shared" si="0"/>
        <v>45817</v>
      </c>
      <c r="S14" s="62">
        <f>IF(AND(R14&gt;=dFrom,R14&lt;=dTo),SUMIFS(tblClean[Attributed GMV PHP],tblClean[Date],R14,tblClean[Host Name],dHost,tblClean[Include],1),NA())</f>
        <v>92331</v>
      </c>
      <c r="T14" s="62">
        <f>IF(AND(R14&gt;=dFrom,R14&lt;=dTo),SUMIFS(tblClean[Attributed GMV PHP],tblClean[Date],"&gt;="&amp;MAX(R14-6,dFrom),tblClean[Date],"&lt;="&amp;R14,tblClean[Host Name],dHost,tblClean[Include],1)/(R14-MAX(R14-6,dFrom)+1),NA())</f>
        <v>110744</v>
      </c>
      <c r="V14" s="61">
        <f>'Weekly Summary'!B13</f>
        <v>45859</v>
      </c>
      <c r="W14" s="62">
        <f>IF(AND(V14+6&gt;=dFrom,V14&lt;=dTo),SUMIFS(tblClean[Attributed GMV PHP],tblClean[Date],"&gt;="&amp;MAX(V14,dFrom),tblClean[Date],"&lt;="&amp;MIN(V14+6,dTo),tblClean[Host Name],dHost,tblClean[Include],1),NA())</f>
        <v>790818</v>
      </c>
    </row>
    <row r="15" spans="1:31" x14ac:dyDescent="0.3">
      <c r="A15" s="57"/>
      <c r="B15" s="57"/>
      <c r="C15" s="57"/>
      <c r="D15" s="57"/>
      <c r="E15" s="57"/>
      <c r="F15" s="57"/>
      <c r="G15" s="57"/>
      <c r="H15" s="57"/>
      <c r="I15" s="57"/>
      <c r="J15" s="57"/>
      <c r="K15" s="57"/>
      <c r="L15" s="57"/>
      <c r="M15" s="57"/>
      <c r="N15" s="57"/>
      <c r="R15" s="61">
        <f t="shared" si="0"/>
        <v>45818</v>
      </c>
      <c r="S15" s="62">
        <f>IF(AND(R15&gt;=dFrom,R15&lt;=dTo),SUMIFS(tblClean[Attributed GMV PHP],tblClean[Date],R15,tblClean[Host Name],dHost,tblClean[Include],1),NA())</f>
        <v>111327</v>
      </c>
      <c r="T15" s="62">
        <f>IF(AND(R15&gt;=dFrom,R15&lt;=dTo),SUMIFS(tblClean[Attributed GMV PHP],tblClean[Date],"&gt;="&amp;MAX(R15-6,dFrom),tblClean[Date],"&lt;="&amp;R15,tblClean[Host Name],dHost,tblClean[Include],1)/(R15-MAX(R15-6,dFrom)+1),NA())</f>
        <v>101330.85714285714</v>
      </c>
      <c r="V15" s="61">
        <f>'Weekly Summary'!B14</f>
        <v>45866</v>
      </c>
      <c r="W15" s="62">
        <f>IF(AND(V15+6&gt;=dFrom,V15&lt;=dTo),SUMIFS(tblClean[Attributed GMV PHP],tblClean[Date],"&gt;="&amp;MAX(V15,dFrom),tblClean[Date],"&lt;="&amp;MIN(V15+6,dTo),tblClean[Host Name],dHost,tblClean[Include],1),NA())</f>
        <v>1170261</v>
      </c>
    </row>
    <row r="16" spans="1:31" x14ac:dyDescent="0.3">
      <c r="A16" s="57"/>
      <c r="B16" s="57"/>
      <c r="C16" s="57"/>
      <c r="D16" s="57"/>
      <c r="E16" s="57"/>
      <c r="F16" s="57"/>
      <c r="G16" s="57"/>
      <c r="H16" s="57"/>
      <c r="I16" s="57"/>
      <c r="J16" s="57"/>
      <c r="K16" s="57"/>
      <c r="L16" s="57"/>
      <c r="M16" s="57"/>
      <c r="N16" s="57"/>
      <c r="R16" s="61">
        <f t="shared" si="0"/>
        <v>45819</v>
      </c>
      <c r="S16" s="62">
        <f>IF(AND(R16&gt;=dFrom,R16&lt;=dTo),SUMIFS(tblClean[Attributed GMV PHP],tblClean[Date],R16,tblClean[Host Name],dHost,tblClean[Include],1),NA())</f>
        <v>93704</v>
      </c>
      <c r="T16" s="62">
        <f>IF(AND(R16&gt;=dFrom,R16&lt;=dTo),SUMIFS(tblClean[Attributed GMV PHP],tblClean[Date],"&gt;="&amp;MAX(R16-6,dFrom),tblClean[Date],"&lt;="&amp;R16,tblClean[Host Name],dHost,tblClean[Include],1)/(R16-MAX(R16-6,dFrom)+1),NA())</f>
        <v>106208.28571428571</v>
      </c>
      <c r="V16" s="61">
        <f>'Weekly Summary'!B15</f>
        <v>45873</v>
      </c>
      <c r="W16" s="62">
        <f>IF(AND(V16+6&gt;=dFrom,V16&lt;=dTo),SUMIFS(tblClean[Attributed GMV PHP],tblClean[Date],"&gt;="&amp;MAX(V16,dFrom),tblClean[Date],"&lt;="&amp;MIN(V16+6,dTo),tblClean[Host Name],dHost,tblClean[Include],1),NA())</f>
        <v>1038468</v>
      </c>
    </row>
    <row r="17" spans="1:23" x14ac:dyDescent="0.3">
      <c r="A17" s="57"/>
      <c r="B17" s="57"/>
      <c r="C17" s="57"/>
      <c r="D17" s="57"/>
      <c r="E17" s="57"/>
      <c r="F17" s="57"/>
      <c r="G17" s="57"/>
      <c r="H17" s="57"/>
      <c r="I17" s="57"/>
      <c r="J17" s="57"/>
      <c r="K17" s="57"/>
      <c r="L17" s="57"/>
      <c r="M17" s="57"/>
      <c r="N17" s="57"/>
      <c r="R17" s="61">
        <f t="shared" si="0"/>
        <v>45820</v>
      </c>
      <c r="S17" s="62">
        <f>IF(AND(R17&gt;=dFrom,R17&lt;=dTo),SUMIFS(tblClean[Attributed GMV PHP],tblClean[Date],R17,tblClean[Host Name],dHost,tblClean[Include],1),NA())</f>
        <v>36562</v>
      </c>
      <c r="T17" s="62">
        <f>IF(AND(R17&gt;=dFrom,R17&lt;=dTo),SUMIFS(tblClean[Attributed GMV PHP],tblClean[Date],"&gt;="&amp;MAX(R17-6,dFrom),tblClean[Date],"&lt;="&amp;R17,tblClean[Host Name],dHost,tblClean[Include],1)/(R17-MAX(R17-6,dFrom)+1),NA())</f>
        <v>99407.857142857145</v>
      </c>
      <c r="V17" s="61">
        <f>'Weekly Summary'!B16</f>
        <v>45880</v>
      </c>
      <c r="W17" s="62">
        <f>IF(AND(V17+6&gt;=dFrom,V17&lt;=dTo),SUMIFS(tblClean[Attributed GMV PHP],tblClean[Date],"&gt;="&amp;MAX(V17,dFrom),tblClean[Date],"&lt;="&amp;MIN(V17+6,dTo),tblClean[Host Name],dHost,tblClean[Include],1),NA())</f>
        <v>888080</v>
      </c>
    </row>
    <row r="18" spans="1:23" x14ac:dyDescent="0.3">
      <c r="A18" s="57"/>
      <c r="B18" s="57"/>
      <c r="C18" s="57"/>
      <c r="D18" s="57"/>
      <c r="E18" s="57"/>
      <c r="F18" s="57"/>
      <c r="G18" s="57"/>
      <c r="H18" s="57"/>
      <c r="I18" s="57"/>
      <c r="J18" s="57"/>
      <c r="K18" s="57"/>
      <c r="L18" s="57"/>
      <c r="M18" s="57"/>
      <c r="N18" s="57"/>
      <c r="R18" s="61">
        <f t="shared" si="0"/>
        <v>45821</v>
      </c>
      <c r="S18" s="62">
        <f>IF(AND(R18&gt;=dFrom,R18&lt;=dTo),SUMIFS(tblClean[Attributed GMV PHP],tblClean[Date],R18,tblClean[Host Name],dHost,tblClean[Include],1),NA())</f>
        <v>123902</v>
      </c>
      <c r="T18" s="62">
        <f>IF(AND(R18&gt;=dFrom,R18&lt;=dTo),SUMIFS(tblClean[Attributed GMV PHP],tblClean[Date],"&gt;="&amp;MAX(R18-6,dFrom),tblClean[Date],"&lt;="&amp;R18,tblClean[Host Name],dHost,tblClean[Include],1)/(R18-MAX(R18-6,dFrom)+1),NA())</f>
        <v>91824</v>
      </c>
      <c r="V18" s="61">
        <f>'Weekly Summary'!B17</f>
        <v>45887</v>
      </c>
      <c r="W18" s="62">
        <f>IF(AND(V18+6&gt;=dFrom,V18&lt;=dTo),SUMIFS(tblClean[Attributed GMV PHP],tblClean[Date],"&gt;="&amp;MAX(V18,dFrom),tblClean[Date],"&lt;="&amp;MIN(V18+6,dTo),tblClean[Host Name],dHost,tblClean[Include],1),NA())</f>
        <v>906631</v>
      </c>
    </row>
    <row r="19" spans="1:23" x14ac:dyDescent="0.3">
      <c r="A19" s="57"/>
      <c r="B19" s="57"/>
      <c r="C19" s="57"/>
      <c r="D19" s="57"/>
      <c r="E19" s="57"/>
      <c r="F19" s="57"/>
      <c r="G19" s="57"/>
      <c r="H19" s="57"/>
      <c r="I19" s="57"/>
      <c r="J19" s="57"/>
      <c r="K19" s="57"/>
      <c r="L19" s="57"/>
      <c r="M19" s="57"/>
      <c r="N19" s="57"/>
      <c r="R19" s="61">
        <f t="shared" si="0"/>
        <v>45822</v>
      </c>
      <c r="S19" s="62">
        <f>IF(AND(R19&gt;=dFrom,R19&lt;=dTo),SUMIFS(tblClean[Attributed GMV PHP],tblClean[Date],R19,tblClean[Host Name],dHost,tblClean[Include],1),NA())</f>
        <v>134548</v>
      </c>
      <c r="T19" s="62">
        <f>IF(AND(R19&gt;=dFrom,R19&lt;=dTo),SUMIFS(tblClean[Attributed GMV PHP],tblClean[Date],"&gt;="&amp;MAX(R19-6,dFrom),tblClean[Date],"&lt;="&amp;R19,tblClean[Host Name],dHost,tblClean[Include],1)/(R19-MAX(R19-6,dFrom)+1),NA())</f>
        <v>94419.428571428565</v>
      </c>
      <c r="V19" s="61">
        <f>'Weekly Summary'!B18</f>
        <v>45894</v>
      </c>
      <c r="W19" s="62">
        <f>IF(AND(V19+6&gt;=dFrom,V19&lt;=dTo),SUMIFS(tblClean[Attributed GMV PHP],tblClean[Date],"&gt;="&amp;MAX(V19,dFrom),tblClean[Date],"&lt;="&amp;MIN(V19+6,dTo),tblClean[Host Name],dHost,tblClean[Include],1),NA())</f>
        <v>793006</v>
      </c>
    </row>
    <row r="20" spans="1:23" x14ac:dyDescent="0.3">
      <c r="A20" s="57"/>
      <c r="B20" s="57"/>
      <c r="C20" s="57"/>
      <c r="D20" s="57"/>
      <c r="E20" s="57"/>
      <c r="F20" s="57"/>
      <c r="G20" s="57"/>
      <c r="H20" s="57"/>
      <c r="I20" s="57"/>
      <c r="J20" s="57"/>
      <c r="K20" s="57"/>
      <c r="L20" s="57"/>
      <c r="M20" s="57"/>
      <c r="N20" s="57"/>
      <c r="R20" s="61">
        <f t="shared" si="0"/>
        <v>45823</v>
      </c>
      <c r="S20" s="62">
        <f>IF(AND(R20&gt;=dFrom,R20&lt;=dTo),SUMIFS(tblClean[Attributed GMV PHP],tblClean[Date],R20,tblClean[Host Name],dHost,tblClean[Include],1),NA())</f>
        <v>106367</v>
      </c>
      <c r="T20" s="62">
        <f>IF(AND(R20&gt;=dFrom,R20&lt;=dTo),SUMIFS(tblClean[Attributed GMV PHP],tblClean[Date],"&gt;="&amp;MAX(R20-6,dFrom),tblClean[Date],"&lt;="&amp;R20,tblClean[Host Name],dHost,tblClean[Include],1)/(R20-MAX(R20-6,dFrom)+1),NA())</f>
        <v>99820.142857142855</v>
      </c>
    </row>
    <row r="21" spans="1:23" x14ac:dyDescent="0.3">
      <c r="A21" s="57"/>
      <c r="B21" s="57"/>
      <c r="C21" s="57"/>
      <c r="D21" s="57"/>
      <c r="E21" s="57"/>
      <c r="F21" s="57"/>
      <c r="G21" s="57"/>
      <c r="H21" s="57"/>
      <c r="I21" s="57"/>
      <c r="J21" s="57"/>
      <c r="K21" s="57"/>
      <c r="L21" s="57"/>
      <c r="M21" s="57"/>
      <c r="N21" s="57"/>
      <c r="R21" s="61">
        <f t="shared" si="0"/>
        <v>45824</v>
      </c>
      <c r="S21" s="62">
        <f>IF(AND(R21&gt;=dFrom,R21&lt;=dTo),SUMIFS(tblClean[Attributed GMV PHP],tblClean[Date],R21,tblClean[Host Name],dHost,tblClean[Include],1),NA())</f>
        <v>70318</v>
      </c>
      <c r="T21" s="62">
        <f>IF(AND(R21&gt;=dFrom,R21&lt;=dTo),SUMIFS(tblClean[Attributed GMV PHP],tblClean[Date],"&gt;="&amp;MAX(R21-6,dFrom),tblClean[Date],"&lt;="&amp;R21,tblClean[Host Name],dHost,tblClean[Include],1)/(R21-MAX(R21-6,dFrom)+1),NA())</f>
        <v>96675.428571428565</v>
      </c>
    </row>
    <row r="22" spans="1:23" x14ac:dyDescent="0.3">
      <c r="A22" s="57"/>
      <c r="B22" s="57"/>
      <c r="C22" s="57"/>
      <c r="D22" s="57"/>
      <c r="E22" s="57"/>
      <c r="F22" s="57"/>
      <c r="G22" s="57"/>
      <c r="H22" s="57"/>
      <c r="I22" s="57"/>
      <c r="J22" s="57"/>
      <c r="K22" s="57"/>
      <c r="L22" s="57"/>
      <c r="M22" s="57"/>
      <c r="N22" s="57"/>
      <c r="R22" s="61">
        <f t="shared" si="0"/>
        <v>45825</v>
      </c>
      <c r="S22" s="62">
        <f>IF(AND(R22&gt;=dFrom,R22&lt;=dTo),SUMIFS(tblClean[Attributed GMV PHP],tblClean[Date],R22,tblClean[Host Name],dHost,tblClean[Include],1),NA())</f>
        <v>86201</v>
      </c>
      <c r="T22" s="62">
        <f>IF(AND(R22&gt;=dFrom,R22&lt;=dTo),SUMIFS(tblClean[Attributed GMV PHP],tblClean[Date],"&gt;="&amp;MAX(R22-6,dFrom),tblClean[Date],"&lt;="&amp;R22,tblClean[Host Name],dHost,tblClean[Include],1)/(R22-MAX(R22-6,dFrom)+1),NA())</f>
        <v>93086</v>
      </c>
    </row>
    <row r="23" spans="1:23" x14ac:dyDescent="0.3">
      <c r="A23" s="57"/>
      <c r="B23" s="57"/>
      <c r="C23" s="57"/>
      <c r="D23" s="57"/>
      <c r="E23" s="57"/>
      <c r="F23" s="57"/>
      <c r="G23" s="57"/>
      <c r="H23" s="57"/>
      <c r="I23" s="57"/>
      <c r="J23" s="57"/>
      <c r="K23" s="57"/>
      <c r="L23" s="57"/>
      <c r="M23" s="57"/>
      <c r="N23" s="57"/>
      <c r="R23" s="61">
        <f t="shared" si="0"/>
        <v>45826</v>
      </c>
      <c r="S23" s="62">
        <f>IF(AND(R23&gt;=dFrom,R23&lt;=dTo),SUMIFS(tblClean[Attributed GMV PHP],tblClean[Date],R23,tblClean[Host Name],dHost,tblClean[Include],1),NA())</f>
        <v>89868</v>
      </c>
      <c r="T23" s="62">
        <f>IF(AND(R23&gt;=dFrom,R23&lt;=dTo),SUMIFS(tblClean[Attributed GMV PHP],tblClean[Date],"&gt;="&amp;MAX(R23-6,dFrom),tblClean[Date],"&lt;="&amp;R23,tblClean[Host Name],dHost,tblClean[Include],1)/(R23-MAX(R23-6,dFrom)+1),NA())</f>
        <v>92538</v>
      </c>
    </row>
    <row r="24" spans="1:23" x14ac:dyDescent="0.3">
      <c r="A24" s="57"/>
      <c r="B24" s="57"/>
      <c r="C24" s="57"/>
      <c r="D24" s="57"/>
      <c r="E24" s="57"/>
      <c r="F24" s="57"/>
      <c r="G24" s="57"/>
      <c r="H24" s="57"/>
      <c r="I24" s="57"/>
      <c r="J24" s="57"/>
      <c r="K24" s="57"/>
      <c r="L24" s="57"/>
      <c r="M24" s="57"/>
      <c r="N24" s="57"/>
      <c r="R24" s="61">
        <f t="shared" si="0"/>
        <v>45827</v>
      </c>
      <c r="S24" s="62">
        <f>IF(AND(R24&gt;=dFrom,R24&lt;=dTo),SUMIFS(tblClean[Attributed GMV PHP],tblClean[Date],R24,tblClean[Host Name],dHost,tblClean[Include],1),NA())</f>
        <v>49961</v>
      </c>
      <c r="T24" s="62">
        <f>IF(AND(R24&gt;=dFrom,R24&lt;=dTo),SUMIFS(tblClean[Attributed GMV PHP],tblClean[Date],"&gt;="&amp;MAX(R24-6,dFrom),tblClean[Date],"&lt;="&amp;R24,tblClean[Host Name],dHost,tblClean[Include],1)/(R24-MAX(R24-6,dFrom)+1),NA())</f>
        <v>94452.142857142855</v>
      </c>
    </row>
    <row r="25" spans="1:23" x14ac:dyDescent="0.3">
      <c r="A25" s="57"/>
      <c r="B25" s="57"/>
      <c r="C25" s="57"/>
      <c r="D25" s="57"/>
      <c r="E25" s="57"/>
      <c r="F25" s="57"/>
      <c r="G25" s="57"/>
      <c r="H25" s="57"/>
      <c r="I25" s="57"/>
      <c r="J25" s="57"/>
      <c r="K25" s="57"/>
      <c r="L25" s="57"/>
      <c r="M25" s="57"/>
      <c r="N25" s="57"/>
      <c r="R25" s="61">
        <f t="shared" si="0"/>
        <v>45828</v>
      </c>
      <c r="S25" s="62">
        <f>IF(AND(R25&gt;=dFrom,R25&lt;=dTo),SUMIFS(tblClean[Attributed GMV PHP],tblClean[Date],R25,tblClean[Host Name],dHost,tblClean[Include],1),NA())</f>
        <v>125088</v>
      </c>
      <c r="T25" s="62">
        <f>IF(AND(R25&gt;=dFrom,R25&lt;=dTo),SUMIFS(tblClean[Attributed GMV PHP],tblClean[Date],"&gt;="&amp;MAX(R25-6,dFrom),tblClean[Date],"&lt;="&amp;R25,tblClean[Host Name],dHost,tblClean[Include],1)/(R25-MAX(R25-6,dFrom)+1),NA())</f>
        <v>94621.571428571435</v>
      </c>
    </row>
    <row r="26" spans="1:23" x14ac:dyDescent="0.3">
      <c r="A26" s="57"/>
      <c r="B26" s="57"/>
      <c r="C26" s="57"/>
      <c r="D26" s="57"/>
      <c r="E26" s="57"/>
      <c r="F26" s="57"/>
      <c r="G26" s="57"/>
      <c r="H26" s="57"/>
      <c r="I26" s="57"/>
      <c r="J26" s="57"/>
      <c r="K26" s="57"/>
      <c r="L26" s="57"/>
      <c r="M26" s="57"/>
      <c r="N26" s="57"/>
      <c r="R26" s="61">
        <f t="shared" si="0"/>
        <v>45829</v>
      </c>
      <c r="S26" s="62">
        <f>IF(AND(R26&gt;=dFrom,R26&lt;=dTo),SUMIFS(tblClean[Attributed GMV PHP],tblClean[Date],R26,tblClean[Host Name],dHost,tblClean[Include],1),NA())</f>
        <v>137301</v>
      </c>
      <c r="T26" s="62">
        <f>IF(AND(R26&gt;=dFrom,R26&lt;=dTo),SUMIFS(tblClean[Attributed GMV PHP],tblClean[Date],"&gt;="&amp;MAX(R26-6,dFrom),tblClean[Date],"&lt;="&amp;R26,tblClean[Host Name],dHost,tblClean[Include],1)/(R26-MAX(R26-6,dFrom)+1),NA())</f>
        <v>95014.857142857145</v>
      </c>
    </row>
    <row r="27" spans="1:23" x14ac:dyDescent="0.3">
      <c r="A27" s="57"/>
      <c r="B27" s="57"/>
      <c r="C27" s="57"/>
      <c r="D27" s="57"/>
      <c r="E27" s="57"/>
      <c r="F27" s="57"/>
      <c r="G27" s="57"/>
      <c r="H27" s="57"/>
      <c r="I27" s="57"/>
      <c r="J27" s="57"/>
      <c r="K27" s="57"/>
      <c r="L27" s="57"/>
      <c r="M27" s="57"/>
      <c r="N27" s="57"/>
      <c r="R27" s="61">
        <f t="shared" si="0"/>
        <v>45830</v>
      </c>
      <c r="S27" s="62">
        <f>IF(AND(R27&gt;=dFrom,R27&lt;=dTo),SUMIFS(tblClean[Attributed GMV PHP],tblClean[Date],R27,tblClean[Host Name],dHost,tblClean[Include],1),NA())</f>
        <v>119977</v>
      </c>
      <c r="T27" s="62">
        <f>IF(AND(R27&gt;=dFrom,R27&lt;=dTo),SUMIFS(tblClean[Attributed GMV PHP],tblClean[Date],"&gt;="&amp;MAX(R27-6,dFrom),tblClean[Date],"&lt;="&amp;R27,tblClean[Host Name],dHost,tblClean[Include],1)/(R27-MAX(R27-6,dFrom)+1),NA())</f>
        <v>96959.142857142855</v>
      </c>
    </row>
    <row r="28" spans="1:23" x14ac:dyDescent="0.3">
      <c r="A28" s="57"/>
      <c r="B28" s="57"/>
      <c r="C28" s="57"/>
      <c r="D28" s="57"/>
      <c r="E28" s="57"/>
      <c r="F28" s="57"/>
      <c r="G28" s="57"/>
      <c r="H28" s="57"/>
      <c r="I28" s="57"/>
      <c r="J28" s="57"/>
      <c r="K28" s="57"/>
      <c r="L28" s="57"/>
      <c r="M28" s="57"/>
      <c r="N28" s="57"/>
      <c r="R28" s="61">
        <f t="shared" si="0"/>
        <v>45831</v>
      </c>
      <c r="S28" s="62">
        <f>IF(AND(R28&gt;=dFrom,R28&lt;=dTo),SUMIFS(tblClean[Attributed GMV PHP],tblClean[Date],R28,tblClean[Host Name],dHost,tblClean[Include],1),NA())</f>
        <v>97093</v>
      </c>
      <c r="T28" s="62">
        <f>IF(AND(R28&gt;=dFrom,R28&lt;=dTo),SUMIFS(tblClean[Attributed GMV PHP],tblClean[Date],"&gt;="&amp;MAX(R28-6,dFrom),tblClean[Date],"&lt;="&amp;R28,tblClean[Host Name],dHost,tblClean[Include],1)/(R28-MAX(R28-6,dFrom)+1),NA())</f>
        <v>100784.14285714286</v>
      </c>
    </row>
    <row r="29" spans="1:23" x14ac:dyDescent="0.3">
      <c r="A29" s="57"/>
      <c r="B29" s="57"/>
      <c r="C29" s="57"/>
      <c r="D29" s="57"/>
      <c r="E29" s="57"/>
      <c r="F29" s="57"/>
      <c r="G29" s="57"/>
      <c r="H29" s="57"/>
      <c r="I29" s="57"/>
      <c r="J29" s="57"/>
      <c r="K29" s="57"/>
      <c r="L29" s="57"/>
      <c r="M29" s="57"/>
      <c r="N29" s="57"/>
      <c r="R29" s="61">
        <f t="shared" si="0"/>
        <v>45832</v>
      </c>
      <c r="S29" s="62">
        <f>IF(AND(R29&gt;=dFrom,R29&lt;=dTo),SUMIFS(tblClean[Attributed GMV PHP],tblClean[Date],R29,tblClean[Host Name],dHost,tblClean[Include],1),NA())</f>
        <v>82009</v>
      </c>
      <c r="T29" s="62">
        <f>IF(AND(R29&gt;=dFrom,R29&lt;=dTo),SUMIFS(tblClean[Attributed GMV PHP],tblClean[Date],"&gt;="&amp;MAX(R29-6,dFrom),tblClean[Date],"&lt;="&amp;R29,tblClean[Host Name],dHost,tblClean[Include],1)/(R29-MAX(R29-6,dFrom)+1),NA())</f>
        <v>100185.28571428571</v>
      </c>
    </row>
    <row r="30" spans="1:23" x14ac:dyDescent="0.3">
      <c r="A30" s="57"/>
      <c r="B30" s="57"/>
      <c r="C30" s="57"/>
      <c r="D30" s="57"/>
      <c r="E30" s="57"/>
      <c r="F30" s="57"/>
      <c r="G30" s="57"/>
      <c r="H30" s="57"/>
      <c r="I30" s="57"/>
      <c r="J30" s="57"/>
      <c r="K30" s="57"/>
      <c r="L30" s="57"/>
      <c r="M30" s="57"/>
      <c r="N30" s="57"/>
      <c r="R30" s="61">
        <f t="shared" si="0"/>
        <v>45833</v>
      </c>
      <c r="S30" s="62">
        <f>IF(AND(R30&gt;=dFrom,R30&lt;=dTo),SUMIFS(tblClean[Attributed GMV PHP],tblClean[Date],R30,tblClean[Host Name],dHost,tblClean[Include],1),NA())</f>
        <v>70932</v>
      </c>
      <c r="T30" s="62">
        <f>IF(AND(R30&gt;=dFrom,R30&lt;=dTo),SUMIFS(tblClean[Attributed GMV PHP],tblClean[Date],"&gt;="&amp;MAX(R30-6,dFrom),tblClean[Date],"&lt;="&amp;R30,tblClean[Host Name],dHost,tblClean[Include],1)/(R30-MAX(R30-6,dFrom)+1),NA())</f>
        <v>97480.142857142855</v>
      </c>
    </row>
    <row r="31" spans="1:23" x14ac:dyDescent="0.3">
      <c r="A31" s="57"/>
      <c r="B31" s="57"/>
      <c r="C31" s="57"/>
      <c r="D31" s="57"/>
      <c r="E31" s="57"/>
      <c r="F31" s="57"/>
      <c r="G31" s="57"/>
      <c r="H31" s="57"/>
      <c r="I31" s="57"/>
      <c r="J31" s="57"/>
      <c r="K31" s="57"/>
      <c r="L31" s="57"/>
      <c r="M31" s="57"/>
      <c r="N31" s="57"/>
      <c r="R31" s="61">
        <f t="shared" si="0"/>
        <v>45834</v>
      </c>
      <c r="S31" s="62">
        <f>IF(AND(R31&gt;=dFrom,R31&lt;=dTo),SUMIFS(tblClean[Attributed GMV PHP],tblClean[Date],R31,tblClean[Host Name],dHost,tblClean[Include],1),NA())</f>
        <v>135191</v>
      </c>
      <c r="T31" s="62">
        <f>IF(AND(R31&gt;=dFrom,R31&lt;=dTo),SUMIFS(tblClean[Attributed GMV PHP],tblClean[Date],"&gt;="&amp;MAX(R31-6,dFrom),tblClean[Date],"&lt;="&amp;R31,tblClean[Host Name],dHost,tblClean[Include],1)/(R31-MAX(R31-6,dFrom)+1),NA())</f>
        <v>109655.85714285714</v>
      </c>
    </row>
    <row r="32" spans="1:23" x14ac:dyDescent="0.3">
      <c r="A32" s="57"/>
      <c r="B32" s="57"/>
      <c r="C32" s="57"/>
      <c r="D32" s="57"/>
      <c r="E32" s="57"/>
      <c r="F32" s="57"/>
      <c r="G32" s="57"/>
      <c r="H32" s="57"/>
      <c r="I32" s="57"/>
      <c r="J32" s="57"/>
      <c r="K32" s="57"/>
      <c r="L32" s="57"/>
      <c r="M32" s="57"/>
      <c r="N32" s="57"/>
      <c r="R32" s="61">
        <f t="shared" si="0"/>
        <v>45835</v>
      </c>
      <c r="S32" s="62">
        <f>IF(AND(R32&gt;=dFrom,R32&lt;=dTo),SUMIFS(tblClean[Attributed GMV PHP],tblClean[Date],R32,tblClean[Host Name],dHost,tblClean[Include],1),NA())</f>
        <v>93123</v>
      </c>
      <c r="T32" s="62">
        <f>IF(AND(R32&gt;=dFrom,R32&lt;=dTo),SUMIFS(tblClean[Attributed GMV PHP],tblClean[Date],"&gt;="&amp;MAX(R32-6,dFrom),tblClean[Date],"&lt;="&amp;R32,tblClean[Host Name],dHost,tblClean[Include],1)/(R32-MAX(R32-6,dFrom)+1),NA())</f>
        <v>105089.42857142857</v>
      </c>
    </row>
    <row r="33" spans="1:20" x14ac:dyDescent="0.3">
      <c r="A33" s="57"/>
      <c r="B33" s="57"/>
      <c r="C33" s="57"/>
      <c r="D33" s="57"/>
      <c r="E33" s="57"/>
      <c r="F33" s="57"/>
      <c r="G33" s="57"/>
      <c r="H33" s="57"/>
      <c r="I33" s="57"/>
      <c r="J33" s="57"/>
      <c r="K33" s="57"/>
      <c r="L33" s="57"/>
      <c r="M33" s="57"/>
      <c r="N33" s="57"/>
      <c r="R33" s="61">
        <f t="shared" si="0"/>
        <v>45836</v>
      </c>
      <c r="S33" s="62">
        <f>IF(AND(R33&gt;=dFrom,R33&lt;=dTo),SUMIFS(tblClean[Attributed GMV PHP],tblClean[Date],R33,tblClean[Host Name],dHost,tblClean[Include],1),NA())</f>
        <v>123110</v>
      </c>
      <c r="T33" s="62">
        <f>IF(AND(R33&gt;=dFrom,R33&lt;=dTo),SUMIFS(tblClean[Attributed GMV PHP],tblClean[Date],"&gt;="&amp;MAX(R33-6,dFrom),tblClean[Date],"&lt;="&amp;R33,tblClean[Host Name],dHost,tblClean[Include],1)/(R33-MAX(R33-6,dFrom)+1),NA())</f>
        <v>103062.14285714286</v>
      </c>
    </row>
    <row r="34" spans="1:20" x14ac:dyDescent="0.3">
      <c r="A34" s="57"/>
      <c r="B34" s="57"/>
      <c r="C34" s="57"/>
      <c r="D34" s="57"/>
      <c r="E34" s="57"/>
      <c r="F34" s="57"/>
      <c r="G34" s="57"/>
      <c r="H34" s="57"/>
      <c r="I34" s="57"/>
      <c r="J34" s="57"/>
      <c r="K34" s="57"/>
      <c r="L34" s="57"/>
      <c r="M34" s="57"/>
      <c r="N34" s="57"/>
      <c r="R34" s="61">
        <f t="shared" si="0"/>
        <v>45837</v>
      </c>
      <c r="S34" s="62">
        <f>IF(AND(R34&gt;=dFrom,R34&lt;=dTo),SUMIFS(tblClean[Attributed GMV PHP],tblClean[Date],R34,tblClean[Host Name],dHost,tblClean[Include],1),NA())</f>
        <v>144839</v>
      </c>
      <c r="T34" s="62">
        <f>IF(AND(R34&gt;=dFrom,R34&lt;=dTo),SUMIFS(tblClean[Attributed GMV PHP],tblClean[Date],"&gt;="&amp;MAX(R34-6,dFrom),tblClean[Date],"&lt;="&amp;R34,tblClean[Host Name],dHost,tblClean[Include],1)/(R34-MAX(R34-6,dFrom)+1),NA())</f>
        <v>106613.85714285714</v>
      </c>
    </row>
    <row r="35" spans="1:20" x14ac:dyDescent="0.3">
      <c r="A35" s="57"/>
      <c r="B35" s="57"/>
      <c r="C35" s="57"/>
      <c r="D35" s="57"/>
      <c r="E35" s="57"/>
      <c r="F35" s="57"/>
      <c r="G35" s="57"/>
      <c r="H35" s="57"/>
      <c r="I35" s="57"/>
      <c r="J35" s="57"/>
      <c r="K35" s="57"/>
      <c r="L35" s="57"/>
      <c r="M35" s="57"/>
      <c r="N35" s="57"/>
      <c r="R35" s="61">
        <f t="shared" si="0"/>
        <v>45838</v>
      </c>
      <c r="S35" s="62">
        <f>IF(AND(R35&gt;=dFrom,R35&lt;=dTo),SUMIFS(tblClean[Attributed GMV PHP],tblClean[Date],R35,tblClean[Host Name],dHost,tblClean[Include],1),NA())</f>
        <v>109326</v>
      </c>
      <c r="T35" s="62">
        <f>IF(AND(R35&gt;=dFrom,R35&lt;=dTo),SUMIFS(tblClean[Attributed GMV PHP],tblClean[Date],"&gt;="&amp;MAX(R35-6,dFrom),tblClean[Date],"&lt;="&amp;R35,tblClean[Host Name],dHost,tblClean[Include],1)/(R35-MAX(R35-6,dFrom)+1),NA())</f>
        <v>108361.42857142857</v>
      </c>
    </row>
    <row r="36" spans="1:20" x14ac:dyDescent="0.3">
      <c r="A36" s="57"/>
      <c r="B36" s="57"/>
      <c r="C36" s="57"/>
      <c r="D36" s="57"/>
      <c r="E36" s="57"/>
      <c r="F36" s="57"/>
      <c r="G36" s="57"/>
      <c r="H36" s="57"/>
      <c r="I36" s="57"/>
      <c r="J36" s="57"/>
      <c r="K36" s="57"/>
      <c r="L36" s="57"/>
      <c r="M36" s="57"/>
      <c r="N36" s="57"/>
      <c r="R36" s="61">
        <f t="shared" si="0"/>
        <v>45839</v>
      </c>
      <c r="S36" s="62">
        <f>IF(AND(R36&gt;=dFrom,R36&lt;=dTo),SUMIFS(tblClean[Attributed GMV PHP],tblClean[Date],R36,tblClean[Host Name],dHost,tblClean[Include],1),NA())</f>
        <v>98862</v>
      </c>
      <c r="T36" s="62">
        <f>IF(AND(R36&gt;=dFrom,R36&lt;=dTo),SUMIFS(tblClean[Attributed GMV PHP],tblClean[Date],"&gt;="&amp;MAX(R36-6,dFrom),tblClean[Date],"&lt;="&amp;R36,tblClean[Host Name],dHost,tblClean[Include],1)/(R36-MAX(R36-6,dFrom)+1),NA())</f>
        <v>110769</v>
      </c>
    </row>
    <row r="37" spans="1:20" x14ac:dyDescent="0.3">
      <c r="A37" s="57"/>
      <c r="B37" s="57"/>
      <c r="C37" s="57"/>
      <c r="D37" s="57"/>
      <c r="E37" s="57"/>
      <c r="F37" s="57"/>
      <c r="G37" s="57"/>
      <c r="H37" s="57"/>
      <c r="I37" s="57"/>
      <c r="J37" s="57"/>
      <c r="K37" s="57"/>
      <c r="L37" s="57"/>
      <c r="M37" s="57"/>
      <c r="N37" s="57"/>
      <c r="R37" s="61">
        <f t="shared" si="0"/>
        <v>45840</v>
      </c>
      <c r="S37" s="62">
        <f>IF(AND(R37&gt;=dFrom,R37&lt;=dTo),SUMIFS(tblClean[Attributed GMV PHP],tblClean[Date],R37,tblClean[Host Name],dHost,tblClean[Include],1),NA())</f>
        <v>184090</v>
      </c>
      <c r="T37" s="62">
        <f>IF(AND(R37&gt;=dFrom,R37&lt;=dTo),SUMIFS(tblClean[Attributed GMV PHP],tblClean[Date],"&gt;="&amp;MAX(R37-6,dFrom),tblClean[Date],"&lt;="&amp;R37,tblClean[Host Name],dHost,tblClean[Include],1)/(R37-MAX(R37-6,dFrom)+1),NA())</f>
        <v>126934.42857142857</v>
      </c>
    </row>
    <row r="38" spans="1:20" x14ac:dyDescent="0.3">
      <c r="A38" s="57"/>
      <c r="B38" s="57"/>
      <c r="C38" s="57"/>
      <c r="D38" s="57"/>
      <c r="E38" s="57"/>
      <c r="F38" s="57"/>
      <c r="G38" s="57"/>
      <c r="H38" s="57"/>
      <c r="I38" s="57"/>
      <c r="J38" s="57"/>
      <c r="K38" s="57"/>
      <c r="L38" s="57"/>
      <c r="M38" s="57"/>
      <c r="N38" s="57"/>
      <c r="R38" s="61">
        <f t="shared" si="0"/>
        <v>45841</v>
      </c>
      <c r="S38" s="62">
        <f>IF(AND(R38&gt;=dFrom,R38&lt;=dTo),SUMIFS(tblClean[Attributed GMV PHP],tblClean[Date],R38,tblClean[Host Name],dHost,tblClean[Include],1),NA())</f>
        <v>80679</v>
      </c>
      <c r="T38" s="62">
        <f>IF(AND(R38&gt;=dFrom,R38&lt;=dTo),SUMIFS(tblClean[Attributed GMV PHP],tblClean[Date],"&gt;="&amp;MAX(R38-6,dFrom),tblClean[Date],"&lt;="&amp;R38,tblClean[Host Name],dHost,tblClean[Include],1)/(R38-MAX(R38-6,dFrom)+1),NA())</f>
        <v>119147</v>
      </c>
    </row>
    <row r="39" spans="1:20" x14ac:dyDescent="0.3">
      <c r="A39" s="57"/>
      <c r="B39" s="57"/>
      <c r="C39" s="57"/>
      <c r="D39" s="57"/>
      <c r="E39" s="57"/>
      <c r="F39" s="57"/>
      <c r="G39" s="57"/>
      <c r="H39" s="57"/>
      <c r="I39" s="57"/>
      <c r="J39" s="57"/>
      <c r="K39" s="57"/>
      <c r="L39" s="57"/>
      <c r="M39" s="57"/>
      <c r="N39" s="57"/>
      <c r="R39" s="61">
        <f t="shared" si="0"/>
        <v>45842</v>
      </c>
      <c r="S39" s="62">
        <f>IF(AND(R39&gt;=dFrom,R39&lt;=dTo),SUMIFS(tblClean[Attributed GMV PHP],tblClean[Date],R39,tblClean[Host Name],dHost,tblClean[Include],1),NA())</f>
        <v>179125</v>
      </c>
      <c r="T39" s="62">
        <f>IF(AND(R39&gt;=dFrom,R39&lt;=dTo),SUMIFS(tblClean[Attributed GMV PHP],tblClean[Date],"&gt;="&amp;MAX(R39-6,dFrom),tblClean[Date],"&lt;="&amp;R39,tblClean[Host Name],dHost,tblClean[Include],1)/(R39-MAX(R39-6,dFrom)+1),NA())</f>
        <v>131433</v>
      </c>
    </row>
    <row r="40" spans="1:20" x14ac:dyDescent="0.3">
      <c r="A40" s="57"/>
      <c r="B40" s="57"/>
      <c r="C40" s="57"/>
      <c r="D40" s="57"/>
      <c r="E40" s="57"/>
      <c r="F40" s="57"/>
      <c r="G40" s="57"/>
      <c r="H40" s="57"/>
      <c r="I40" s="57"/>
      <c r="J40" s="57"/>
      <c r="K40" s="57"/>
      <c r="L40" s="57"/>
      <c r="M40" s="57"/>
      <c r="N40" s="57"/>
      <c r="R40" s="61">
        <f t="shared" ref="R40:R71" si="1">R39+1</f>
        <v>45843</v>
      </c>
      <c r="S40" s="62">
        <f>IF(AND(R40&gt;=dFrom,R40&lt;=dTo),SUMIFS(tblClean[Attributed GMV PHP],tblClean[Date],R40,tblClean[Host Name],dHost,tblClean[Include],1),NA())</f>
        <v>91802</v>
      </c>
      <c r="T40" s="62">
        <f>IF(AND(R40&gt;=dFrom,R40&lt;=dTo),SUMIFS(tblClean[Attributed GMV PHP],tblClean[Date],"&gt;="&amp;MAX(R40-6,dFrom),tblClean[Date],"&lt;="&amp;R40,tblClean[Host Name],dHost,tblClean[Include],1)/(R40-MAX(R40-6,dFrom)+1),NA())</f>
        <v>126960.42857142857</v>
      </c>
    </row>
    <row r="41" spans="1:20" x14ac:dyDescent="0.3">
      <c r="A41" s="57"/>
      <c r="B41" s="57"/>
      <c r="C41" s="57"/>
      <c r="D41" s="57"/>
      <c r="E41" s="57"/>
      <c r="F41" s="57"/>
      <c r="G41" s="57"/>
      <c r="H41" s="57"/>
      <c r="I41" s="57"/>
      <c r="J41" s="57"/>
      <c r="K41" s="57"/>
      <c r="L41" s="57"/>
      <c r="M41" s="57"/>
      <c r="N41" s="57"/>
      <c r="R41" s="61">
        <f t="shared" si="1"/>
        <v>45844</v>
      </c>
      <c r="S41" s="62">
        <f>IF(AND(R41&gt;=dFrom,R41&lt;=dTo),SUMIFS(tblClean[Attributed GMV PHP],tblClean[Date],R41,tblClean[Host Name],dHost,tblClean[Include],1),NA())</f>
        <v>164266</v>
      </c>
      <c r="T41" s="62">
        <f>IF(AND(R41&gt;=dFrom,R41&lt;=dTo),SUMIFS(tblClean[Attributed GMV PHP],tblClean[Date],"&gt;="&amp;MAX(R41-6,dFrom),tblClean[Date],"&lt;="&amp;R41,tblClean[Host Name],dHost,tblClean[Include],1)/(R41-MAX(R41-6,dFrom)+1),NA())</f>
        <v>129735.71428571429</v>
      </c>
    </row>
    <row r="42" spans="1:20" x14ac:dyDescent="0.3">
      <c r="A42" s="57"/>
      <c r="B42" s="57"/>
      <c r="C42" s="57"/>
      <c r="D42" s="57"/>
      <c r="E42" s="57"/>
      <c r="F42" s="57"/>
      <c r="G42" s="57"/>
      <c r="H42" s="57"/>
      <c r="I42" s="57"/>
      <c r="J42" s="57"/>
      <c r="K42" s="57"/>
      <c r="L42" s="57"/>
      <c r="M42" s="57"/>
      <c r="N42" s="57"/>
      <c r="R42" s="61">
        <f t="shared" si="1"/>
        <v>45845</v>
      </c>
      <c r="S42" s="62">
        <f>IF(AND(R42&gt;=dFrom,R42&lt;=dTo),SUMIFS(tblClean[Attributed GMV PHP],tblClean[Date],R42,tblClean[Host Name],dHost,tblClean[Include],1),NA())</f>
        <v>109870</v>
      </c>
      <c r="T42" s="62">
        <f>IF(AND(R42&gt;=dFrom,R42&lt;=dTo),SUMIFS(tblClean[Attributed GMV PHP],tblClean[Date],"&gt;="&amp;MAX(R42-6,dFrom),tblClean[Date],"&lt;="&amp;R42,tblClean[Host Name],dHost,tblClean[Include],1)/(R42-MAX(R42-6,dFrom)+1),NA())</f>
        <v>129813.42857142857</v>
      </c>
    </row>
    <row r="43" spans="1:20" x14ac:dyDescent="0.3">
      <c r="A43" s="57"/>
      <c r="B43" s="57"/>
      <c r="C43" s="57"/>
      <c r="D43" s="57"/>
      <c r="E43" s="57"/>
      <c r="F43" s="57"/>
      <c r="G43" s="57"/>
      <c r="H43" s="57"/>
      <c r="I43" s="57"/>
      <c r="J43" s="57"/>
      <c r="K43" s="57"/>
      <c r="L43" s="57"/>
      <c r="M43" s="57"/>
      <c r="N43" s="57"/>
      <c r="R43" s="61">
        <f t="shared" si="1"/>
        <v>45846</v>
      </c>
      <c r="S43" s="62">
        <f>IF(AND(R43&gt;=dFrom,R43&lt;=dTo),SUMIFS(tblClean[Attributed GMV PHP],tblClean[Date],R43,tblClean[Host Name],dHost,tblClean[Include],1),NA())</f>
        <v>119919</v>
      </c>
      <c r="T43" s="62">
        <f>IF(AND(R43&gt;=dFrom,R43&lt;=dTo),SUMIFS(tblClean[Attributed GMV PHP],tblClean[Date],"&gt;="&amp;MAX(R43-6,dFrom),tblClean[Date],"&lt;="&amp;R43,tblClean[Host Name],dHost,tblClean[Include],1)/(R43-MAX(R43-6,dFrom)+1),NA())</f>
        <v>132821.57142857142</v>
      </c>
    </row>
    <row r="44" spans="1:20" x14ac:dyDescent="0.3">
      <c r="A44" s="57"/>
      <c r="B44" s="57"/>
      <c r="C44" s="57"/>
      <c r="D44" s="57"/>
      <c r="E44" s="57"/>
      <c r="F44" s="57"/>
      <c r="G44" s="57"/>
      <c r="H44" s="57"/>
      <c r="I44" s="57"/>
      <c r="J44" s="57"/>
      <c r="K44" s="57"/>
      <c r="L44" s="57"/>
      <c r="M44" s="57"/>
      <c r="N44" s="57"/>
      <c r="R44" s="61">
        <f t="shared" si="1"/>
        <v>45847</v>
      </c>
      <c r="S44" s="62">
        <f>IF(AND(R44&gt;=dFrom,R44&lt;=dTo),SUMIFS(tblClean[Attributed GMV PHP],tblClean[Date],R44,tblClean[Host Name],dHost,tblClean[Include],1),NA())</f>
        <v>88477</v>
      </c>
      <c r="T44" s="62">
        <f>IF(AND(R44&gt;=dFrom,R44&lt;=dTo),SUMIFS(tblClean[Attributed GMV PHP],tblClean[Date],"&gt;="&amp;MAX(R44-6,dFrom),tblClean[Date],"&lt;="&amp;R44,tblClean[Host Name],dHost,tblClean[Include],1)/(R44-MAX(R44-6,dFrom)+1),NA())</f>
        <v>119162.57142857143</v>
      </c>
    </row>
    <row r="45" spans="1:20" x14ac:dyDescent="0.3">
      <c r="A45" s="57"/>
      <c r="B45" s="57"/>
      <c r="C45" s="57"/>
      <c r="D45" s="57"/>
      <c r="E45" s="57"/>
      <c r="F45" s="57"/>
      <c r="G45" s="57"/>
      <c r="H45" s="57"/>
      <c r="I45" s="57"/>
      <c r="J45" s="57"/>
      <c r="K45" s="57"/>
      <c r="L45" s="57"/>
      <c r="M45" s="57"/>
      <c r="N45" s="57"/>
      <c r="R45" s="61">
        <f t="shared" si="1"/>
        <v>45848</v>
      </c>
      <c r="S45" s="62">
        <f>IF(AND(R45&gt;=dFrom,R45&lt;=dTo),SUMIFS(tblClean[Attributed GMV PHP],tblClean[Date],R45,tblClean[Host Name],dHost,tblClean[Include],1),NA())</f>
        <v>124376</v>
      </c>
      <c r="T45" s="62">
        <f>IF(AND(R45&gt;=dFrom,R45&lt;=dTo),SUMIFS(tblClean[Attributed GMV PHP],tblClean[Date],"&gt;="&amp;MAX(R45-6,dFrom),tblClean[Date],"&lt;="&amp;R45,tblClean[Host Name],dHost,tblClean[Include],1)/(R45-MAX(R45-6,dFrom)+1),NA())</f>
        <v>125405</v>
      </c>
    </row>
    <row r="46" spans="1:20" x14ac:dyDescent="0.3">
      <c r="A46" s="57"/>
      <c r="B46" s="57"/>
      <c r="C46" s="57"/>
      <c r="D46" s="57"/>
      <c r="E46" s="57"/>
      <c r="F46" s="57"/>
      <c r="G46" s="57"/>
      <c r="H46" s="57"/>
      <c r="I46" s="57"/>
      <c r="J46" s="57"/>
      <c r="K46" s="57"/>
      <c r="L46" s="57"/>
      <c r="M46" s="57"/>
      <c r="N46" s="57"/>
      <c r="R46" s="61">
        <f t="shared" si="1"/>
        <v>45849</v>
      </c>
      <c r="S46" s="62">
        <f>IF(AND(R46&gt;=dFrom,R46&lt;=dTo),SUMIFS(tblClean[Attributed GMV PHP],tblClean[Date],R46,tblClean[Host Name],dHost,tblClean[Include],1),NA())</f>
        <v>113912</v>
      </c>
      <c r="T46" s="62">
        <f>IF(AND(R46&gt;=dFrom,R46&lt;=dTo),SUMIFS(tblClean[Attributed GMV PHP],tblClean[Date],"&gt;="&amp;MAX(R46-6,dFrom),tblClean[Date],"&lt;="&amp;R46,tblClean[Host Name],dHost,tblClean[Include],1)/(R46-MAX(R46-6,dFrom)+1),NA())</f>
        <v>116088.85714285714</v>
      </c>
    </row>
    <row r="47" spans="1:20" x14ac:dyDescent="0.3">
      <c r="A47" s="57"/>
      <c r="B47" s="57"/>
      <c r="C47" s="57"/>
      <c r="D47" s="57"/>
      <c r="E47" s="57"/>
      <c r="F47" s="57"/>
      <c r="G47" s="57"/>
      <c r="H47" s="57"/>
      <c r="I47" s="57"/>
      <c r="J47" s="57"/>
      <c r="K47" s="57"/>
      <c r="L47" s="57"/>
      <c r="M47" s="57"/>
      <c r="N47" s="57"/>
      <c r="R47" s="61">
        <f t="shared" si="1"/>
        <v>45850</v>
      </c>
      <c r="S47" s="62">
        <f>IF(AND(R47&gt;=dFrom,R47&lt;=dTo),SUMIFS(tblClean[Attributed GMV PHP],tblClean[Date],R47,tblClean[Host Name],dHost,tblClean[Include],1),NA())</f>
        <v>168737</v>
      </c>
      <c r="T47" s="62">
        <f>IF(AND(R47&gt;=dFrom,R47&lt;=dTo),SUMIFS(tblClean[Attributed GMV PHP],tblClean[Date],"&gt;="&amp;MAX(R47-6,dFrom),tblClean[Date],"&lt;="&amp;R47,tblClean[Host Name],dHost,tblClean[Include],1)/(R47-MAX(R47-6,dFrom)+1),NA())</f>
        <v>127079.57142857143</v>
      </c>
    </row>
    <row r="48" spans="1:20" x14ac:dyDescent="0.3">
      <c r="A48" s="57"/>
      <c r="B48" s="57"/>
      <c r="C48" s="57"/>
      <c r="D48" s="57"/>
      <c r="E48" s="57"/>
      <c r="F48" s="57"/>
      <c r="G48" s="57"/>
      <c r="H48" s="57"/>
      <c r="I48" s="57"/>
      <c r="J48" s="57"/>
      <c r="K48" s="57"/>
      <c r="L48" s="57"/>
      <c r="M48" s="57"/>
      <c r="N48" s="57"/>
      <c r="R48" s="61">
        <f t="shared" si="1"/>
        <v>45851</v>
      </c>
      <c r="S48" s="62">
        <f>IF(AND(R48&gt;=dFrom,R48&lt;=dTo),SUMIFS(tblClean[Attributed GMV PHP],tblClean[Date],R48,tblClean[Host Name],dHost,tblClean[Include],1),NA())</f>
        <v>195264</v>
      </c>
      <c r="T48" s="62">
        <f>IF(AND(R48&gt;=dFrom,R48&lt;=dTo),SUMIFS(tblClean[Attributed GMV PHP],tblClean[Date],"&gt;="&amp;MAX(R48-6,dFrom),tblClean[Date],"&lt;="&amp;R48,tblClean[Host Name],dHost,tblClean[Include],1)/(R48-MAX(R48-6,dFrom)+1),NA())</f>
        <v>131507.85714285713</v>
      </c>
    </row>
    <row r="49" spans="1:20" x14ac:dyDescent="0.3">
      <c r="A49" s="57"/>
      <c r="B49" s="57"/>
      <c r="C49" s="57"/>
      <c r="D49" s="57"/>
      <c r="E49" s="57"/>
      <c r="F49" s="57"/>
      <c r="G49" s="57"/>
      <c r="H49" s="57"/>
      <c r="I49" s="57"/>
      <c r="J49" s="57"/>
      <c r="K49" s="57"/>
      <c r="L49" s="57"/>
      <c r="M49" s="57"/>
      <c r="N49" s="57"/>
      <c r="R49" s="61">
        <f t="shared" si="1"/>
        <v>45852</v>
      </c>
      <c r="S49" s="62">
        <f>IF(AND(R49&gt;=dFrom,R49&lt;=dTo),SUMIFS(tblClean[Attributed GMV PHP],tblClean[Date],R49,tblClean[Host Name],dHost,tblClean[Include],1),NA())</f>
        <v>65085</v>
      </c>
      <c r="T49" s="62">
        <f>IF(AND(R49&gt;=dFrom,R49&lt;=dTo),SUMIFS(tblClean[Attributed GMV PHP],tblClean[Date],"&gt;="&amp;MAX(R49-6,dFrom),tblClean[Date],"&lt;="&amp;R49,tblClean[Host Name],dHost,tblClean[Include],1)/(R49-MAX(R49-6,dFrom)+1),NA())</f>
        <v>125110</v>
      </c>
    </row>
    <row r="50" spans="1:20" x14ac:dyDescent="0.3">
      <c r="A50" s="57"/>
      <c r="B50" s="57"/>
      <c r="C50" s="57"/>
      <c r="D50" s="57"/>
      <c r="E50" s="57"/>
      <c r="F50" s="57"/>
      <c r="G50" s="57"/>
      <c r="H50" s="57"/>
      <c r="I50" s="57"/>
      <c r="J50" s="57"/>
      <c r="K50" s="57"/>
      <c r="L50" s="57"/>
      <c r="M50" s="57"/>
      <c r="N50" s="57"/>
      <c r="R50" s="61">
        <f t="shared" si="1"/>
        <v>45853</v>
      </c>
      <c r="S50" s="62">
        <f>IF(AND(R50&gt;=dFrom,R50&lt;=dTo),SUMIFS(tblClean[Attributed GMV PHP],tblClean[Date],R50,tblClean[Host Name],dHost,tblClean[Include],1),NA())</f>
        <v>83715</v>
      </c>
      <c r="T50" s="62">
        <f>IF(AND(R50&gt;=dFrom,R50&lt;=dTo),SUMIFS(tblClean[Attributed GMV PHP],tblClean[Date],"&gt;="&amp;MAX(R50-6,dFrom),tblClean[Date],"&lt;="&amp;R50,tblClean[Host Name],dHost,tblClean[Include],1)/(R50-MAX(R50-6,dFrom)+1),NA())</f>
        <v>119938</v>
      </c>
    </row>
    <row r="51" spans="1:20" x14ac:dyDescent="0.3">
      <c r="A51" s="57"/>
      <c r="B51" s="57"/>
      <c r="C51" s="57"/>
      <c r="D51" s="57"/>
      <c r="E51" s="57"/>
      <c r="F51" s="57"/>
      <c r="G51" s="57"/>
      <c r="H51" s="57"/>
      <c r="I51" s="57"/>
      <c r="J51" s="57"/>
      <c r="K51" s="57"/>
      <c r="L51" s="57"/>
      <c r="M51" s="57"/>
      <c r="N51" s="57"/>
      <c r="R51" s="61">
        <f t="shared" si="1"/>
        <v>45854</v>
      </c>
      <c r="S51" s="62">
        <f>IF(AND(R51&gt;=dFrom,R51&lt;=dTo),SUMIFS(tblClean[Attributed GMV PHP],tblClean[Date],R51,tblClean[Host Name],dHost,tblClean[Include],1),NA())</f>
        <v>80220</v>
      </c>
      <c r="T51" s="62">
        <f>IF(AND(R51&gt;=dFrom,R51&lt;=dTo),SUMIFS(tblClean[Attributed GMV PHP],tblClean[Date],"&gt;="&amp;MAX(R51-6,dFrom),tblClean[Date],"&lt;="&amp;R51,tblClean[Host Name],dHost,tblClean[Include],1)/(R51-MAX(R51-6,dFrom)+1),NA())</f>
        <v>118758.42857142857</v>
      </c>
    </row>
    <row r="52" spans="1:20" x14ac:dyDescent="0.3">
      <c r="A52" s="57"/>
      <c r="B52" s="57"/>
      <c r="C52" s="57"/>
      <c r="D52" s="57"/>
      <c r="E52" s="57"/>
      <c r="F52" s="57"/>
      <c r="G52" s="57"/>
      <c r="H52" s="57"/>
      <c r="I52" s="57"/>
      <c r="J52" s="57"/>
      <c r="K52" s="57"/>
      <c r="L52" s="57"/>
      <c r="M52" s="57"/>
      <c r="N52" s="57"/>
      <c r="R52" s="61">
        <f t="shared" si="1"/>
        <v>45855</v>
      </c>
      <c r="S52" s="62">
        <f>IF(AND(R52&gt;=dFrom,R52&lt;=dTo),SUMIFS(tblClean[Attributed GMV PHP],tblClean[Date],R52,tblClean[Host Name],dHost,tblClean[Include],1),NA())</f>
        <v>145945</v>
      </c>
      <c r="T52" s="62">
        <f>IF(AND(R52&gt;=dFrom,R52&lt;=dTo),SUMIFS(tblClean[Attributed GMV PHP],tblClean[Date],"&gt;="&amp;MAX(R52-6,dFrom),tblClean[Date],"&lt;="&amp;R52,tblClean[Host Name],dHost,tblClean[Include],1)/(R52-MAX(R52-6,dFrom)+1),NA())</f>
        <v>121839.71428571429</v>
      </c>
    </row>
    <row r="53" spans="1:20" x14ac:dyDescent="0.3">
      <c r="A53" s="57"/>
      <c r="B53" s="57"/>
      <c r="C53" s="57"/>
      <c r="D53" s="57"/>
      <c r="E53" s="57"/>
      <c r="F53" s="57"/>
      <c r="G53" s="57"/>
      <c r="H53" s="57"/>
      <c r="I53" s="57"/>
      <c r="J53" s="57"/>
      <c r="K53" s="57"/>
      <c r="L53" s="57"/>
      <c r="M53" s="57"/>
      <c r="N53" s="57"/>
      <c r="R53" s="61">
        <f t="shared" si="1"/>
        <v>45856</v>
      </c>
      <c r="S53" s="62">
        <f>IF(AND(R53&gt;=dFrom,R53&lt;=dTo),SUMIFS(tblClean[Attributed GMV PHP],tblClean[Date],R53,tblClean[Host Name],dHost,tblClean[Include],1),NA())</f>
        <v>147369</v>
      </c>
      <c r="T53" s="62">
        <f>IF(AND(R53&gt;=dFrom,R53&lt;=dTo),SUMIFS(tblClean[Attributed GMV PHP],tblClean[Date],"&gt;="&amp;MAX(R53-6,dFrom),tblClean[Date],"&lt;="&amp;R53,tblClean[Host Name],dHost,tblClean[Include],1)/(R53-MAX(R53-6,dFrom)+1),NA())</f>
        <v>126619.28571428571</v>
      </c>
    </row>
    <row r="54" spans="1:20" x14ac:dyDescent="0.3">
      <c r="A54" s="57"/>
      <c r="B54" s="57"/>
      <c r="C54" s="57"/>
      <c r="D54" s="57"/>
      <c r="E54" s="57"/>
      <c r="F54" s="57"/>
      <c r="G54" s="57"/>
      <c r="H54" s="57"/>
      <c r="I54" s="57"/>
      <c r="J54" s="57"/>
      <c r="K54" s="57"/>
      <c r="L54" s="57"/>
      <c r="M54" s="57"/>
      <c r="N54" s="57"/>
      <c r="R54" s="61">
        <f t="shared" si="1"/>
        <v>45857</v>
      </c>
      <c r="S54" s="62">
        <f>IF(AND(R54&gt;=dFrom,R54&lt;=dTo),SUMIFS(tblClean[Attributed GMV PHP],tblClean[Date],R54,tblClean[Host Name],dHost,tblClean[Include],1),NA())</f>
        <v>111755</v>
      </c>
      <c r="T54" s="62">
        <f>IF(AND(R54&gt;=dFrom,R54&lt;=dTo),SUMIFS(tblClean[Attributed GMV PHP],tblClean[Date],"&gt;="&amp;MAX(R54-6,dFrom),tblClean[Date],"&lt;="&amp;R54,tblClean[Host Name],dHost,tblClean[Include],1)/(R54-MAX(R54-6,dFrom)+1),NA())</f>
        <v>118479</v>
      </c>
    </row>
    <row r="55" spans="1:20" x14ac:dyDescent="0.3">
      <c r="A55" s="57"/>
      <c r="B55" s="57"/>
      <c r="C55" s="57"/>
      <c r="D55" s="57"/>
      <c r="E55" s="57"/>
      <c r="F55" s="57"/>
      <c r="G55" s="57"/>
      <c r="H55" s="57"/>
      <c r="I55" s="57"/>
      <c r="J55" s="57"/>
      <c r="K55" s="57"/>
      <c r="L55" s="57"/>
      <c r="M55" s="57"/>
      <c r="N55" s="57"/>
      <c r="R55" s="61">
        <f t="shared" si="1"/>
        <v>45858</v>
      </c>
      <c r="S55" s="62">
        <f>IF(AND(R55&gt;=dFrom,R55&lt;=dTo),SUMIFS(tblClean[Attributed GMV PHP],tblClean[Date],R55,tblClean[Host Name],dHost,tblClean[Include],1),NA())</f>
        <v>210982</v>
      </c>
      <c r="T55" s="62">
        <f>IF(AND(R55&gt;=dFrom,R55&lt;=dTo),SUMIFS(tblClean[Attributed GMV PHP],tblClean[Date],"&gt;="&amp;MAX(R55-6,dFrom),tblClean[Date],"&lt;="&amp;R55,tblClean[Host Name],dHost,tblClean[Include],1)/(R55-MAX(R55-6,dFrom)+1),NA())</f>
        <v>120724.42857142857</v>
      </c>
    </row>
    <row r="56" spans="1:20" x14ac:dyDescent="0.3">
      <c r="A56" s="57"/>
      <c r="B56" s="57"/>
      <c r="C56" s="57"/>
      <c r="D56" s="57"/>
      <c r="E56" s="57"/>
      <c r="F56" s="57"/>
      <c r="G56" s="57"/>
      <c r="H56" s="57"/>
      <c r="I56" s="57"/>
      <c r="J56" s="57"/>
      <c r="K56" s="57"/>
      <c r="L56" s="57"/>
      <c r="M56" s="57"/>
      <c r="N56" s="57"/>
      <c r="R56" s="61">
        <f t="shared" si="1"/>
        <v>45859</v>
      </c>
      <c r="S56" s="62">
        <f>IF(AND(R56&gt;=dFrom,R56&lt;=dTo),SUMIFS(tblClean[Attributed GMV PHP],tblClean[Date],R56,tblClean[Host Name],dHost,tblClean[Include],1),NA())</f>
        <v>89982</v>
      </c>
      <c r="T56" s="62">
        <f>IF(AND(R56&gt;=dFrom,R56&lt;=dTo),SUMIFS(tblClean[Attributed GMV PHP],tblClean[Date],"&gt;="&amp;MAX(R56-6,dFrom),tblClean[Date],"&lt;="&amp;R56,tblClean[Host Name],dHost,tblClean[Include],1)/(R56-MAX(R56-6,dFrom)+1),NA())</f>
        <v>124281.14285714286</v>
      </c>
    </row>
    <row r="57" spans="1:20" x14ac:dyDescent="0.3">
      <c r="A57" s="57"/>
      <c r="B57" s="57"/>
      <c r="C57" s="57"/>
      <c r="D57" s="57"/>
      <c r="E57" s="57"/>
      <c r="F57" s="57"/>
      <c r="G57" s="57"/>
      <c r="H57" s="57"/>
      <c r="I57" s="57"/>
      <c r="J57" s="57"/>
      <c r="K57" s="57"/>
      <c r="L57" s="57"/>
      <c r="M57" s="57"/>
      <c r="N57" s="57"/>
      <c r="R57" s="61">
        <f t="shared" si="1"/>
        <v>45860</v>
      </c>
      <c r="S57" s="62">
        <f>IF(AND(R57&gt;=dFrom,R57&lt;=dTo),SUMIFS(tblClean[Attributed GMV PHP],tblClean[Date],R57,tblClean[Host Name],dHost,tblClean[Include],1),NA())</f>
        <v>56763</v>
      </c>
      <c r="T57" s="62">
        <f>IF(AND(R57&gt;=dFrom,R57&lt;=dTo),SUMIFS(tblClean[Attributed GMV PHP],tblClean[Date],"&gt;="&amp;MAX(R57-6,dFrom),tblClean[Date],"&lt;="&amp;R57,tblClean[Host Name],dHost,tblClean[Include],1)/(R57-MAX(R57-6,dFrom)+1),NA())</f>
        <v>120430.85714285714</v>
      </c>
    </row>
    <row r="58" spans="1:20" x14ac:dyDescent="0.3">
      <c r="A58" s="57"/>
      <c r="B58" s="57"/>
      <c r="C58" s="57"/>
      <c r="D58" s="57"/>
      <c r="E58" s="57"/>
      <c r="F58" s="57"/>
      <c r="G58" s="57"/>
      <c r="H58" s="57"/>
      <c r="I58" s="57"/>
      <c r="J58" s="57"/>
      <c r="K58" s="57"/>
      <c r="L58" s="57"/>
      <c r="M58" s="57"/>
      <c r="N58" s="57"/>
      <c r="R58" s="61">
        <f t="shared" si="1"/>
        <v>45861</v>
      </c>
      <c r="S58" s="62">
        <f>IF(AND(R58&gt;=dFrom,R58&lt;=dTo),SUMIFS(tblClean[Attributed GMV PHP],tblClean[Date],R58,tblClean[Host Name],dHost,tblClean[Include],1),NA())</f>
        <v>101745</v>
      </c>
      <c r="T58" s="62">
        <f>IF(AND(R58&gt;=dFrom,R58&lt;=dTo),SUMIFS(tblClean[Attributed GMV PHP],tblClean[Date],"&gt;="&amp;MAX(R58-6,dFrom),tblClean[Date],"&lt;="&amp;R58,tblClean[Host Name],dHost,tblClean[Include],1)/(R58-MAX(R58-6,dFrom)+1),NA())</f>
        <v>123505.85714285714</v>
      </c>
    </row>
    <row r="59" spans="1:20" x14ac:dyDescent="0.3">
      <c r="A59" s="57"/>
      <c r="B59" s="57"/>
      <c r="C59" s="57"/>
      <c r="D59" s="57"/>
      <c r="E59" s="57"/>
      <c r="F59" s="57"/>
      <c r="G59" s="57"/>
      <c r="H59" s="57"/>
      <c r="I59" s="57"/>
      <c r="J59" s="57"/>
      <c r="K59" s="57"/>
      <c r="L59" s="57"/>
      <c r="M59" s="57"/>
      <c r="N59" s="57"/>
      <c r="R59" s="61">
        <f t="shared" si="1"/>
        <v>45862</v>
      </c>
      <c r="S59" s="62">
        <f>IF(AND(R59&gt;=dFrom,R59&lt;=dTo),SUMIFS(tblClean[Attributed GMV PHP],tblClean[Date],R59,tblClean[Host Name],dHost,tblClean[Include],1),NA())</f>
        <v>163106</v>
      </c>
      <c r="T59" s="62">
        <f>IF(AND(R59&gt;=dFrom,R59&lt;=dTo),SUMIFS(tblClean[Attributed GMV PHP],tblClean[Date],"&gt;="&amp;MAX(R59-6,dFrom),tblClean[Date],"&lt;="&amp;R59,tblClean[Host Name],dHost,tblClean[Include],1)/(R59-MAX(R59-6,dFrom)+1),NA())</f>
        <v>125957.42857142857</v>
      </c>
    </row>
    <row r="60" spans="1:20" x14ac:dyDescent="0.3">
      <c r="A60" s="57"/>
      <c r="B60" s="85" t="s">
        <v>608</v>
      </c>
      <c r="C60" s="73"/>
      <c r="D60" s="73"/>
      <c r="E60" s="73"/>
      <c r="F60" s="73"/>
      <c r="G60" s="73"/>
      <c r="H60" s="73"/>
      <c r="I60" s="73"/>
      <c r="J60" s="73"/>
      <c r="K60" s="73"/>
      <c r="L60" s="73"/>
      <c r="M60" s="73"/>
      <c r="N60" s="57"/>
      <c r="R60" s="61">
        <f t="shared" si="1"/>
        <v>45863</v>
      </c>
      <c r="S60" s="62">
        <f>IF(AND(R60&gt;=dFrom,R60&lt;=dTo),SUMIFS(tblClean[Attributed GMV PHP],tblClean[Date],R60,tblClean[Host Name],dHost,tblClean[Include],1),NA())</f>
        <v>149585</v>
      </c>
      <c r="T60" s="62">
        <f>IF(AND(R60&gt;=dFrom,R60&lt;=dTo),SUMIFS(tblClean[Attributed GMV PHP],tblClean[Date],"&gt;="&amp;MAX(R60-6,dFrom),tblClean[Date],"&lt;="&amp;R60,tblClean[Host Name],dHost,tblClean[Include],1)/(R60-MAX(R60-6,dFrom)+1),NA())</f>
        <v>126274</v>
      </c>
    </row>
    <row r="61" spans="1:20" x14ac:dyDescent="0.3">
      <c r="A61" s="57"/>
      <c r="B61" s="73"/>
      <c r="C61" s="73"/>
      <c r="D61" s="73"/>
      <c r="E61" s="73"/>
      <c r="F61" s="73"/>
      <c r="G61" s="73"/>
      <c r="H61" s="73"/>
      <c r="I61" s="73"/>
      <c r="J61" s="73"/>
      <c r="K61" s="73"/>
      <c r="L61" s="73"/>
      <c r="M61" s="73"/>
      <c r="N61" s="57"/>
      <c r="R61" s="61">
        <f t="shared" si="1"/>
        <v>45864</v>
      </c>
      <c r="S61" s="62">
        <f>IF(AND(R61&gt;=dFrom,R61&lt;=dTo),SUMIFS(tblClean[Attributed GMV PHP],tblClean[Date],R61,tblClean[Host Name],dHost,tblClean[Include],1),NA())</f>
        <v>106730</v>
      </c>
      <c r="T61" s="62">
        <f>IF(AND(R61&gt;=dFrom,R61&lt;=dTo),SUMIFS(tblClean[Attributed GMV PHP],tblClean[Date],"&gt;="&amp;MAX(R61-6,dFrom),tblClean[Date],"&lt;="&amp;R61,tblClean[Host Name],dHost,tblClean[Include],1)/(R61-MAX(R61-6,dFrom)+1),NA())</f>
        <v>125556.14285714286</v>
      </c>
    </row>
    <row r="62" spans="1:20" x14ac:dyDescent="0.3">
      <c r="A62" s="57"/>
      <c r="B62" s="73"/>
      <c r="C62" s="73"/>
      <c r="D62" s="73"/>
      <c r="E62" s="73"/>
      <c r="F62" s="73"/>
      <c r="G62" s="73"/>
      <c r="H62" s="73"/>
      <c r="I62" s="73"/>
      <c r="J62" s="73"/>
      <c r="K62" s="73"/>
      <c r="L62" s="73"/>
      <c r="M62" s="73"/>
      <c r="N62" s="57"/>
      <c r="R62" s="61">
        <f t="shared" si="1"/>
        <v>45865</v>
      </c>
      <c r="S62" s="62">
        <f>IF(AND(R62&gt;=dFrom,R62&lt;=dTo),SUMIFS(tblClean[Attributed GMV PHP],tblClean[Date],R62,tblClean[Host Name],dHost,tblClean[Include],1),NA())</f>
        <v>122907</v>
      </c>
      <c r="T62" s="62">
        <f>IF(AND(R62&gt;=dFrom,R62&lt;=dTo),SUMIFS(tblClean[Attributed GMV PHP],tblClean[Date],"&gt;="&amp;MAX(R62-6,dFrom),tblClean[Date],"&lt;="&amp;R62,tblClean[Host Name],dHost,tblClean[Include],1)/(R62-MAX(R62-6,dFrom)+1),NA())</f>
        <v>112974</v>
      </c>
    </row>
    <row r="63" spans="1:20" x14ac:dyDescent="0.3">
      <c r="A63" s="57"/>
      <c r="B63" s="57"/>
      <c r="C63" s="57"/>
      <c r="D63" s="57"/>
      <c r="E63" s="57"/>
      <c r="F63" s="57"/>
      <c r="G63" s="57"/>
      <c r="H63" s="57"/>
      <c r="I63" s="57"/>
      <c r="J63" s="57"/>
      <c r="K63" s="57"/>
      <c r="L63" s="57"/>
      <c r="M63" s="57"/>
      <c r="N63" s="57"/>
      <c r="R63" s="61">
        <f t="shared" si="1"/>
        <v>45866</v>
      </c>
      <c r="S63" s="62">
        <f>IF(AND(R63&gt;=dFrom,R63&lt;=dTo),SUMIFS(tblClean[Attributed GMV PHP],tblClean[Date],R63,tblClean[Host Name],dHost,tblClean[Include],1),NA())</f>
        <v>105663</v>
      </c>
      <c r="T63" s="62">
        <f>IF(AND(R63&gt;=dFrom,R63&lt;=dTo),SUMIFS(tblClean[Attributed GMV PHP],tblClean[Date],"&gt;="&amp;MAX(R63-6,dFrom),tblClean[Date],"&lt;="&amp;R63,tblClean[Host Name],dHost,tblClean[Include],1)/(R63-MAX(R63-6,dFrom)+1),NA())</f>
        <v>115214.14285714286</v>
      </c>
    </row>
    <row r="64" spans="1:20" x14ac:dyDescent="0.3">
      <c r="A64" s="57"/>
      <c r="B64" s="57"/>
      <c r="C64" s="57"/>
      <c r="D64" s="57"/>
      <c r="E64" s="57"/>
      <c r="F64" s="57"/>
      <c r="G64" s="57"/>
      <c r="H64" s="57"/>
      <c r="I64" s="57"/>
      <c r="J64" s="57"/>
      <c r="K64" s="57"/>
      <c r="L64" s="57"/>
      <c r="M64" s="57"/>
      <c r="N64" s="57"/>
      <c r="R64" s="61">
        <f t="shared" si="1"/>
        <v>45867</v>
      </c>
      <c r="S64" s="62">
        <f>IF(AND(R64&gt;=dFrom,R64&lt;=dTo),SUMIFS(tblClean[Attributed GMV PHP],tblClean[Date],R64,tblClean[Host Name],dHost,tblClean[Include],1),NA())</f>
        <v>149525</v>
      </c>
      <c r="T64" s="62">
        <f>IF(AND(R64&gt;=dFrom,R64&lt;=dTo),SUMIFS(tblClean[Attributed GMV PHP],tblClean[Date],"&gt;="&amp;MAX(R64-6,dFrom),tblClean[Date],"&lt;="&amp;R64,tblClean[Host Name],dHost,tblClean[Include],1)/(R64-MAX(R64-6,dFrom)+1),NA())</f>
        <v>128465.85714285714</v>
      </c>
    </row>
    <row r="65" spans="1:20" x14ac:dyDescent="0.3">
      <c r="A65" s="57"/>
      <c r="B65" s="57"/>
      <c r="C65" s="57"/>
      <c r="D65" s="57"/>
      <c r="E65" s="57"/>
      <c r="F65" s="57"/>
      <c r="G65" s="57"/>
      <c r="H65" s="57"/>
      <c r="I65" s="57"/>
      <c r="J65" s="57"/>
      <c r="K65" s="57"/>
      <c r="L65" s="57"/>
      <c r="M65" s="57"/>
      <c r="N65" s="57"/>
      <c r="R65" s="61">
        <f t="shared" si="1"/>
        <v>45868</v>
      </c>
      <c r="S65" s="62">
        <f>IF(AND(R65&gt;=dFrom,R65&lt;=dTo),SUMIFS(tblClean[Attributed GMV PHP],tblClean[Date],R65,tblClean[Host Name],dHost,tblClean[Include],1),NA())</f>
        <v>197202</v>
      </c>
      <c r="T65" s="62">
        <f>IF(AND(R65&gt;=dFrom,R65&lt;=dTo),SUMIFS(tblClean[Attributed GMV PHP],tblClean[Date],"&gt;="&amp;MAX(R65-6,dFrom),tblClean[Date],"&lt;="&amp;R65,tblClean[Host Name],dHost,tblClean[Include],1)/(R65-MAX(R65-6,dFrom)+1),NA())</f>
        <v>142102.57142857142</v>
      </c>
    </row>
    <row r="66" spans="1:20" x14ac:dyDescent="0.3">
      <c r="R66" s="61">
        <f t="shared" si="1"/>
        <v>45869</v>
      </c>
      <c r="S66" s="62">
        <f>IF(AND(R66&gt;=dFrom,R66&lt;=dTo),SUMIFS(tblClean[Attributed GMV PHP],tblClean[Date],R66,tblClean[Host Name],dHost,tblClean[Include],1),NA())</f>
        <v>146612</v>
      </c>
      <c r="T66" s="62">
        <f>IF(AND(R66&gt;=dFrom,R66&lt;=dTo),SUMIFS(tblClean[Attributed GMV PHP],tblClean[Date],"&gt;="&amp;MAX(R66-6,dFrom),tblClean[Date],"&lt;="&amp;R66,tblClean[Host Name],dHost,tblClean[Include],1)/(R66-MAX(R66-6,dFrom)+1),NA())</f>
        <v>139746.28571428571</v>
      </c>
    </row>
    <row r="67" spans="1:20" x14ac:dyDescent="0.3">
      <c r="R67" s="61">
        <f t="shared" si="1"/>
        <v>45870</v>
      </c>
      <c r="S67" s="62">
        <f>IF(AND(R67&gt;=dFrom,R67&lt;=dTo),SUMIFS(tblClean[Attributed GMV PHP],tblClean[Date],R67,tblClean[Host Name],dHost,tblClean[Include],1),NA())</f>
        <v>184262</v>
      </c>
      <c r="T67" s="62">
        <f>IF(AND(R67&gt;=dFrom,R67&lt;=dTo),SUMIFS(tblClean[Attributed GMV PHP],tblClean[Date],"&gt;="&amp;MAX(R67-6,dFrom),tblClean[Date],"&lt;="&amp;R67,tblClean[Host Name],dHost,tblClean[Include],1)/(R67-MAX(R67-6,dFrom)+1),NA())</f>
        <v>144700.14285714287</v>
      </c>
    </row>
    <row r="68" spans="1:20" x14ac:dyDescent="0.3">
      <c r="R68" s="61">
        <f t="shared" si="1"/>
        <v>45871</v>
      </c>
      <c r="S68" s="62">
        <f>IF(AND(R68&gt;=dFrom,R68&lt;=dTo),SUMIFS(tblClean[Attributed GMV PHP],tblClean[Date],R68,tblClean[Host Name],dHost,tblClean[Include],1),NA())</f>
        <v>212937</v>
      </c>
      <c r="T68" s="62">
        <f>IF(AND(R68&gt;=dFrom,R68&lt;=dTo),SUMIFS(tblClean[Attributed GMV PHP],tblClean[Date],"&gt;="&amp;MAX(R68-6,dFrom),tblClean[Date],"&lt;="&amp;R68,tblClean[Host Name],dHost,tblClean[Include],1)/(R68-MAX(R68-6,dFrom)+1),NA())</f>
        <v>159872.57142857142</v>
      </c>
    </row>
    <row r="69" spans="1:20" x14ac:dyDescent="0.3">
      <c r="R69" s="61">
        <f t="shared" si="1"/>
        <v>45872</v>
      </c>
      <c r="S69" s="62">
        <f>IF(AND(R69&gt;=dFrom,R69&lt;=dTo),SUMIFS(tblClean[Attributed GMV PHP],tblClean[Date],R69,tblClean[Host Name],dHost,tblClean[Include],1),NA())</f>
        <v>174060</v>
      </c>
      <c r="T69" s="62">
        <f>IF(AND(R69&gt;=dFrom,R69&lt;=dTo),SUMIFS(tblClean[Attributed GMV PHP],tblClean[Date],"&gt;="&amp;MAX(R69-6,dFrom),tblClean[Date],"&lt;="&amp;R69,tblClean[Host Name],dHost,tblClean[Include],1)/(R69-MAX(R69-6,dFrom)+1),NA())</f>
        <v>167180.14285714287</v>
      </c>
    </row>
    <row r="70" spans="1:20" x14ac:dyDescent="0.3">
      <c r="R70" s="61">
        <f t="shared" si="1"/>
        <v>45873</v>
      </c>
      <c r="S70" s="62">
        <f>IF(AND(R70&gt;=dFrom,R70&lt;=dTo),SUMIFS(tblClean[Attributed GMV PHP],tblClean[Date],R70,tblClean[Host Name],dHost,tblClean[Include],1),NA())</f>
        <v>87593</v>
      </c>
      <c r="T70" s="62">
        <f>IF(AND(R70&gt;=dFrom,R70&lt;=dTo),SUMIFS(tblClean[Attributed GMV PHP],tblClean[Date],"&gt;="&amp;MAX(R70-6,dFrom),tblClean[Date],"&lt;="&amp;R70,tblClean[Host Name],dHost,tblClean[Include],1)/(R70-MAX(R70-6,dFrom)+1),NA())</f>
        <v>164598.71428571429</v>
      </c>
    </row>
    <row r="71" spans="1:20" x14ac:dyDescent="0.3">
      <c r="R71" s="61">
        <f t="shared" si="1"/>
        <v>45874</v>
      </c>
      <c r="S71" s="62">
        <f>IF(AND(R71&gt;=dFrom,R71&lt;=dTo),SUMIFS(tblClean[Attributed GMV PHP],tblClean[Date],R71,tblClean[Host Name],dHost,tblClean[Include],1),NA())</f>
        <v>82980</v>
      </c>
      <c r="T71" s="62">
        <f>IF(AND(R71&gt;=dFrom,R71&lt;=dTo),SUMIFS(tblClean[Attributed GMV PHP],tblClean[Date],"&gt;="&amp;MAX(R71-6,dFrom),tblClean[Date],"&lt;="&amp;R71,tblClean[Host Name],dHost,tblClean[Include],1)/(R71-MAX(R71-6,dFrom)+1),NA())</f>
        <v>155092.28571428571</v>
      </c>
    </row>
    <row r="72" spans="1:20" x14ac:dyDescent="0.3">
      <c r="R72" s="61">
        <f t="shared" ref="R72:R97" si="2">R71+1</f>
        <v>45875</v>
      </c>
      <c r="S72" s="62">
        <f>IF(AND(R72&gt;=dFrom,R72&lt;=dTo),SUMIFS(tblClean[Attributed GMV PHP],tblClean[Date],R72,tblClean[Host Name],dHost,tblClean[Include],1),NA())</f>
        <v>99313</v>
      </c>
      <c r="T72" s="62">
        <f>IF(AND(R72&gt;=dFrom,R72&lt;=dTo),SUMIFS(tblClean[Attributed GMV PHP],tblClean[Date],"&gt;="&amp;MAX(R72-6,dFrom),tblClean[Date],"&lt;="&amp;R72,tblClean[Host Name],dHost,tblClean[Include],1)/(R72-MAX(R72-6,dFrom)+1),NA())</f>
        <v>141108.14285714287</v>
      </c>
    </row>
    <row r="73" spans="1:20" x14ac:dyDescent="0.3">
      <c r="R73" s="61">
        <f t="shared" si="2"/>
        <v>45876</v>
      </c>
      <c r="S73" s="62">
        <f>IF(AND(R73&gt;=dFrom,R73&lt;=dTo),SUMIFS(tblClean[Attributed GMV PHP],tblClean[Date],R73,tblClean[Host Name],dHost,tblClean[Include],1),NA())</f>
        <v>148221</v>
      </c>
      <c r="T73" s="62">
        <f>IF(AND(R73&gt;=dFrom,R73&lt;=dTo),SUMIFS(tblClean[Attributed GMV PHP],tblClean[Date],"&gt;="&amp;MAX(R73-6,dFrom),tblClean[Date],"&lt;="&amp;R73,tblClean[Host Name],dHost,tblClean[Include],1)/(R73-MAX(R73-6,dFrom)+1),NA())</f>
        <v>141338</v>
      </c>
    </row>
    <row r="74" spans="1:20" x14ac:dyDescent="0.3">
      <c r="R74" s="61">
        <f t="shared" si="2"/>
        <v>45877</v>
      </c>
      <c r="S74" s="62">
        <f>IF(AND(R74&gt;=dFrom,R74&lt;=dTo),SUMIFS(tblClean[Attributed GMV PHP],tblClean[Date],R74,tblClean[Host Name],dHost,tblClean[Include],1),NA())</f>
        <v>240536</v>
      </c>
      <c r="T74" s="62">
        <f>IF(AND(R74&gt;=dFrom,R74&lt;=dTo),SUMIFS(tblClean[Attributed GMV PHP],tblClean[Date],"&gt;="&amp;MAX(R74-6,dFrom),tblClean[Date],"&lt;="&amp;R74,tblClean[Host Name],dHost,tblClean[Include],1)/(R74-MAX(R74-6,dFrom)+1),NA())</f>
        <v>149377.14285714287</v>
      </c>
    </row>
    <row r="75" spans="1:20" x14ac:dyDescent="0.3">
      <c r="R75" s="61">
        <f t="shared" si="2"/>
        <v>45878</v>
      </c>
      <c r="S75" s="62">
        <f>IF(AND(R75&gt;=dFrom,R75&lt;=dTo),SUMIFS(tblClean[Attributed GMV PHP],tblClean[Date],R75,tblClean[Host Name],dHost,tblClean[Include],1),NA())</f>
        <v>174011</v>
      </c>
      <c r="T75" s="62">
        <f>IF(AND(R75&gt;=dFrom,R75&lt;=dTo),SUMIFS(tblClean[Attributed GMV PHP],tblClean[Date],"&gt;="&amp;MAX(R75-6,dFrom),tblClean[Date],"&lt;="&amp;R75,tblClean[Host Name],dHost,tblClean[Include],1)/(R75-MAX(R75-6,dFrom)+1),NA())</f>
        <v>143816.28571428571</v>
      </c>
    </row>
    <row r="76" spans="1:20" x14ac:dyDescent="0.3">
      <c r="R76" s="61">
        <f t="shared" si="2"/>
        <v>45879</v>
      </c>
      <c r="S76" s="62">
        <f>IF(AND(R76&gt;=dFrom,R76&lt;=dTo),SUMIFS(tblClean[Attributed GMV PHP],tblClean[Date],R76,tblClean[Host Name],dHost,tblClean[Include],1),NA())</f>
        <v>205814</v>
      </c>
      <c r="T76" s="62">
        <f>IF(AND(R76&gt;=dFrom,R76&lt;=dTo),SUMIFS(tblClean[Attributed GMV PHP],tblClean[Date],"&gt;="&amp;MAX(R76-6,dFrom),tblClean[Date],"&lt;="&amp;R76,tblClean[Host Name],dHost,tblClean[Include],1)/(R76-MAX(R76-6,dFrom)+1),NA())</f>
        <v>148352.57142857142</v>
      </c>
    </row>
    <row r="77" spans="1:20" x14ac:dyDescent="0.3">
      <c r="R77" s="61">
        <f t="shared" si="2"/>
        <v>45880</v>
      </c>
      <c r="S77" s="62">
        <f>IF(AND(R77&gt;=dFrom,R77&lt;=dTo),SUMIFS(tblClean[Attributed GMV PHP],tblClean[Date],R77,tblClean[Host Name],dHost,tblClean[Include],1),NA())</f>
        <v>128187</v>
      </c>
      <c r="T77" s="62">
        <f>IF(AND(R77&gt;=dFrom,R77&lt;=dTo),SUMIFS(tblClean[Attributed GMV PHP],tblClean[Date],"&gt;="&amp;MAX(R77-6,dFrom),tblClean[Date],"&lt;="&amp;R77,tblClean[Host Name],dHost,tblClean[Include],1)/(R77-MAX(R77-6,dFrom)+1),NA())</f>
        <v>154151.71428571429</v>
      </c>
    </row>
    <row r="78" spans="1:20" x14ac:dyDescent="0.3">
      <c r="R78" s="61">
        <f t="shared" si="2"/>
        <v>45881</v>
      </c>
      <c r="S78" s="62">
        <f>IF(AND(R78&gt;=dFrom,R78&lt;=dTo),SUMIFS(tblClean[Attributed GMV PHP],tblClean[Date],R78,tblClean[Host Name],dHost,tblClean[Include],1),NA())</f>
        <v>86030</v>
      </c>
      <c r="T78" s="62">
        <f>IF(AND(R78&gt;=dFrom,R78&lt;=dTo),SUMIFS(tblClean[Attributed GMV PHP],tblClean[Date],"&gt;="&amp;MAX(R78-6,dFrom),tblClean[Date],"&lt;="&amp;R78,tblClean[Host Name],dHost,tblClean[Include],1)/(R78-MAX(R78-6,dFrom)+1),NA())</f>
        <v>154587.42857142858</v>
      </c>
    </row>
    <row r="79" spans="1:20" x14ac:dyDescent="0.3">
      <c r="R79" s="61">
        <f t="shared" si="2"/>
        <v>45882</v>
      </c>
      <c r="S79" s="62">
        <f>IF(AND(R79&gt;=dFrom,R79&lt;=dTo),SUMIFS(tblClean[Attributed GMV PHP],tblClean[Date],R79,tblClean[Host Name],dHost,tblClean[Include],1),NA())</f>
        <v>77906</v>
      </c>
      <c r="T79" s="62">
        <f>IF(AND(R79&gt;=dFrom,R79&lt;=dTo),SUMIFS(tblClean[Attributed GMV PHP],tblClean[Date],"&gt;="&amp;MAX(R79-6,dFrom),tblClean[Date],"&lt;="&amp;R79,tblClean[Host Name],dHost,tblClean[Include],1)/(R79-MAX(R79-6,dFrom)+1),NA())</f>
        <v>151529.28571428571</v>
      </c>
    </row>
    <row r="80" spans="1:20" x14ac:dyDescent="0.3">
      <c r="R80" s="61">
        <f t="shared" si="2"/>
        <v>45883</v>
      </c>
      <c r="S80" s="62">
        <f>IF(AND(R80&gt;=dFrom,R80&lt;=dTo),SUMIFS(tblClean[Attributed GMV PHP],tblClean[Date],R80,tblClean[Host Name],dHost,tblClean[Include],1),NA())</f>
        <v>122524</v>
      </c>
      <c r="T80" s="62">
        <f>IF(AND(R80&gt;=dFrom,R80&lt;=dTo),SUMIFS(tblClean[Attributed GMV PHP],tblClean[Date],"&gt;="&amp;MAX(R80-6,dFrom),tblClean[Date],"&lt;="&amp;R80,tblClean[Host Name],dHost,tblClean[Include],1)/(R80-MAX(R80-6,dFrom)+1),NA())</f>
        <v>147858.28571428571</v>
      </c>
    </row>
    <row r="81" spans="18:20" x14ac:dyDescent="0.3">
      <c r="R81" s="61">
        <f t="shared" si="2"/>
        <v>45884</v>
      </c>
      <c r="S81" s="62">
        <f>IF(AND(R81&gt;=dFrom,R81&lt;=dTo),SUMIFS(tblClean[Attributed GMV PHP],tblClean[Date],R81,tblClean[Host Name],dHost,tblClean[Include],1),NA())</f>
        <v>126546</v>
      </c>
      <c r="T81" s="62">
        <f>IF(AND(R81&gt;=dFrom,R81&lt;=dTo),SUMIFS(tblClean[Attributed GMV PHP],tblClean[Date],"&gt;="&amp;MAX(R81-6,dFrom),tblClean[Date],"&lt;="&amp;R81,tblClean[Host Name],dHost,tblClean[Include],1)/(R81-MAX(R81-6,dFrom)+1),NA())</f>
        <v>131574</v>
      </c>
    </row>
    <row r="82" spans="18:20" x14ac:dyDescent="0.3">
      <c r="R82" s="61">
        <f t="shared" si="2"/>
        <v>45885</v>
      </c>
      <c r="S82" s="62">
        <f>IF(AND(R82&gt;=dFrom,R82&lt;=dTo),SUMIFS(tblClean[Attributed GMV PHP],tblClean[Date],R82,tblClean[Host Name],dHost,tblClean[Include],1),NA())</f>
        <v>158336</v>
      </c>
      <c r="T82" s="62">
        <f>IF(AND(R82&gt;=dFrom,R82&lt;=dTo),SUMIFS(tblClean[Attributed GMV PHP],tblClean[Date],"&gt;="&amp;MAX(R82-6,dFrom),tblClean[Date],"&lt;="&amp;R82,tblClean[Host Name],dHost,tblClean[Include],1)/(R82-MAX(R82-6,dFrom)+1),NA())</f>
        <v>129334.71428571429</v>
      </c>
    </row>
    <row r="83" spans="18:20" x14ac:dyDescent="0.3">
      <c r="R83" s="61">
        <f t="shared" si="2"/>
        <v>45886</v>
      </c>
      <c r="S83" s="62">
        <f>IF(AND(R83&gt;=dFrom,R83&lt;=dTo),SUMIFS(tblClean[Attributed GMV PHP],tblClean[Date],R83,tblClean[Host Name],dHost,tblClean[Include],1),NA())</f>
        <v>188551</v>
      </c>
      <c r="T83" s="62">
        <f>IF(AND(R83&gt;=dFrom,R83&lt;=dTo),SUMIFS(tblClean[Attributed GMV PHP],tblClean[Date],"&gt;="&amp;MAX(R83-6,dFrom),tblClean[Date],"&lt;="&amp;R83,tblClean[Host Name],dHost,tblClean[Include],1)/(R83-MAX(R83-6,dFrom)+1),NA())</f>
        <v>126868.57142857143</v>
      </c>
    </row>
    <row r="84" spans="18:20" x14ac:dyDescent="0.3">
      <c r="R84" s="61">
        <f t="shared" si="2"/>
        <v>45887</v>
      </c>
      <c r="S84" s="62">
        <f>IF(AND(R84&gt;=dFrom,R84&lt;=dTo),SUMIFS(tblClean[Attributed GMV PHP],tblClean[Date],R84,tblClean[Host Name],dHost,tblClean[Include],1),NA())</f>
        <v>187282</v>
      </c>
      <c r="T84" s="62">
        <f>IF(AND(R84&gt;=dFrom,R84&lt;=dTo),SUMIFS(tblClean[Attributed GMV PHP],tblClean[Date],"&gt;="&amp;MAX(R84-6,dFrom),tblClean[Date],"&lt;="&amp;R84,tblClean[Host Name],dHost,tblClean[Include],1)/(R84-MAX(R84-6,dFrom)+1),NA())</f>
        <v>135310.71428571429</v>
      </c>
    </row>
    <row r="85" spans="18:20" x14ac:dyDescent="0.3">
      <c r="R85" s="61">
        <f t="shared" si="2"/>
        <v>45888</v>
      </c>
      <c r="S85" s="62">
        <f>IF(AND(R85&gt;=dFrom,R85&lt;=dTo),SUMIFS(tblClean[Attributed GMV PHP],tblClean[Date],R85,tblClean[Host Name],dHost,tblClean[Include],1),NA())</f>
        <v>99355</v>
      </c>
      <c r="T85" s="62">
        <f>IF(AND(R85&gt;=dFrom,R85&lt;=dTo),SUMIFS(tblClean[Attributed GMV PHP],tblClean[Date],"&gt;="&amp;MAX(R85-6,dFrom),tblClean[Date],"&lt;="&amp;R85,tblClean[Host Name],dHost,tblClean[Include],1)/(R85-MAX(R85-6,dFrom)+1),NA())</f>
        <v>137214.28571428571</v>
      </c>
    </row>
    <row r="86" spans="18:20" x14ac:dyDescent="0.3">
      <c r="R86" s="61">
        <f t="shared" si="2"/>
        <v>45889</v>
      </c>
      <c r="S86" s="62">
        <f>IF(AND(R86&gt;=dFrom,R86&lt;=dTo),SUMIFS(tblClean[Attributed GMV PHP],tblClean[Date],R86,tblClean[Host Name],dHost,tblClean[Include],1),NA())</f>
        <v>128168</v>
      </c>
      <c r="T86" s="62">
        <f>IF(AND(R86&gt;=dFrom,R86&lt;=dTo),SUMIFS(tblClean[Attributed GMV PHP],tblClean[Date],"&gt;="&amp;MAX(R86-6,dFrom),tblClean[Date],"&lt;="&amp;R86,tblClean[Host Name],dHost,tblClean[Include],1)/(R86-MAX(R86-6,dFrom)+1),NA())</f>
        <v>144394.57142857142</v>
      </c>
    </row>
    <row r="87" spans="18:20" x14ac:dyDescent="0.3">
      <c r="R87" s="61">
        <f t="shared" si="2"/>
        <v>45890</v>
      </c>
      <c r="S87" s="62">
        <f>IF(AND(R87&gt;=dFrom,R87&lt;=dTo),SUMIFS(tblClean[Attributed GMV PHP],tblClean[Date],R87,tblClean[Host Name],dHost,tblClean[Include],1),NA())</f>
        <v>94537</v>
      </c>
      <c r="T87" s="62">
        <f>IF(AND(R87&gt;=dFrom,R87&lt;=dTo),SUMIFS(tblClean[Attributed GMV PHP],tblClean[Date],"&gt;="&amp;MAX(R87-6,dFrom),tblClean[Date],"&lt;="&amp;R87,tblClean[Host Name],dHost,tblClean[Include],1)/(R87-MAX(R87-6,dFrom)+1),NA())</f>
        <v>140396.42857142858</v>
      </c>
    </row>
    <row r="88" spans="18:20" x14ac:dyDescent="0.3">
      <c r="R88" s="61">
        <f t="shared" si="2"/>
        <v>45891</v>
      </c>
      <c r="S88" s="62">
        <f>IF(AND(R88&gt;=dFrom,R88&lt;=dTo),SUMIFS(tblClean[Attributed GMV PHP],tblClean[Date],R88,tblClean[Host Name],dHost,tblClean[Include],1),NA())</f>
        <v>81192</v>
      </c>
      <c r="T88" s="62">
        <f>IF(AND(R88&gt;=dFrom,R88&lt;=dTo),SUMIFS(tblClean[Attributed GMV PHP],tblClean[Date],"&gt;="&amp;MAX(R88-6,dFrom),tblClean[Date],"&lt;="&amp;R88,tblClean[Host Name],dHost,tblClean[Include],1)/(R88-MAX(R88-6,dFrom)+1),NA())</f>
        <v>133917.28571428571</v>
      </c>
    </row>
    <row r="89" spans="18:20" x14ac:dyDescent="0.3">
      <c r="R89" s="61">
        <f t="shared" si="2"/>
        <v>45892</v>
      </c>
      <c r="S89" s="62">
        <f>IF(AND(R89&gt;=dFrom,R89&lt;=dTo),SUMIFS(tblClean[Attributed GMV PHP],tblClean[Date],R89,tblClean[Host Name],dHost,tblClean[Include],1),NA())</f>
        <v>146446</v>
      </c>
      <c r="T89" s="62">
        <f>IF(AND(R89&gt;=dFrom,R89&lt;=dTo),SUMIFS(tblClean[Attributed GMV PHP],tblClean[Date],"&gt;="&amp;MAX(R89-6,dFrom),tblClean[Date],"&lt;="&amp;R89,tblClean[Host Name],dHost,tblClean[Include],1)/(R89-MAX(R89-6,dFrom)+1),NA())</f>
        <v>132218.71428571429</v>
      </c>
    </row>
    <row r="90" spans="18:20" x14ac:dyDescent="0.3">
      <c r="R90" s="61">
        <f t="shared" si="2"/>
        <v>45893</v>
      </c>
      <c r="S90" s="62">
        <f>IF(AND(R90&gt;=dFrom,R90&lt;=dTo),SUMIFS(tblClean[Attributed GMV PHP],tblClean[Date],R90,tblClean[Host Name],dHost,tblClean[Include],1),NA())</f>
        <v>169651</v>
      </c>
      <c r="T90" s="62">
        <f>IF(AND(R90&gt;=dFrom,R90&lt;=dTo),SUMIFS(tblClean[Attributed GMV PHP],tblClean[Date],"&gt;="&amp;MAX(R90-6,dFrom),tblClean[Date],"&lt;="&amp;R90,tblClean[Host Name],dHost,tblClean[Include],1)/(R90-MAX(R90-6,dFrom)+1),NA())</f>
        <v>129518.71428571429</v>
      </c>
    </row>
    <row r="91" spans="18:20" x14ac:dyDescent="0.3">
      <c r="R91" s="61">
        <f t="shared" si="2"/>
        <v>45894</v>
      </c>
      <c r="S91" s="62">
        <f>IF(AND(R91&gt;=dFrom,R91&lt;=dTo),SUMIFS(tblClean[Attributed GMV PHP],tblClean[Date],R91,tblClean[Host Name],dHost,tblClean[Include],1),NA())</f>
        <v>87031</v>
      </c>
      <c r="T91" s="62">
        <f>IF(AND(R91&gt;=dFrom,R91&lt;=dTo),SUMIFS(tblClean[Attributed GMV PHP],tblClean[Date],"&gt;="&amp;MAX(R91-6,dFrom),tblClean[Date],"&lt;="&amp;R91,tblClean[Host Name],dHost,tblClean[Include],1)/(R91-MAX(R91-6,dFrom)+1),NA())</f>
        <v>115197.14285714286</v>
      </c>
    </row>
    <row r="92" spans="18:20" x14ac:dyDescent="0.3">
      <c r="R92" s="61">
        <f t="shared" si="2"/>
        <v>45895</v>
      </c>
      <c r="S92" s="62">
        <f>IF(AND(R92&gt;=dFrom,R92&lt;=dTo),SUMIFS(tblClean[Attributed GMV PHP],tblClean[Date],R92,tblClean[Host Name],dHost,tblClean[Include],1),NA())</f>
        <v>73533</v>
      </c>
      <c r="T92" s="62">
        <f>IF(AND(R92&gt;=dFrom,R92&lt;=dTo),SUMIFS(tblClean[Attributed GMV PHP],tblClean[Date],"&gt;="&amp;MAX(R92-6,dFrom),tblClean[Date],"&lt;="&amp;R92,tblClean[Host Name],dHost,tblClean[Include],1)/(R92-MAX(R92-6,dFrom)+1),NA())</f>
        <v>111508.28571428571</v>
      </c>
    </row>
    <row r="93" spans="18:20" x14ac:dyDescent="0.3">
      <c r="R93" s="61">
        <f t="shared" si="2"/>
        <v>45896</v>
      </c>
      <c r="S93" s="62">
        <f>IF(AND(R93&gt;=dFrom,R93&lt;=dTo),SUMIFS(tblClean[Attributed GMV PHP],tblClean[Date],R93,tblClean[Host Name],dHost,tblClean[Include],1),NA())</f>
        <v>135645</v>
      </c>
      <c r="T93" s="62">
        <f>IF(AND(R93&gt;=dFrom,R93&lt;=dTo),SUMIFS(tblClean[Attributed GMV PHP],tblClean[Date],"&gt;="&amp;MAX(R93-6,dFrom),tblClean[Date],"&lt;="&amp;R93,tblClean[Host Name],dHost,tblClean[Include],1)/(R93-MAX(R93-6,dFrom)+1),NA())</f>
        <v>112576.42857142857</v>
      </c>
    </row>
    <row r="94" spans="18:20" x14ac:dyDescent="0.3">
      <c r="R94" s="61">
        <f t="shared" si="2"/>
        <v>45897</v>
      </c>
      <c r="S94" s="62">
        <f>IF(AND(R94&gt;=dFrom,R94&lt;=dTo),SUMIFS(tblClean[Attributed GMV PHP],tblClean[Date],R94,tblClean[Host Name],dHost,tblClean[Include],1),NA())</f>
        <v>116034</v>
      </c>
      <c r="T94" s="62">
        <f>IF(AND(R94&gt;=dFrom,R94&lt;=dTo),SUMIFS(tblClean[Attributed GMV PHP],tblClean[Date],"&gt;="&amp;MAX(R94-6,dFrom),tblClean[Date],"&lt;="&amp;R94,tblClean[Host Name],dHost,tblClean[Include],1)/(R94-MAX(R94-6,dFrom)+1),NA())</f>
        <v>115647.42857142857</v>
      </c>
    </row>
    <row r="95" spans="18:20" x14ac:dyDescent="0.3">
      <c r="R95" s="61">
        <f t="shared" si="2"/>
        <v>45898</v>
      </c>
      <c r="S95" s="62">
        <f>IF(AND(R95&gt;=dFrom,R95&lt;=dTo),SUMIFS(tblClean[Attributed GMV PHP],tblClean[Date],R95,tblClean[Host Name],dHost,tblClean[Include],1),NA())</f>
        <v>112947</v>
      </c>
      <c r="T95" s="62">
        <f>IF(AND(R95&gt;=dFrom,R95&lt;=dTo),SUMIFS(tblClean[Attributed GMV PHP],tblClean[Date],"&gt;="&amp;MAX(R95-6,dFrom),tblClean[Date],"&lt;="&amp;R95,tblClean[Host Name],dHost,tblClean[Include],1)/(R95-MAX(R95-6,dFrom)+1),NA())</f>
        <v>120183.85714285714</v>
      </c>
    </row>
    <row r="96" spans="18:20" x14ac:dyDescent="0.3">
      <c r="R96" s="61">
        <f t="shared" si="2"/>
        <v>45899</v>
      </c>
      <c r="S96" s="62">
        <f>IF(AND(R96&gt;=dFrom,R96&lt;=dTo),SUMIFS(tblClean[Attributed GMV PHP],tblClean[Date],R96,tblClean[Host Name],dHost,tblClean[Include],1),NA())</f>
        <v>132835</v>
      </c>
      <c r="T96" s="62">
        <f>IF(AND(R96&gt;=dFrom,R96&lt;=dTo),SUMIFS(tblClean[Attributed GMV PHP],tblClean[Date],"&gt;="&amp;MAX(R96-6,dFrom),tblClean[Date],"&lt;="&amp;R96,tblClean[Host Name],dHost,tblClean[Include],1)/(R96-MAX(R96-6,dFrom)+1),NA())</f>
        <v>118239.42857142857</v>
      </c>
    </row>
    <row r="97" spans="18:20" x14ac:dyDescent="0.3">
      <c r="R97" s="61">
        <f t="shared" si="2"/>
        <v>45900</v>
      </c>
      <c r="S97" s="62">
        <f>IF(AND(R97&gt;=dFrom,R97&lt;=dTo),SUMIFS(tblClean[Attributed GMV PHP],tblClean[Date],R97,tblClean[Host Name],dHost,tblClean[Include],1),NA())</f>
        <v>134981</v>
      </c>
      <c r="T97" s="62">
        <f>IF(AND(R97&gt;=dFrom,R97&lt;=dTo),SUMIFS(tblClean[Attributed GMV PHP],tblClean[Date],"&gt;="&amp;MAX(R97-6,dFrom),tblClean[Date],"&lt;="&amp;R97,tblClean[Host Name],dHost,tblClean[Include],1)/(R97-MAX(R97-6,dFrom)+1),NA())</f>
        <v>113286.57142857143</v>
      </c>
    </row>
  </sheetData>
  <mergeCells count="29">
    <mergeCell ref="H9:I9"/>
    <mergeCell ref="J9:K9"/>
    <mergeCell ref="D6:E6"/>
    <mergeCell ref="B1:M1"/>
    <mergeCell ref="B2:M2"/>
    <mergeCell ref="B3:M3"/>
    <mergeCell ref="B60:M62"/>
    <mergeCell ref="L8:M8"/>
    <mergeCell ref="B8:C8"/>
    <mergeCell ref="F8:G8"/>
    <mergeCell ref="L10:M10"/>
    <mergeCell ref="B10:C10"/>
    <mergeCell ref="B9:C9"/>
    <mergeCell ref="D9:E9"/>
    <mergeCell ref="F9:G9"/>
    <mergeCell ref="L9:M9"/>
    <mergeCell ref="D8:E8"/>
    <mergeCell ref="J8:K8"/>
    <mergeCell ref="D10:E10"/>
    <mergeCell ref="F10:G10"/>
    <mergeCell ref="H10:I10"/>
    <mergeCell ref="J10:K10"/>
    <mergeCell ref="B6:C6"/>
    <mergeCell ref="F6:H6"/>
    <mergeCell ref="B5:C5"/>
    <mergeCell ref="D5:E5"/>
    <mergeCell ref="H8:I8"/>
    <mergeCell ref="F5:H5"/>
    <mergeCell ref="I5:M6"/>
  </mergeCells>
  <dataValidations count="2">
    <dataValidation type="date" showErrorMessage="1" errorTitle="Date outside data range" error="Enter a date between 02-Jun-2025 and 31-Aug-2025." sqref="B6 D6" xr:uid="{00000000-0002-0000-0600-000000000000}">
      <formula1>45810</formula1>
      <formula2>45900</formula2>
    </dataValidation>
    <dataValidation type="list" showErrorMessage="1" errorTitle="Host" error="Pick a host from the list." sqref="F6" xr:uid="{00000000-0002-0000-0600-000001000000}">
      <formula1>$AE$7:$AE$12</formula1>
    </dataValidation>
  </dataValidations>
  <pageMargins left="0.75" right="0.75" top="1" bottom="1" header="0.5" footer="0.5"/>
  <pageSetup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B998B"/>
  </sheetPr>
  <dimension ref="A1:L58"/>
  <sheetViews>
    <sheetView showGridLines="0" workbookViewId="0">
      <pane ySplit="4" topLeftCell="A5" activePane="bottomLeft" state="frozen"/>
      <selection pane="bottomLeft"/>
    </sheetView>
  </sheetViews>
  <sheetFormatPr defaultRowHeight="14.4" x14ac:dyDescent="0.3"/>
  <cols>
    <col min="1" max="1" width="5" customWidth="1"/>
    <col min="2" max="2" width="28" customWidth="1"/>
    <col min="3" max="12" width="13" customWidth="1"/>
  </cols>
  <sheetData>
    <row r="1" spans="1:12" ht="28.05" customHeight="1" x14ac:dyDescent="0.3">
      <c r="A1" s="7" t="s">
        <v>609</v>
      </c>
      <c r="B1" s="1"/>
      <c r="C1" s="1"/>
      <c r="D1" s="1"/>
      <c r="E1" s="1"/>
      <c r="F1" s="1"/>
      <c r="G1" s="1"/>
      <c r="H1" s="1"/>
      <c r="I1" s="1"/>
      <c r="J1" s="1"/>
      <c r="K1" s="1"/>
      <c r="L1" s="1"/>
    </row>
    <row r="2" spans="1:12" x14ac:dyDescent="0.3">
      <c r="A2" s="8" t="s">
        <v>610</v>
      </c>
      <c r="B2" s="1"/>
      <c r="C2" s="1"/>
      <c r="D2" s="1"/>
      <c r="E2" s="1"/>
      <c r="F2" s="1"/>
      <c r="G2" s="1"/>
      <c r="H2" s="1"/>
      <c r="I2" s="1"/>
      <c r="J2" s="1"/>
      <c r="K2" s="1"/>
      <c r="L2" s="1"/>
    </row>
    <row r="4" spans="1:12" x14ac:dyDescent="0.3">
      <c r="A4" s="5" t="s">
        <v>611</v>
      </c>
      <c r="B4" s="5" t="s">
        <v>612</v>
      </c>
      <c r="C4" s="95" t="s">
        <v>613</v>
      </c>
      <c r="D4" s="96"/>
      <c r="E4" s="96"/>
      <c r="F4" s="97"/>
      <c r="G4" s="95" t="s">
        <v>614</v>
      </c>
      <c r="H4" s="96"/>
      <c r="I4" s="97"/>
      <c r="J4" s="95" t="s">
        <v>615</v>
      </c>
      <c r="K4" s="96"/>
      <c r="L4" s="97"/>
    </row>
    <row r="5" spans="1:12" ht="91.95" customHeight="1" x14ac:dyDescent="0.3">
      <c r="A5" s="64">
        <v>1</v>
      </c>
      <c r="B5" s="65" t="s">
        <v>616</v>
      </c>
      <c r="C5" s="74" t="str">
        <f>INDEX('Host Performance'!$A$6:$A$10,MATCH(1,'Host Performance'!$N$6:$N$10,0))&amp;" generated the highest total GMV: ₱"&amp;TEXT(MAX('Host Performance'!$D$6:$D$10),"#,##0")&amp;" ("&amp;TEXT(MAX('Host Performance'!$D$6:$D$10)/'Host Performance'!$D$11,"0.0%")&amp;" of all GMV) from "&amp;INDEX('Host Performance'!$B$6:$B$10,MATCH(1,'Host Performance'!$N$6:$N$10,0))&amp;" sessions and "&amp;TEXT(INDEX('Host Performance'!$C$6:$C$10,MATCH(1,'Host Performance'!$N$6:$N$10,0)),"#,##0.0")&amp;" livestream hours."</f>
        <v>Bianca Reyes generated the highest total GMV: ₱3,731,707 (33.5% of all GMV) from 146 sessions and 352.0 livestream hours.</v>
      </c>
      <c r="D5" s="75"/>
      <c r="E5" s="75"/>
      <c r="F5" s="75"/>
      <c r="G5" s="94" t="s">
        <v>617</v>
      </c>
      <c r="H5" s="75"/>
      <c r="I5" s="75"/>
      <c r="J5" s="94" t="s">
        <v>618</v>
      </c>
      <c r="K5" s="75"/>
      <c r="L5" s="75"/>
    </row>
    <row r="6" spans="1:12" ht="91.95" customHeight="1" x14ac:dyDescent="0.3">
      <c r="A6" s="64">
        <v>2</v>
      </c>
      <c r="B6" s="65" t="s">
        <v>619</v>
      </c>
      <c r="C6" s="74" t="str">
        <f>INDEX('Host Performance'!$A$6:$A$10,MATCH(1,'Host Performance'!$M$6:$M$10,0))&amp;" had the highest GMV per hour (₱"&amp;TEXT(INDEX('Host Performance'!$G$6:$G$10,MATCH(1,'Host Performance'!$M$6:$M$10,0)),"#,##0")&amp;" vs ₱"&amp;TEXT('Host Performance'!$G$11,"#,##0")&amp;" overall). "&amp;IF(INDEX('Host Performance'!$A$6:$A$10,MATCH(1,'Host Performance'!$M$6:$M$10,0))=INDEX('Host Performance'!$A$6:$A$10,MATCH(1,'Host Performance'!$N$6:$N$10,0)),"The same host also leads on total GMV.","The total-GMV leader, "&amp;INDEX('Host Performance'!$A$6:$A$10,MATCH(1,'Host Performance'!$N$6:$N$10,0))&amp;", ranks #"&amp;INDEX('Host Performance'!$M$6:$M$10,MATCH(1,'Host Performance'!$N$6:$N$10,0))&amp;" on efficiency (₱"&amp;TEXT(INDEX('Host Performance'!$G$6:$G$10,MATCH(1,'Host Performance'!$N$6:$N$10,0)),"#,##0")&amp;" per hour).")</f>
        <v>Aira Valdez had the highest GMV per hour (₱22,803 vs ₱12,595 overall). The total-GMV leader, Bianca Reyes, ranks #4 on efficiency (₱10,601 per hour).</v>
      </c>
      <c r="D6" s="75"/>
      <c r="E6" s="75"/>
      <c r="F6" s="75"/>
      <c r="G6" s="94" t="s">
        <v>620</v>
      </c>
      <c r="H6" s="75"/>
      <c r="I6" s="75"/>
      <c r="J6" s="94" t="s">
        <v>621</v>
      </c>
      <c r="K6" s="75"/>
      <c r="L6" s="75"/>
    </row>
    <row r="7" spans="1:12" ht="91.95" customHeight="1" x14ac:dyDescent="0.3">
      <c r="A7" s="64">
        <v>3</v>
      </c>
      <c r="B7" s="65" t="s">
        <v>622</v>
      </c>
      <c r="C7" s="74" t="str">
        <f>"Week "&amp;C52&amp;" ("&amp;TEXT(INDEX('Weekly Summary'!$B$6:$B$18,C52),"d mmm")&amp;" – "&amp;TEXT(INDEX('Weekly Summary'!$C$6:$C$18,C52),"d mmm yyyy")&amp;") recorded the highest weekly GMV at ₱"&amp;TEXT(C53,"#,##0")&amp;", "&amp;TEXT(C53/C56-1,"0%")&amp;" above the average week (₱"&amp;TEXT(C56,"#,##0")&amp;"). The lowest was week "&amp;C54&amp;" (₱"&amp;TEXT(C55,"#,##0")&amp;")."</f>
        <v>Week 9 (28 Jul – 3 Aug 2025) recorded the highest weekly GMV at ₱1,170,261, 36% above the average week (₱857,930). The lowest was week 3 (₱678,714).</v>
      </c>
      <c r="D7" s="75"/>
      <c r="E7" s="75"/>
      <c r="F7" s="75"/>
      <c r="G7" s="94" t="s">
        <v>623</v>
      </c>
      <c r="H7" s="75"/>
      <c r="I7" s="75"/>
      <c r="J7" s="94" t="s">
        <v>624</v>
      </c>
      <c r="K7" s="75"/>
      <c r="L7" s="75"/>
    </row>
    <row r="8" spans="1:12" ht="91.95" customHeight="1" x14ac:dyDescent="0.3">
      <c r="A8" s="64">
        <v>4</v>
      </c>
      <c r="B8" s="65" t="s">
        <v>625</v>
      </c>
      <c r="C8" s="74" t="str">
        <f>"Average weekly GMV "&amp;IF(C50&gt;=0,"rose","fell")&amp;" from ₱"&amp;TEXT(C48,"#,##0")&amp;" (weeks 1–4) to ₱"&amp;TEXT(C49,"#,##0")&amp;" (weeks 10–13), a change of "&amp;TEXT(C50,"+0.0%;-0.0%")&amp;". The fitted linear trend is "&amp;IF(C51&gt;=0,"+","-")&amp;"₱"&amp;TEXT(ABS(C51),"#,##0")&amp;" per week, and GMV fell week-over-week in "&amp;C57&amp;" of "&amp;C58&amp;" comparisons."</f>
        <v>Average weekly GMV rose from ₱723,014 (weeks 1–4) to ₱906,546 (weeks 10–13), a change of +25.4%. The fitted linear trend is +₱18,111 per week, and GMV fell week-over-week in 7 of 12 comparisons.</v>
      </c>
      <c r="D8" s="75"/>
      <c r="E8" s="75"/>
      <c r="F8" s="75"/>
      <c r="G8" s="94" t="s">
        <v>626</v>
      </c>
      <c r="H8" s="75"/>
      <c r="I8" s="75"/>
      <c r="J8" s="94" t="s">
        <v>627</v>
      </c>
      <c r="K8" s="75"/>
      <c r="L8" s="75"/>
    </row>
    <row r="9" spans="1:12" ht="91.95" customHeight="1" x14ac:dyDescent="0.3">
      <c r="A9" s="64">
        <v>5</v>
      </c>
      <c r="B9" s="65" t="s">
        <v>628</v>
      </c>
      <c r="C9" s="74" t="str">
        <f>INDEX('Host Performance'!$A$6:$A$10,MATCH(MAX('Host Performance'!$E$6:$E$10),'Host Performance'!$E$6:$E$10,0))&amp;" sold the most items ("&amp;TEXT(MAX('Host Performance'!$E$6:$E$10),"#,##0")&amp;" units, "&amp;TEXT(MAX('Host Performance'!$E$6:$E$10)/'Host Performance'!$E$11,"0.0%")&amp;" of all items). "&amp;INDEX('Host Performance'!$A$6:$A$10,MATCH(MAX('Host Performance'!$H$6:$H$10),'Host Performance'!$H$6:$H$10,0))&amp;" had the highest average items per session ("&amp;TEXT(MAX('Host Performance'!$H$6:$H$10),"0.0")&amp;" vs "&amp;TEXT('Host Performance'!$H$11,"0.0")&amp;" overall)."</f>
        <v>Bianca Reyes sold the most items (11,230 units, 33.9% of all items). Aira Valdez had the highest average items per session (150.4 vs 88.5 overall).</v>
      </c>
      <c r="D9" s="75"/>
      <c r="E9" s="75"/>
      <c r="F9" s="75"/>
      <c r="G9" s="94" t="s">
        <v>629</v>
      </c>
      <c r="H9" s="75"/>
      <c r="I9" s="75"/>
      <c r="J9" s="94" t="s">
        <v>630</v>
      </c>
      <c r="K9" s="75"/>
      <c r="L9" s="75"/>
    </row>
    <row r="10" spans="1:12" ht="91.95" customHeight="1" x14ac:dyDescent="0.3">
      <c r="A10" s="64">
        <v>6</v>
      </c>
      <c r="B10" s="65" t="s">
        <v>631</v>
      </c>
      <c r="C10" s="74" t="str">
        <f>"GMV per hour was highest on "&amp;INDEX(B22:B28,MATCH(MAX(F22:F28),F22:F28,0))&amp;" (₱"&amp;TEXT(MAX(F22:F28),"#,##0")&amp;") and lowest on "&amp;INDEX(B22:B28,MATCH(MIN(F22:F28),F22:F28,0))&amp;" (₱"&amp;TEXT(MIN(F22:F28),"#,##0")&amp;"). Weekends averaged ₱"&amp;TEXT(F30,"#,##0")&amp;" per hour versus ₱"&amp;TEXT(F29,"#,##0")&amp;" on weekdays ("&amp;TEXT(F30/F29-1,"+0%;-0%")&amp;")."</f>
        <v>GMV per hour was highest on Sat (₱14,938) and lowest on Wed (₱10,121). Weekends averaged ₱14,868 per hour versus ₱11,666 on weekdays (+27%).</v>
      </c>
      <c r="D10" s="75"/>
      <c r="E10" s="75"/>
      <c r="F10" s="75"/>
      <c r="G10" s="94" t="s">
        <v>632</v>
      </c>
      <c r="H10" s="75"/>
      <c r="I10" s="75"/>
      <c r="J10" s="94" t="s">
        <v>633</v>
      </c>
      <c r="K10" s="75"/>
      <c r="L10" s="75"/>
    </row>
    <row r="11" spans="1:12" ht="91.95" customHeight="1" x14ac:dyDescent="0.3">
      <c r="A11" s="64">
        <v>7</v>
      </c>
      <c r="B11" s="65" t="s">
        <v>634</v>
      </c>
      <c r="C11" s="74" t="str">
        <f>"Session duration and session GMV show a "&amp;IF(ABS(E37)&lt;0.1,"negligible",IF(ABS(E37)&lt;0.3,"weak",IF(ABS(E37)&lt;0.5,"moderate","strong")))&amp;IF(E37&gt;=0," positive"," negative")&amp;" correlation (r = "&amp;TEXT(E37,"0.00")&amp;"). Long sessions (3h+) averaged ₱"&amp;TEXT(E36,"#,##0")&amp;" GMV per session versus ₱"&amp;TEXT(E34,"#,##0")&amp;" for short ones (under 2h), but GMV per hour was ₱"&amp;TEXT(F36,"#,##0")&amp;" versus ₱"&amp;TEXT(F34,"#,##0")&amp;"."</f>
        <v>Session duration and session GMV show a weak positive correlation (r = 0.18). Long sessions (3h+) averaged ₱33,787 GMV per session versus ₱23,172 for short ones (under 2h), but GMV per hour was ₱11,262 versus ₱15,448.</v>
      </c>
      <c r="D11" s="75"/>
      <c r="E11" s="75"/>
      <c r="F11" s="75"/>
      <c r="G11" s="94" t="s">
        <v>635</v>
      </c>
      <c r="H11" s="75"/>
      <c r="I11" s="75"/>
      <c r="J11" s="94" t="s">
        <v>636</v>
      </c>
      <c r="K11" s="75"/>
      <c r="L11" s="75"/>
    </row>
    <row r="12" spans="1:12" ht="91.95" customHeight="1" x14ac:dyDescent="0.3">
      <c r="A12" s="64">
        <v>8</v>
      </c>
      <c r="B12" s="65" t="s">
        <v>637</v>
      </c>
      <c r="C12" s="74" t="str">
        <f>INDEX('Host Performance'!$A$6:$A$10,MATCH(MAX('Host Performance'!$M$6:$M$10),'Host Performance'!$M$6:$M$10,0))&amp;" has the lowest GMV per hour (₱"&amp;TEXT(INDEX('Host Performance'!$G$6:$G$10,MATCH(MAX('Host Performance'!$M$6:$M$10),'Host Performance'!$M$6:$M$10,0)),"#,##0")&amp;", "&amp;TEXT(1-INDEX('Host Performance'!$G$6:$G$10,MATCH(MAX('Host Performance'!$M$6:$M$10),'Host Performance'!$M$6:$M$10,0))/'Host Performance'!$G$11,"0%")&amp;" below the overall rate). It produced "&amp;TEXT(INDEX('Host Performance'!$I$6:$I$10,MATCH(MAX('Host Performance'!$M$6:$M$10),'Host Performance'!$M$6:$M$10,0)),"0.0%")&amp;" of GMV from "&amp;TEXT(INDEX('Host Performance'!$J$6:$J$10,MATCH(MAX('Host Performance'!$M$6:$M$10),'Host Performance'!$M$6:$M$10,0)),"0.0%")&amp;" of livestream hours (efficiency index "&amp;TEXT(INDEX('Host Performance'!$K$6:$K$10,MATCH(MAX('Host Performance'!$M$6:$M$10),'Host Performance'!$M$6:$M$10,0)),"0.00")&amp;")."</f>
        <v>Dani Villanueva has the lowest GMV per hour (₱7,947, 37% below the overall rate). It produced 11.7% of GMV from 18.5% of livestream hours (efficiency index 0.63).</v>
      </c>
      <c r="D12" s="75"/>
      <c r="E12" s="75"/>
      <c r="F12" s="75"/>
      <c r="G12" s="94" t="s">
        <v>638</v>
      </c>
      <c r="H12" s="75"/>
      <c r="I12" s="75"/>
      <c r="J12" s="94" t="s">
        <v>639</v>
      </c>
      <c r="K12" s="75"/>
      <c r="L12" s="75"/>
    </row>
    <row r="14" spans="1:12" x14ac:dyDescent="0.3">
      <c r="A14" s="14" t="s">
        <v>640</v>
      </c>
    </row>
    <row r="15" spans="1:12" x14ac:dyDescent="0.3">
      <c r="B15" s="66" t="s">
        <v>641</v>
      </c>
    </row>
    <row r="16" spans="1:12" x14ac:dyDescent="0.3">
      <c r="B16" s="66" t="s">
        <v>642</v>
      </c>
    </row>
    <row r="17" spans="1:7" x14ac:dyDescent="0.3">
      <c r="B17" s="66" t="s">
        <v>643</v>
      </c>
    </row>
    <row r="18" spans="1:7" x14ac:dyDescent="0.3">
      <c r="B18" s="66" t="s">
        <v>644</v>
      </c>
    </row>
    <row r="19" spans="1:7" ht="15.6" x14ac:dyDescent="0.3">
      <c r="A19" s="67" t="s">
        <v>645</v>
      </c>
    </row>
    <row r="20" spans="1:7" x14ac:dyDescent="0.3">
      <c r="B20" s="14" t="s">
        <v>646</v>
      </c>
    </row>
    <row r="21" spans="1:7" ht="28.05" customHeight="1" x14ac:dyDescent="0.3">
      <c r="B21" s="68" t="s">
        <v>543</v>
      </c>
      <c r="C21" s="68" t="s">
        <v>544</v>
      </c>
      <c r="D21" s="68" t="s">
        <v>599</v>
      </c>
      <c r="E21" s="68" t="s">
        <v>546</v>
      </c>
      <c r="F21" s="68" t="s">
        <v>33</v>
      </c>
      <c r="G21" s="68" t="s">
        <v>561</v>
      </c>
    </row>
    <row r="22" spans="1:7" x14ac:dyDescent="0.3">
      <c r="B22" s="46" t="s">
        <v>647</v>
      </c>
      <c r="C22" s="30">
        <f>COUNTIFS(tblClean[Day of Week],$B22,tblClean[Include],1)</f>
        <v>50</v>
      </c>
      <c r="D22" s="31">
        <f>SUMIFS(tblClean[Duration Hours],tblClean[Day of Week],$B22,tblClean[Include],1)</f>
        <v>115.5</v>
      </c>
      <c r="E22" s="32">
        <f>SUMIFS(tblClean[Attributed GMV PHP],tblClean[Day of Week],$B22,tblClean[Include],1)</f>
        <v>1315187</v>
      </c>
      <c r="F22" s="32">
        <f t="shared" ref="F22:F30" si="0">IF(D22&gt;0,E22/D22,0)</f>
        <v>11386.900432900433</v>
      </c>
      <c r="G22" s="32">
        <f t="shared" ref="G22:G30" si="1">IF(C22&gt;0,E22/C22,0)</f>
        <v>26303.74</v>
      </c>
    </row>
    <row r="23" spans="1:7" x14ac:dyDescent="0.3">
      <c r="B23" s="46" t="s">
        <v>648</v>
      </c>
      <c r="C23" s="30">
        <f>COUNTIFS(tblClean[Day of Week],$B23,tblClean[Include],1)</f>
        <v>53</v>
      </c>
      <c r="D23" s="31">
        <f>SUMIFS(tblClean[Duration Hours],tblClean[Day of Week],$B23,tblClean[Include],1)</f>
        <v>124.5</v>
      </c>
      <c r="E23" s="32">
        <f>SUMIFS(tblClean[Attributed GMV PHP],tblClean[Day of Week],$B23,tblClean[Include],1)</f>
        <v>1307438</v>
      </c>
      <c r="F23" s="32">
        <f t="shared" si="0"/>
        <v>10501.510040160643</v>
      </c>
      <c r="G23" s="32">
        <f t="shared" si="1"/>
        <v>24668.641509433961</v>
      </c>
    </row>
    <row r="24" spans="1:7" x14ac:dyDescent="0.3">
      <c r="B24" s="46" t="s">
        <v>649</v>
      </c>
      <c r="C24" s="30">
        <f>COUNTIFS(tblClean[Day of Week],$B24,tblClean[Include],1)</f>
        <v>57</v>
      </c>
      <c r="D24" s="31">
        <f>SUMIFS(tblClean[Duration Hours],tblClean[Day of Week],$B24,tblClean[Include],1)</f>
        <v>139</v>
      </c>
      <c r="E24" s="32">
        <f>SUMIFS(tblClean[Attributed GMV PHP],tblClean[Day of Week],$B24,tblClean[Include],1)</f>
        <v>1406832</v>
      </c>
      <c r="F24" s="32">
        <f t="shared" si="0"/>
        <v>10121.093525179856</v>
      </c>
      <c r="G24" s="32">
        <f t="shared" si="1"/>
        <v>24681.263157894737</v>
      </c>
    </row>
    <row r="25" spans="1:7" x14ac:dyDescent="0.3">
      <c r="B25" s="46" t="s">
        <v>650</v>
      </c>
      <c r="C25" s="30">
        <f>COUNTIFS(tblClean[Day of Week],$B25,tblClean[Include],1)</f>
        <v>52</v>
      </c>
      <c r="D25" s="31">
        <f>SUMIFS(tblClean[Duration Hours],tblClean[Day of Week],$B25,tblClean[Include],1)</f>
        <v>117.5</v>
      </c>
      <c r="E25" s="32">
        <f>SUMIFS(tblClean[Attributed GMV PHP],tblClean[Day of Week],$B25,tblClean[Include],1)</f>
        <v>1447913</v>
      </c>
      <c r="F25" s="32">
        <f t="shared" si="0"/>
        <v>12322.663829787234</v>
      </c>
      <c r="G25" s="32">
        <f t="shared" si="1"/>
        <v>27844.48076923077</v>
      </c>
    </row>
    <row r="26" spans="1:7" x14ac:dyDescent="0.3">
      <c r="B26" s="46" t="s">
        <v>651</v>
      </c>
      <c r="C26" s="30">
        <f>COUNTIFS(tblClean[Day of Week],$B26,tblClean[Include],1)</f>
        <v>54</v>
      </c>
      <c r="D26" s="31">
        <f>SUMIFS(tblClean[Duration Hours],tblClean[Day of Week],$B26,tblClean[Include],1)</f>
        <v>132</v>
      </c>
      <c r="E26" s="32">
        <f>SUMIFS(tblClean[Attributed GMV PHP],tblClean[Day of Week],$B26,tblClean[Include],1)</f>
        <v>1854576</v>
      </c>
      <c r="F26" s="32">
        <f t="shared" si="0"/>
        <v>14049.818181818182</v>
      </c>
      <c r="G26" s="32">
        <f t="shared" si="1"/>
        <v>34344</v>
      </c>
    </row>
    <row r="27" spans="1:7" x14ac:dyDescent="0.3">
      <c r="B27" s="46" t="s">
        <v>652</v>
      </c>
      <c r="C27" s="30">
        <f>COUNTIFS(tblClean[Day of Week],$B27,tblClean[Include],1)</f>
        <v>53</v>
      </c>
      <c r="D27" s="31">
        <f>SUMIFS(tblClean[Duration Hours],tblClean[Day of Week],$B27,tblClean[Include],1)</f>
        <v>121.5</v>
      </c>
      <c r="E27" s="32">
        <f>SUMIFS(tblClean[Attributed GMV PHP],tblClean[Day of Week],$B27,tblClean[Include],1)</f>
        <v>1814928</v>
      </c>
      <c r="F27" s="32">
        <f t="shared" si="0"/>
        <v>14937.679012345679</v>
      </c>
      <c r="G27" s="32">
        <f t="shared" si="1"/>
        <v>34243.92452830189</v>
      </c>
    </row>
    <row r="28" spans="1:7" x14ac:dyDescent="0.3">
      <c r="B28" s="46" t="s">
        <v>653</v>
      </c>
      <c r="C28" s="30">
        <f>COUNTIFS(tblClean[Day of Week],$B28,tblClean[Include],1)</f>
        <v>55</v>
      </c>
      <c r="D28" s="31">
        <f>SUMIFS(tblClean[Duration Hours],tblClean[Day of Week],$B28,tblClean[Include],1)</f>
        <v>135.5</v>
      </c>
      <c r="E28" s="32">
        <f>SUMIFS(tblClean[Attributed GMV PHP],tblClean[Day of Week],$B28,tblClean[Include],1)</f>
        <v>2006221</v>
      </c>
      <c r="F28" s="32">
        <f t="shared" si="0"/>
        <v>14806.059040590406</v>
      </c>
      <c r="G28" s="32">
        <f t="shared" si="1"/>
        <v>36476.745454545453</v>
      </c>
    </row>
    <row r="29" spans="1:7" x14ac:dyDescent="0.3">
      <c r="B29" s="46" t="s">
        <v>654</v>
      </c>
      <c r="C29" s="30">
        <f>COUNTIFS(tblClean[Day Type],$B29,tblClean[Include],1)</f>
        <v>266</v>
      </c>
      <c r="D29" s="31">
        <f>SUMIFS(tblClean[Duration Hours],tblClean[Day Type],$B29,tblClean[Include],1)</f>
        <v>628.5</v>
      </c>
      <c r="E29" s="32">
        <f>SUMIFS(tblClean[Attributed GMV PHP],tblClean[Day Type],$B29,tblClean[Include],1)</f>
        <v>7331946</v>
      </c>
      <c r="F29" s="32">
        <f t="shared" si="0"/>
        <v>11665.785202863963</v>
      </c>
      <c r="G29" s="32">
        <f t="shared" si="1"/>
        <v>27563.706766917294</v>
      </c>
    </row>
    <row r="30" spans="1:7" x14ac:dyDescent="0.3">
      <c r="B30" s="46" t="s">
        <v>655</v>
      </c>
      <c r="C30" s="30">
        <f>COUNTIFS(tblClean[Day Type],$B30,tblClean[Include],1)</f>
        <v>108</v>
      </c>
      <c r="D30" s="31">
        <f>SUMIFS(tblClean[Duration Hours],tblClean[Day Type],$B30,tblClean[Include],1)</f>
        <v>257</v>
      </c>
      <c r="E30" s="32">
        <f>SUMIFS(tblClean[Attributed GMV PHP],tblClean[Day Type],$B30,tblClean[Include],1)</f>
        <v>3821149</v>
      </c>
      <c r="F30" s="32">
        <f t="shared" si="0"/>
        <v>14868.284046692606</v>
      </c>
      <c r="G30" s="32">
        <f t="shared" si="1"/>
        <v>35381.009259259263</v>
      </c>
    </row>
    <row r="32" spans="1:7" x14ac:dyDescent="0.3">
      <c r="B32" s="14" t="s">
        <v>656</v>
      </c>
    </row>
    <row r="33" spans="2:6" ht="28.05" customHeight="1" x14ac:dyDescent="0.3">
      <c r="B33" s="68" t="s">
        <v>657</v>
      </c>
      <c r="C33" s="68" t="s">
        <v>544</v>
      </c>
      <c r="D33" s="68" t="s">
        <v>658</v>
      </c>
      <c r="E33" s="68" t="s">
        <v>561</v>
      </c>
      <c r="F33" s="68" t="s">
        <v>33</v>
      </c>
    </row>
    <row r="34" spans="2:6" x14ac:dyDescent="0.3">
      <c r="B34" s="46" t="s">
        <v>659</v>
      </c>
      <c r="C34" s="30">
        <f>COUNTIFS(tblClean[Duration Band],$B34,tblClean[Include],1)</f>
        <v>36</v>
      </c>
      <c r="D34" s="49">
        <f>IF(C34&gt;0,SUMIFS(tblClean[Duration Hours],tblClean[Duration Band],$B34,tblClean[Include],1)/C34,0)</f>
        <v>1.5</v>
      </c>
      <c r="E34" s="32">
        <f>IF(C34&gt;0,SUMIFS(tblClean[Attributed GMV PHP],tblClean[Duration Band],$B34,tblClean[Include],1)/C34,0)</f>
        <v>23172.055555555555</v>
      </c>
      <c r="F34" s="32">
        <f>IFERROR(SUMIFS(tblClean[Attributed GMV PHP],tblClean[Duration Band],$B34,tblClean[Include],1)/SUMIFS(tblClean[Duration Hours],tblClean[Duration Band],$B34,tblClean[Include],1),0)</f>
        <v>15448.037037037036</v>
      </c>
    </row>
    <row r="35" spans="2:6" x14ac:dyDescent="0.3">
      <c r="B35" s="46" t="s">
        <v>660</v>
      </c>
      <c r="C35" s="30">
        <f>COUNTIFS(tblClean[Duration Band],$B35,tblClean[Include],1)</f>
        <v>238</v>
      </c>
      <c r="D35" s="49">
        <f>IF(C35&gt;0,SUMIFS(tblClean[Duration Hours],tblClean[Duration Band],$B35,tblClean[Include],1)/C35,0)</f>
        <v>2.2331932773109244</v>
      </c>
      <c r="E35" s="32">
        <f>IF(C35&gt;0,SUMIFS(tblClean[Attributed GMV PHP],tblClean[Duration Band],$B35,tblClean[Include],1)/C35,0)</f>
        <v>29160.483193277312</v>
      </c>
      <c r="F35" s="32">
        <f>IFERROR(SUMIFS(tblClean[Attributed GMV PHP],tblClean[Duration Band],$B35,tblClean[Include],1)/SUMIFS(tblClean[Duration Hours],tblClean[Duration Band],$B35,tblClean[Include],1),0)</f>
        <v>13057.751646284101</v>
      </c>
    </row>
    <row r="36" spans="2:6" x14ac:dyDescent="0.3">
      <c r="B36" s="46" t="s">
        <v>661</v>
      </c>
      <c r="C36" s="30">
        <f>COUNTIFS(tblClean[Duration Band],$B36,tblClean[Include],1)</f>
        <v>100</v>
      </c>
      <c r="D36" s="49">
        <f>IF(C36&gt;0,SUMIFS(tblClean[Duration Hours],tblClean[Duration Band],$B36,tblClean[Include],1)/C36,0)</f>
        <v>3</v>
      </c>
      <c r="E36" s="32">
        <f>IF(C36&gt;0,SUMIFS(tblClean[Attributed GMV PHP],tblClean[Duration Band],$B36,tblClean[Include],1)/C36,0)</f>
        <v>33787.06</v>
      </c>
      <c r="F36" s="32">
        <f>IFERROR(SUMIFS(tblClean[Attributed GMV PHP],tblClean[Duration Band],$B36,tblClean[Include],1)/SUMIFS(tblClean[Duration Hours],tblClean[Duration Band],$B36,tblClean[Include],1),0)</f>
        <v>11262.353333333333</v>
      </c>
    </row>
    <row r="37" spans="2:6" x14ac:dyDescent="0.3">
      <c r="B37" s="46" t="s">
        <v>662</v>
      </c>
      <c r="C37" s="30"/>
      <c r="D37" s="49"/>
      <c r="E37" s="49">
        <f>CORREL(tblClean[Duration Hours],tblClean[Attributed GMV PHP])</f>
        <v>0.18451685286279509</v>
      </c>
      <c r="F37" s="32"/>
    </row>
    <row r="39" spans="2:6" x14ac:dyDescent="0.3">
      <c r="B39" s="14" t="s">
        <v>663</v>
      </c>
    </row>
    <row r="40" spans="2:6" ht="28.05" customHeight="1" x14ac:dyDescent="0.3">
      <c r="B40" s="68" t="s">
        <v>664</v>
      </c>
      <c r="C40" s="68" t="s">
        <v>544</v>
      </c>
      <c r="D40" s="68" t="s">
        <v>599</v>
      </c>
      <c r="E40" s="68" t="s">
        <v>546</v>
      </c>
      <c r="F40" s="68" t="s">
        <v>33</v>
      </c>
    </row>
    <row r="41" spans="2:6" x14ac:dyDescent="0.3">
      <c r="B41" s="46" t="s">
        <v>577</v>
      </c>
      <c r="C41" s="30">
        <f>COUNTIFS(tblClean[Time Slot],$B41,tblClean[Include],1)</f>
        <v>62</v>
      </c>
      <c r="D41" s="31">
        <f>SUMIFS(tblClean[Duration Hours],tblClean[Time Slot],$B41,tblClean[Include],1)</f>
        <v>150.5</v>
      </c>
      <c r="E41" s="32">
        <f>SUMIFS(tblClean[Attributed GMV PHP],tblClean[Time Slot],$B41,tblClean[Include],1)</f>
        <v>1108150</v>
      </c>
      <c r="F41" s="32">
        <f>IF(D41&gt;0,E41/D41,0)</f>
        <v>7363.1229235880401</v>
      </c>
    </row>
    <row r="42" spans="2:6" x14ac:dyDescent="0.3">
      <c r="B42" s="46" t="s">
        <v>578</v>
      </c>
      <c r="C42" s="30">
        <f>COUNTIFS(tblClean[Time Slot],$B42,tblClean[Include],1)</f>
        <v>73</v>
      </c>
      <c r="D42" s="31">
        <f>SUMIFS(tblClean[Duration Hours],tblClean[Time Slot],$B42,tblClean[Include],1)</f>
        <v>174.5</v>
      </c>
      <c r="E42" s="32">
        <f>SUMIFS(tblClean[Attributed GMV PHP],tblClean[Time Slot],$B42,tblClean[Include],1)</f>
        <v>1875300</v>
      </c>
      <c r="F42" s="32">
        <f>IF(D42&gt;0,E42/D42,0)</f>
        <v>10746.704871060172</v>
      </c>
    </row>
    <row r="43" spans="2:6" x14ac:dyDescent="0.3">
      <c r="B43" s="46" t="s">
        <v>579</v>
      </c>
      <c r="C43" s="30">
        <f>COUNTIFS(tblClean[Time Slot],$B43,tblClean[Include],1)</f>
        <v>84</v>
      </c>
      <c r="D43" s="31">
        <f>SUMIFS(tblClean[Duration Hours],tblClean[Time Slot],$B43,tblClean[Include],1)</f>
        <v>204.5</v>
      </c>
      <c r="E43" s="32">
        <f>SUMIFS(tblClean[Attributed GMV PHP],tblClean[Time Slot],$B43,tblClean[Include],1)</f>
        <v>2552692</v>
      </c>
      <c r="F43" s="32">
        <f>IF(D43&gt;0,E43/D43,0)</f>
        <v>12482.601466992664</v>
      </c>
    </row>
    <row r="44" spans="2:6" x14ac:dyDescent="0.3">
      <c r="B44" s="46" t="s">
        <v>580</v>
      </c>
      <c r="C44" s="30">
        <f>COUNTIFS(tblClean[Time Slot],$B44,tblClean[Include],1)</f>
        <v>91</v>
      </c>
      <c r="D44" s="31">
        <f>SUMIFS(tblClean[Duration Hours],tblClean[Time Slot],$B44,tblClean[Include],1)</f>
        <v>204.5</v>
      </c>
      <c r="E44" s="32">
        <f>SUMIFS(tblClean[Attributed GMV PHP],tblClean[Time Slot],$B44,tblClean[Include],1)</f>
        <v>3756933</v>
      </c>
      <c r="F44" s="32">
        <f>IF(D44&gt;0,E44/D44,0)</f>
        <v>18371.310513447432</v>
      </c>
    </row>
    <row r="45" spans="2:6" x14ac:dyDescent="0.3">
      <c r="B45" s="46" t="s">
        <v>581</v>
      </c>
      <c r="C45" s="30">
        <f>COUNTIFS(tblClean[Time Slot],$B45,tblClean[Include],1)</f>
        <v>64</v>
      </c>
      <c r="D45" s="31">
        <f>SUMIFS(tblClean[Duration Hours],tblClean[Time Slot],$B45,tblClean[Include],1)</f>
        <v>151.5</v>
      </c>
      <c r="E45" s="32">
        <f>SUMIFS(tblClean[Attributed GMV PHP],tblClean[Time Slot],$B45,tblClean[Include],1)</f>
        <v>1860020</v>
      </c>
      <c r="F45" s="32">
        <f>IF(D45&gt;0,E45/D45,0)</f>
        <v>12277.359735973598</v>
      </c>
    </row>
    <row r="47" spans="2:6" x14ac:dyDescent="0.3">
      <c r="B47" s="14" t="s">
        <v>665</v>
      </c>
    </row>
    <row r="48" spans="2:6" x14ac:dyDescent="0.3">
      <c r="B48" s="46" t="s">
        <v>666</v>
      </c>
      <c r="C48" s="32">
        <f>AVERAGE('Weekly Summary'!D6:D9)</f>
        <v>723013.75</v>
      </c>
    </row>
    <row r="49" spans="2:3" x14ac:dyDescent="0.3">
      <c r="B49" s="46" t="s">
        <v>667</v>
      </c>
      <c r="C49" s="32">
        <f>AVERAGE('Weekly Summary'!D15:D18)</f>
        <v>906546.25</v>
      </c>
    </row>
    <row r="50" spans="2:3" x14ac:dyDescent="0.3">
      <c r="B50" s="46" t="s">
        <v>668</v>
      </c>
      <c r="C50" s="69">
        <f>IF(C48&gt;0,(C49-C48)/C48,0)</f>
        <v>0.25384372012288842</v>
      </c>
    </row>
    <row r="51" spans="2:3" x14ac:dyDescent="0.3">
      <c r="B51" s="46" t="s">
        <v>669</v>
      </c>
      <c r="C51" s="70">
        <f>SLOPE('Weekly Summary'!$D$6:$D$18,'Weekly Summary'!$A$6:$A$18)</f>
        <v>18110.604395604401</v>
      </c>
    </row>
    <row r="52" spans="2:3" x14ac:dyDescent="0.3">
      <c r="B52" s="46" t="s">
        <v>670</v>
      </c>
      <c r="C52" s="71">
        <f>INDEX('Weekly Summary'!$A$6:$A$18,MATCH(MAX('Weekly Summary'!$D$6:$D$18),'Weekly Summary'!$D$6:$D$18,0))</f>
        <v>9</v>
      </c>
    </row>
    <row r="53" spans="2:3" x14ac:dyDescent="0.3">
      <c r="B53" s="46" t="s">
        <v>671</v>
      </c>
      <c r="C53" s="32">
        <f>MAX('Weekly Summary'!$D$6:$D$18)</f>
        <v>1170261</v>
      </c>
    </row>
    <row r="54" spans="2:3" x14ac:dyDescent="0.3">
      <c r="B54" s="46" t="s">
        <v>672</v>
      </c>
      <c r="C54" s="71">
        <f>INDEX('Weekly Summary'!$A$6:$A$18,MATCH(MIN('Weekly Summary'!$D$6:$D$18),'Weekly Summary'!$D$6:$D$18,0))</f>
        <v>3</v>
      </c>
    </row>
    <row r="55" spans="2:3" x14ac:dyDescent="0.3">
      <c r="B55" s="46" t="s">
        <v>673</v>
      </c>
      <c r="C55" s="32">
        <f>MIN('Weekly Summary'!$D$6:$D$18)</f>
        <v>678714</v>
      </c>
    </row>
    <row r="56" spans="2:3" x14ac:dyDescent="0.3">
      <c r="B56" s="46" t="s">
        <v>674</v>
      </c>
      <c r="C56" s="32">
        <f>AVERAGE('Weekly Summary'!$D$6:$D$18)</f>
        <v>857930.38461538462</v>
      </c>
    </row>
    <row r="57" spans="2:3" x14ac:dyDescent="0.3">
      <c r="B57" s="46" t="s">
        <v>675</v>
      </c>
      <c r="C57" s="71">
        <f>COUNTIF('Weekly Summary'!$I$6:$I$18,"&lt;0")</f>
        <v>7</v>
      </c>
    </row>
    <row r="58" spans="2:3" x14ac:dyDescent="0.3">
      <c r="B58" s="46" t="s">
        <v>676</v>
      </c>
      <c r="C58" s="71">
        <f>COUNT('Weekly Summary'!$D$6:$D$18)-1</f>
        <v>12</v>
      </c>
    </row>
  </sheetData>
  <mergeCells count="27">
    <mergeCell ref="J4:L4"/>
    <mergeCell ref="J11:L11"/>
    <mergeCell ref="J7:L7"/>
    <mergeCell ref="G5:I5"/>
    <mergeCell ref="C6:F6"/>
    <mergeCell ref="G4:I4"/>
    <mergeCell ref="J6:L6"/>
    <mergeCell ref="G10:I10"/>
    <mergeCell ref="G6:I6"/>
    <mergeCell ref="C8:F8"/>
    <mergeCell ref="C7:F7"/>
    <mergeCell ref="J12:L12"/>
    <mergeCell ref="C5:F5"/>
    <mergeCell ref="C4:F4"/>
    <mergeCell ref="G9:I9"/>
    <mergeCell ref="J8:L8"/>
    <mergeCell ref="G12:I12"/>
    <mergeCell ref="C10:F10"/>
    <mergeCell ref="G11:I11"/>
    <mergeCell ref="J5:L5"/>
    <mergeCell ref="C9:F9"/>
    <mergeCell ref="J10:L10"/>
    <mergeCell ref="C12:F12"/>
    <mergeCell ref="G8:I8"/>
    <mergeCell ref="C11:F11"/>
    <mergeCell ref="J9:L9"/>
    <mergeCell ref="G7:I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README</vt:lpstr>
      <vt:lpstr>Raw Data</vt:lpstr>
      <vt:lpstr>Cleaned Data</vt:lpstr>
      <vt:lpstr>Daily Sales</vt:lpstr>
      <vt:lpstr>Weekly Summary</vt:lpstr>
      <vt:lpstr>Host Performance</vt:lpstr>
      <vt:lpstr>Dashboard</vt:lpstr>
      <vt:lpstr>Insights</vt:lpstr>
      <vt:lpstr>dFrom</vt:lpstr>
      <vt:lpstr>dHost</vt:lpstr>
      <vt:lpstr>dTo</vt:lpstr>
      <vt:lpstr>HostRoster</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Live Commerce Sales Performance Analysis (synthetic data)</dc:title>
  <dc:creator>John Paulo Lumagbas</dc:creator>
  <cp:lastModifiedBy>John Paulo Lumagbas</cp:lastModifiedBy>
  <dcterms:created xsi:type="dcterms:W3CDTF">2026-10-17T13:17:51Z</dcterms:created>
  <dcterms:modified xsi:type="dcterms:W3CDTF">2026-10-17T15:14:41Z</dcterms:modified>
</cp:coreProperties>
</file>